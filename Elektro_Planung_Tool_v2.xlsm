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https://d.docs.live.net/dfdcacefcdfa307b/Dokumente/"/>
    </mc:Choice>
  </mc:AlternateContent>
  <xr:revisionPtr revIDLastSave="2636" documentId="8_{EB6F722D-9F66-4785-A562-82B20804E8EB}" xr6:coauthVersionLast="47" xr6:coauthVersionMax="47" xr10:uidLastSave="{63BB6AD1-6583-49D4-AFFC-B5DE3785872C}"/>
  <bookViews>
    <workbookView xWindow="25695" yWindow="0" windowWidth="26010" windowHeight="20985" tabRatio="723" firstSheet="1" activeTab="1" xr2:uid="{00000000-000D-0000-FFFF-FFFF00000000}"/>
  </bookViews>
  <sheets>
    <sheet name="Raumbuch_Zusammenfassung" sheetId="10" r:id="rId1"/>
    <sheet name="Raumbuch" sheetId="14" r:id="rId2"/>
    <sheet name="Gruppenadressen" sheetId="16" state="hidden" r:id="rId3"/>
    <sheet name="GA_HG_MG" sheetId="8" r:id="rId4"/>
    <sheet name="GA_ETS_Import" sheetId="17" state="hidden" r:id="rId5"/>
    <sheet name="Item_Liste" sheetId="3" r:id="rId6"/>
    <sheet name="Verteilerschrankplan" sheetId="12" r:id="rId7"/>
    <sheet name="Verteilerschrank" sheetId="15" r:id="rId8"/>
    <sheet name="Metadaten" sheetId="9" r:id="rId9"/>
  </sheets>
  <definedNames>
    <definedName name="_Beleuchtung">Tabelle134[_Beleuchtung]</definedName>
    <definedName name="_Beschattung">Tabelle134[_Beschattung]</definedName>
    <definedName name="_Bewässerung">Tabelle134[_Bewässerung]</definedName>
    <definedName name="_HeizungKlimaLüftung">Tabelle134[_HeizungKlimaLüftung]</definedName>
    <definedName name="_MeldungenAlarm">Tabelle134[_MeldungenAlarm]</definedName>
    <definedName name="_Sensoren">Tabelle134[_Sensoren]</definedName>
    <definedName name="_Steckdosen">Tabelle134[_Steckdosen]</definedName>
    <definedName name="_xlcn.WorksheetConnection_Elektro_Planung.xlsxTabelle1321" hidden="1">Tabelle132[]</definedName>
    <definedName name="_Zentral">Tabelle134[_Zentral]</definedName>
    <definedName name="_Zugriffskontrolle">Tabelle134[_Zugriffskontrolle]</definedName>
    <definedName name="Beleuchtung">Tabelle4[Beleuchtung]</definedName>
    <definedName name="Beschattung">Tabelle4[Beschattung]</definedName>
    <definedName name="Bewässerung">Tabelle4[Bewässerung]</definedName>
    <definedName name="Geräte">Metadaten!$C$3:$C$12</definedName>
    <definedName name="Hauptgruppe">GA_HG_MG!$D$4:$D$12</definedName>
    <definedName name="HeizungKlimaLüftung">Tabelle4[HeizungKlimaLüftung]</definedName>
    <definedName name="MeldungenAlarm">Tabelle4[MeldungenAlarm]</definedName>
    <definedName name="Sensoren">Tabelle4[Sensoren]</definedName>
    <definedName name="Steckdosen">Tabelle4[Steckdosen]</definedName>
    <definedName name="Zentral">Tabelle4[Zentral]</definedName>
    <definedName name="Zugriffskontrolle">Tabelle4[Zugriffskontrolle]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le132" name="Tabelle132" connection="WorksheetConnection_Elektro_Planung.xlsx!Tabelle13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8" i="14" l="1"/>
  <c r="O379" i="14"/>
  <c r="O380" i="14"/>
  <c r="O381" i="14"/>
  <c r="O382" i="14"/>
  <c r="O195" i="14"/>
  <c r="O305" i="14"/>
  <c r="O310" i="14"/>
  <c r="O317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G87" i="3"/>
  <c r="G88" i="3"/>
  <c r="G86" i="3"/>
  <c r="G78" i="3"/>
  <c r="G77" i="3"/>
  <c r="G76" i="3"/>
  <c r="G73" i="3"/>
  <c r="G74" i="3"/>
  <c r="G75" i="3"/>
  <c r="G28" i="3"/>
  <c r="G20" i="3"/>
  <c r="G72" i="3"/>
  <c r="G29" i="3"/>
  <c r="G30" i="3"/>
  <c r="G31" i="3"/>
  <c r="G27" i="3"/>
  <c r="G19" i="3"/>
  <c r="G15" i="3"/>
  <c r="G18" i="3"/>
  <c r="G17" i="3"/>
  <c r="G16" i="3"/>
  <c r="G14" i="3"/>
  <c r="G13" i="3"/>
  <c r="G4" i="3"/>
  <c r="G5" i="3"/>
  <c r="G6" i="3"/>
  <c r="G7" i="3"/>
  <c r="G8" i="3"/>
  <c r="G9" i="3"/>
  <c r="G10" i="3"/>
  <c r="G11" i="3"/>
  <c r="G12" i="3"/>
  <c r="G3" i="3"/>
  <c r="O306" i="14"/>
  <c r="O307" i="14"/>
  <c r="O312" i="14"/>
  <c r="O313" i="14"/>
  <c r="O314" i="14"/>
  <c r="O315" i="14"/>
  <c r="O308" i="14"/>
  <c r="O304" i="14"/>
  <c r="O316" i="14"/>
  <c r="O309" i="14"/>
  <c r="O318" i="14"/>
  <c r="O319" i="14"/>
  <c r="O320" i="14"/>
  <c r="O321" i="14"/>
  <c r="O322" i="14"/>
  <c r="O311" i="14"/>
  <c r="O299" i="14"/>
  <c r="O300" i="14"/>
  <c r="O301" i="14"/>
  <c r="O302" i="14"/>
  <c r="O303" i="14"/>
  <c r="O323" i="14"/>
  <c r="O324" i="14"/>
  <c r="O252" i="14"/>
  <c r="O253" i="14"/>
  <c r="O254" i="14"/>
  <c r="O255" i="14"/>
  <c r="O248" i="14"/>
  <c r="O256" i="14"/>
  <c r="O249" i="14"/>
  <c r="O257" i="14"/>
  <c r="O250" i="14"/>
  <c r="O258" i="14"/>
  <c r="O259" i="14"/>
  <c r="O251" i="14"/>
  <c r="O244" i="14"/>
  <c r="O245" i="14"/>
  <c r="O246" i="14"/>
  <c r="O247" i="14"/>
  <c r="O260" i="14"/>
  <c r="O261" i="14"/>
  <c r="O204" i="14"/>
  <c r="O185" i="14"/>
  <c r="O191" i="14"/>
  <c r="O192" i="14"/>
  <c r="O187" i="14"/>
  <c r="O193" i="14"/>
  <c r="O186" i="14"/>
  <c r="O194" i="14"/>
  <c r="O188" i="14"/>
  <c r="O196" i="14"/>
  <c r="O197" i="14"/>
  <c r="O198" i="14"/>
  <c r="O199" i="14"/>
  <c r="O189" i="14"/>
  <c r="O200" i="14"/>
  <c r="O201" i="14"/>
  <c r="O202" i="14"/>
  <c r="O203" i="14"/>
  <c r="O190" i="14"/>
  <c r="O177" i="14"/>
  <c r="O178" i="14"/>
  <c r="O179" i="14"/>
  <c r="O205" i="14"/>
  <c r="O180" i="14"/>
  <c r="O181" i="14"/>
  <c r="O182" i="14"/>
  <c r="O183" i="14"/>
  <c r="O184" i="14"/>
  <c r="O206" i="14"/>
  <c r="O171" i="14"/>
  <c r="O174" i="14"/>
  <c r="O169" i="14"/>
  <c r="O175" i="14"/>
  <c r="O170" i="14"/>
  <c r="O176" i="14"/>
  <c r="O172" i="14"/>
  <c r="O173" i="14"/>
  <c r="O135" i="14"/>
  <c r="O136" i="14"/>
  <c r="O137" i="14"/>
  <c r="O138" i="14"/>
  <c r="O139" i="14"/>
  <c r="O140" i="14"/>
  <c r="O141" i="14"/>
  <c r="O142" i="14"/>
  <c r="O131" i="14"/>
  <c r="O134" i="14"/>
  <c r="O132" i="14"/>
  <c r="O143" i="14"/>
  <c r="O133" i="14"/>
  <c r="O144" i="14"/>
  <c r="O145" i="14"/>
  <c r="O68" i="14"/>
  <c r="O69" i="14"/>
  <c r="O70" i="14"/>
  <c r="O71" i="14"/>
  <c r="O72" i="14"/>
  <c r="O73" i="14"/>
  <c r="O64" i="14"/>
  <c r="O74" i="14"/>
  <c r="O75" i="14"/>
  <c r="O65" i="14"/>
  <c r="O62" i="14"/>
  <c r="O76" i="14"/>
  <c r="O77" i="14"/>
  <c r="O78" i="14"/>
  <c r="O79" i="14"/>
  <c r="O80" i="14"/>
  <c r="O66" i="14"/>
  <c r="O63" i="14"/>
  <c r="O81" i="14"/>
  <c r="O59" i="14"/>
  <c r="O60" i="14"/>
  <c r="O67" i="14"/>
  <c r="O61" i="14"/>
  <c r="O82" i="14"/>
  <c r="O58" i="14"/>
  <c r="O42" i="14"/>
  <c r="O43" i="14"/>
  <c r="O44" i="14"/>
  <c r="O45" i="14"/>
  <c r="O46" i="14"/>
  <c r="O36" i="14"/>
  <c r="O38" i="14"/>
  <c r="O37" i="14"/>
  <c r="O39" i="14"/>
  <c r="O47" i="14"/>
  <c r="O48" i="14"/>
  <c r="O49" i="14"/>
  <c r="O50" i="14"/>
  <c r="O51" i="14"/>
  <c r="O40" i="14"/>
  <c r="O52" i="14"/>
  <c r="O53" i="14"/>
  <c r="O54" i="14"/>
  <c r="O55" i="14"/>
  <c r="O56" i="14"/>
  <c r="O57" i="14"/>
  <c r="O33" i="14"/>
  <c r="O34" i="14"/>
  <c r="O41" i="14"/>
  <c r="O35" i="14"/>
  <c r="O385" i="14"/>
  <c r="O383" i="14"/>
  <c r="O384" i="14"/>
  <c r="O369" i="14"/>
  <c r="O370" i="14"/>
  <c r="O371" i="14"/>
  <c r="O372" i="14"/>
  <c r="O373" i="14"/>
  <c r="O374" i="14"/>
  <c r="O375" i="14"/>
  <c r="O376" i="14"/>
  <c r="O377" i="14"/>
  <c r="O364" i="14"/>
  <c r="O365" i="14"/>
  <c r="O366" i="14"/>
  <c r="O367" i="14"/>
  <c r="O368" i="14"/>
  <c r="O345" i="14"/>
  <c r="O346" i="14"/>
  <c r="O334" i="14"/>
  <c r="O335" i="14"/>
  <c r="O336" i="14"/>
  <c r="O337" i="14"/>
  <c r="O338" i="14"/>
  <c r="O339" i="14"/>
  <c r="O340" i="14"/>
  <c r="O341" i="14"/>
  <c r="O342" i="14"/>
  <c r="O343" i="14"/>
  <c r="O344" i="14"/>
  <c r="O332" i="14"/>
  <c r="O331" i="14"/>
  <c r="O325" i="14"/>
  <c r="O326" i="14"/>
  <c r="O327" i="14"/>
  <c r="O328" i="14"/>
  <c r="O329" i="14"/>
  <c r="O330" i="14"/>
  <c r="O333" i="14"/>
  <c r="O270" i="14"/>
  <c r="O274" i="14"/>
  <c r="O275" i="14"/>
  <c r="O276" i="14"/>
  <c r="O277" i="14"/>
  <c r="O278" i="14"/>
  <c r="O279" i="14"/>
  <c r="O280" i="14"/>
  <c r="O281" i="14"/>
  <c r="O282" i="14"/>
  <c r="O283" i="14"/>
  <c r="O268" i="14"/>
  <c r="O269" i="14"/>
  <c r="O271" i="14"/>
  <c r="O272" i="14"/>
  <c r="O284" i="14"/>
  <c r="O285" i="14"/>
  <c r="O286" i="14"/>
  <c r="O287" i="14"/>
  <c r="O288" i="14"/>
  <c r="O289" i="14"/>
  <c r="O290" i="14"/>
  <c r="O291" i="14"/>
  <c r="O292" i="14"/>
  <c r="O293" i="14"/>
  <c r="O294" i="14"/>
  <c r="O273" i="14"/>
  <c r="O262" i="14"/>
  <c r="O263" i="14"/>
  <c r="O264" i="14"/>
  <c r="O265" i="14"/>
  <c r="O266" i="14"/>
  <c r="O267" i="14"/>
  <c r="O295" i="14"/>
  <c r="O296" i="14"/>
  <c r="O297" i="14"/>
  <c r="O298" i="14"/>
  <c r="O214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15" i="14"/>
  <c r="O207" i="14"/>
  <c r="O208" i="14"/>
  <c r="O230" i="14"/>
  <c r="O231" i="14"/>
  <c r="O232" i="14"/>
  <c r="O233" i="14"/>
  <c r="O234" i="14"/>
  <c r="O235" i="14"/>
  <c r="O236" i="14"/>
  <c r="O237" i="14"/>
  <c r="O238" i="14"/>
  <c r="O239" i="14"/>
  <c r="O216" i="14"/>
  <c r="O217" i="14"/>
  <c r="O209" i="14"/>
  <c r="O210" i="14"/>
  <c r="O211" i="14"/>
  <c r="O212" i="14"/>
  <c r="O213" i="14"/>
  <c r="O240" i="14"/>
  <c r="O241" i="14"/>
  <c r="O242" i="14"/>
  <c r="O243" i="14"/>
  <c r="O153" i="14"/>
  <c r="O150" i="14"/>
  <c r="O154" i="14"/>
  <c r="O155" i="14"/>
  <c r="O156" i="14"/>
  <c r="O157" i="14"/>
  <c r="O158" i="14"/>
  <c r="O159" i="14"/>
  <c r="O160" i="14"/>
  <c r="O151" i="14"/>
  <c r="O161" i="14"/>
  <c r="O162" i="14"/>
  <c r="O163" i="14"/>
  <c r="O164" i="14"/>
  <c r="O165" i="14"/>
  <c r="O166" i="14"/>
  <c r="O152" i="14"/>
  <c r="O148" i="14"/>
  <c r="O167" i="14"/>
  <c r="O149" i="14"/>
  <c r="O168" i="14"/>
  <c r="O146" i="14"/>
  <c r="O147" i="14"/>
  <c r="O25" i="14"/>
  <c r="O103" i="14"/>
  <c r="O104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05" i="14"/>
  <c r="O106" i="14"/>
  <c r="O107" i="14"/>
  <c r="O108" i="14"/>
  <c r="O102" i="14"/>
  <c r="O130" i="14"/>
  <c r="O100" i="14"/>
  <c r="O101" i="14"/>
  <c r="O92" i="14"/>
  <c r="O93" i="14"/>
  <c r="O94" i="14"/>
  <c r="O95" i="14"/>
  <c r="O90" i="14"/>
  <c r="O96" i="14"/>
  <c r="O91" i="14"/>
  <c r="O84" i="14"/>
  <c r="O85" i="14"/>
  <c r="O86" i="14"/>
  <c r="O87" i="14"/>
  <c r="O88" i="14"/>
  <c r="O89" i="14"/>
  <c r="O97" i="14"/>
  <c r="O98" i="14"/>
  <c r="O99" i="14"/>
  <c r="O83" i="14"/>
  <c r="O5" i="14"/>
  <c r="O6" i="14"/>
  <c r="O7" i="14"/>
  <c r="O8" i="14"/>
  <c r="O9" i="14"/>
  <c r="O10" i="14"/>
  <c r="O11" i="14"/>
  <c r="O12" i="14"/>
  <c r="O13" i="14"/>
  <c r="O14" i="14"/>
  <c r="O15" i="14"/>
  <c r="O28" i="14"/>
  <c r="O29" i="14"/>
  <c r="O30" i="14"/>
  <c r="O31" i="14"/>
  <c r="O19" i="14"/>
  <c r="O20" i="14"/>
  <c r="O21" i="14"/>
  <c r="O22" i="14"/>
  <c r="O23" i="14"/>
  <c r="O24" i="14"/>
  <c r="O18" i="14"/>
  <c r="O26" i="14"/>
  <c r="O4" i="14"/>
  <c r="O27" i="14"/>
  <c r="O32" i="14"/>
  <c r="O17" i="14"/>
  <c r="O16" i="14"/>
  <c r="B675" i="16"/>
  <c r="G33" i="3" l="1"/>
  <c r="G89" i="3"/>
  <c r="G82" i="3"/>
  <c r="G23" i="3"/>
  <c r="L270" i="15"/>
  <c r="D43" i="10"/>
  <c r="G97" i="3" l="1"/>
  <c r="K18" i="15"/>
  <c r="K20" i="15"/>
  <c r="K21" i="15"/>
  <c r="K19" i="15"/>
  <c r="K22" i="15"/>
  <c r="K24" i="15"/>
  <c r="K23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51" i="15"/>
  <c r="K40" i="15"/>
  <c r="K41" i="15"/>
  <c r="K42" i="15"/>
  <c r="K43" i="15"/>
  <c r="K44" i="15"/>
  <c r="K45" i="15"/>
  <c r="K46" i="15"/>
  <c r="K47" i="15"/>
  <c r="K48" i="15"/>
  <c r="K49" i="15"/>
  <c r="K50" i="15"/>
  <c r="K53" i="15"/>
  <c r="K54" i="15"/>
  <c r="K55" i="15"/>
  <c r="K56" i="15"/>
  <c r="K57" i="15"/>
  <c r="K58" i="15"/>
  <c r="K76" i="15"/>
  <c r="K59" i="15"/>
  <c r="K60" i="15"/>
  <c r="K61" i="15"/>
  <c r="K62" i="15"/>
  <c r="K63" i="15"/>
  <c r="K67" i="15"/>
  <c r="K68" i="15"/>
  <c r="K69" i="15"/>
  <c r="K70" i="15"/>
  <c r="K71" i="15"/>
  <c r="K72" i="15"/>
  <c r="K73" i="15"/>
  <c r="K74" i="15"/>
  <c r="K75" i="15"/>
  <c r="K64" i="15"/>
  <c r="K65" i="15"/>
  <c r="K66" i="15"/>
  <c r="K82" i="15"/>
  <c r="K83" i="15"/>
  <c r="K84" i="15"/>
  <c r="K85" i="15"/>
  <c r="K86" i="15"/>
  <c r="K87" i="15"/>
  <c r="K88" i="15"/>
  <c r="K89" i="15"/>
  <c r="K90" i="15"/>
  <c r="K77" i="15"/>
  <c r="K78" i="15"/>
  <c r="K79" i="15"/>
  <c r="K80" i="15"/>
  <c r="K81" i="15"/>
  <c r="K91" i="15"/>
  <c r="K92" i="15"/>
  <c r="K93" i="15"/>
  <c r="K96" i="15"/>
  <c r="K97" i="15"/>
  <c r="K98" i="15"/>
  <c r="K99" i="15"/>
  <c r="K100" i="15"/>
  <c r="K94" i="15"/>
  <c r="K95" i="15"/>
  <c r="K102" i="15"/>
  <c r="K103" i="15"/>
  <c r="K104" i="15"/>
  <c r="K105" i="15"/>
  <c r="K112" i="15"/>
  <c r="K113" i="15"/>
  <c r="K106" i="15"/>
  <c r="K107" i="15"/>
  <c r="K108" i="15"/>
  <c r="K109" i="15"/>
  <c r="K101" i="15"/>
  <c r="K110" i="15"/>
  <c r="K111" i="15"/>
  <c r="K115" i="15"/>
  <c r="K116" i="15"/>
  <c r="K117" i="15"/>
  <c r="K118" i="15"/>
  <c r="K128" i="15"/>
  <c r="K129" i="15"/>
  <c r="K130" i="15"/>
  <c r="K119" i="15"/>
  <c r="K120" i="15"/>
  <c r="K121" i="15"/>
  <c r="K122" i="15"/>
  <c r="K123" i="15"/>
  <c r="K124" i="15"/>
  <c r="K125" i="15"/>
  <c r="K126" i="15"/>
  <c r="K127" i="15"/>
  <c r="K114" i="15"/>
  <c r="K132" i="15"/>
  <c r="K133" i="15"/>
  <c r="K134" i="15"/>
  <c r="K135" i="15"/>
  <c r="K143" i="15"/>
  <c r="K144" i="15"/>
  <c r="K145" i="15"/>
  <c r="K136" i="15"/>
  <c r="K137" i="15"/>
  <c r="K138" i="15"/>
  <c r="K139" i="15"/>
  <c r="K140" i="15"/>
  <c r="K141" i="15"/>
  <c r="K142" i="15"/>
  <c r="K131" i="15"/>
  <c r="K147" i="15"/>
  <c r="K148" i="15"/>
  <c r="K146" i="15"/>
  <c r="K149" i="15"/>
  <c r="K150" i="15"/>
  <c r="K151" i="15"/>
  <c r="K158" i="15"/>
  <c r="K152" i="15"/>
  <c r="K159" i="15"/>
  <c r="K160" i="15"/>
  <c r="K161" i="15"/>
  <c r="K162" i="15"/>
  <c r="K163" i="15"/>
  <c r="K164" i="15"/>
  <c r="K153" i="15"/>
  <c r="K154" i="15"/>
  <c r="K155" i="15"/>
  <c r="K156" i="15"/>
  <c r="K157" i="15"/>
  <c r="K166" i="15"/>
  <c r="K165" i="15"/>
  <c r="K169" i="15"/>
  <c r="K170" i="15"/>
  <c r="K171" i="15"/>
  <c r="K172" i="15"/>
  <c r="K173" i="15"/>
  <c r="K167" i="15"/>
  <c r="K168" i="15"/>
  <c r="K174" i="15"/>
  <c r="K175" i="15"/>
  <c r="K181" i="15"/>
  <c r="K182" i="15"/>
  <c r="K176" i="15"/>
  <c r="K177" i="15"/>
  <c r="K178" i="15"/>
  <c r="K179" i="15"/>
  <c r="K180" i="15"/>
  <c r="K186" i="15"/>
  <c r="K187" i="15"/>
  <c r="K183" i="15"/>
  <c r="K184" i="15"/>
  <c r="K185" i="15"/>
  <c r="K188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189" i="15"/>
  <c r="K203" i="15"/>
  <c r="K204" i="15"/>
  <c r="K205" i="15"/>
  <c r="K207" i="15"/>
  <c r="K208" i="15"/>
  <c r="K209" i="15"/>
  <c r="K210" i="15"/>
  <c r="K211" i="15"/>
  <c r="K212" i="15"/>
  <c r="K213" i="15"/>
  <c r="K214" i="15"/>
  <c r="K215" i="15"/>
  <c r="K216" i="15"/>
  <c r="K206" i="15"/>
  <c r="K217" i="15"/>
  <c r="K224" i="15"/>
  <c r="K225" i="15"/>
  <c r="K226" i="15"/>
  <c r="K218" i="15"/>
  <c r="K219" i="15"/>
  <c r="K220" i="15"/>
  <c r="K221" i="15"/>
  <c r="K222" i="15"/>
  <c r="K223" i="15"/>
  <c r="K227" i="15"/>
  <c r="K228" i="15"/>
  <c r="K233" i="15"/>
  <c r="K234" i="15"/>
  <c r="K235" i="15"/>
  <c r="K236" i="15"/>
  <c r="K237" i="15"/>
  <c r="K231" i="15"/>
  <c r="K232" i="15"/>
  <c r="K238" i="15"/>
  <c r="K239" i="15"/>
  <c r="K240" i="15"/>
  <c r="K241" i="15"/>
  <c r="K242" i="15"/>
  <c r="K229" i="15"/>
  <c r="K230" i="15"/>
  <c r="K243" i="15"/>
  <c r="K244" i="15"/>
  <c r="K246" i="15"/>
  <c r="K247" i="15"/>
  <c r="K248" i="15"/>
  <c r="K249" i="15"/>
  <c r="K250" i="15"/>
  <c r="K245" i="15"/>
  <c r="K251" i="15"/>
  <c r="K257" i="15"/>
  <c r="K258" i="15"/>
  <c r="K259" i="15"/>
  <c r="K260" i="15"/>
  <c r="K261" i="15"/>
  <c r="K262" i="15"/>
  <c r="K255" i="15"/>
  <c r="K256" i="15"/>
  <c r="K263" i="15"/>
  <c r="K264" i="15"/>
  <c r="K265" i="15"/>
  <c r="K266" i="15"/>
  <c r="K267" i="15"/>
  <c r="K252" i="15"/>
  <c r="K253" i="15"/>
  <c r="K254" i="15"/>
  <c r="K268" i="15"/>
  <c r="K269" i="15"/>
  <c r="K52" i="15" l="1"/>
  <c r="C577" i="16"/>
  <c r="E577" i="16"/>
  <c r="C90" i="16"/>
  <c r="D109" i="16"/>
  <c r="C578" i="16"/>
  <c r="E578" i="16"/>
  <c r="C109" i="16"/>
  <c r="D128" i="16"/>
  <c r="E147" i="16"/>
  <c r="C579" i="16"/>
  <c r="C580" i="16"/>
  <c r="E580" i="16"/>
  <c r="C147" i="16"/>
  <c r="E14" i="16"/>
  <c r="F52" i="16"/>
  <c r="D147" i="16"/>
  <c r="D577" i="16"/>
  <c r="F577" i="16"/>
  <c r="C33" i="16"/>
  <c r="D14" i="16"/>
  <c r="E52" i="16"/>
  <c r="F71" i="16"/>
  <c r="E71" i="16"/>
  <c r="D90" i="16"/>
  <c r="F128" i="16"/>
  <c r="F147" i="16"/>
  <c r="C128" i="16"/>
  <c r="D578" i="16"/>
  <c r="F578" i="16"/>
  <c r="C14" i="16"/>
  <c r="D52" i="16"/>
  <c r="F90" i="16"/>
  <c r="E109" i="16"/>
  <c r="E579" i="16"/>
  <c r="D579" i="16"/>
  <c r="F579" i="16"/>
  <c r="C52" i="16"/>
  <c r="D71" i="16"/>
  <c r="E90" i="16"/>
  <c r="F109" i="16"/>
  <c r="D580" i="16"/>
  <c r="F580" i="16"/>
  <c r="C71" i="16"/>
  <c r="E128" i="16"/>
  <c r="F14" i="16"/>
  <c r="D33" i="16"/>
  <c r="E33" i="16"/>
  <c r="F33" i="16"/>
  <c r="C413" i="16"/>
  <c r="D413" i="16"/>
  <c r="E413" i="16"/>
  <c r="E367" i="16"/>
  <c r="F413" i="16"/>
  <c r="C455" i="16"/>
  <c r="D455" i="16"/>
  <c r="F367" i="16"/>
  <c r="F455" i="16"/>
  <c r="C367" i="16"/>
  <c r="D367" i="16"/>
  <c r="E455" i="16"/>
  <c r="C89" i="16"/>
  <c r="D108" i="16"/>
  <c r="E127" i="16"/>
  <c r="C127" i="16"/>
  <c r="D146" i="16"/>
  <c r="F32" i="16"/>
  <c r="C146" i="16"/>
  <c r="E32" i="16"/>
  <c r="F51" i="16"/>
  <c r="C51" i="16"/>
  <c r="E51" i="16"/>
  <c r="F127" i="16"/>
  <c r="C145" i="16"/>
  <c r="E31" i="16"/>
  <c r="F50" i="16"/>
  <c r="C68" i="16"/>
  <c r="D87" i="16"/>
  <c r="E106" i="16"/>
  <c r="F125" i="16"/>
  <c r="C143" i="16"/>
  <c r="E29" i="16"/>
  <c r="F48" i="16"/>
  <c r="C66" i="16"/>
  <c r="D85" i="16"/>
  <c r="E104" i="16"/>
  <c r="F123" i="16"/>
  <c r="C141" i="16"/>
  <c r="E27" i="16"/>
  <c r="F46" i="16"/>
  <c r="C64" i="16"/>
  <c r="D83" i="16"/>
  <c r="E102" i="16"/>
  <c r="F121" i="16"/>
  <c r="C139" i="16"/>
  <c r="E25" i="16"/>
  <c r="F44" i="16"/>
  <c r="C79" i="16"/>
  <c r="D98" i="16"/>
  <c r="E117" i="16"/>
  <c r="F136" i="16"/>
  <c r="C154" i="16"/>
  <c r="E40" i="16"/>
  <c r="F59" i="16"/>
  <c r="C108" i="16"/>
  <c r="E89" i="16"/>
  <c r="C31" i="16"/>
  <c r="D50" i="16"/>
  <c r="E69" i="16"/>
  <c r="F88" i="16"/>
  <c r="C106" i="16"/>
  <c r="D125" i="16"/>
  <c r="E144" i="16"/>
  <c r="C29" i="16"/>
  <c r="D48" i="16"/>
  <c r="E67" i="16"/>
  <c r="F86" i="16"/>
  <c r="C104" i="16"/>
  <c r="D123" i="16"/>
  <c r="E142" i="16"/>
  <c r="C27" i="16"/>
  <c r="D46" i="16"/>
  <c r="E65" i="16"/>
  <c r="F84" i="16"/>
  <c r="C102" i="16"/>
  <c r="D121" i="16"/>
  <c r="D51" i="16"/>
  <c r="E146" i="16"/>
  <c r="C69" i="16"/>
  <c r="D88" i="16"/>
  <c r="E107" i="16"/>
  <c r="F126" i="16"/>
  <c r="C144" i="16"/>
  <c r="E30" i="16"/>
  <c r="F49" i="16"/>
  <c r="C67" i="16"/>
  <c r="D86" i="16"/>
  <c r="E105" i="16"/>
  <c r="F124" i="16"/>
  <c r="C142" i="16"/>
  <c r="E28" i="16"/>
  <c r="F47" i="16"/>
  <c r="C65" i="16"/>
  <c r="D84" i="16"/>
  <c r="E103" i="16"/>
  <c r="F122" i="16"/>
  <c r="C140" i="16"/>
  <c r="E26" i="16"/>
  <c r="F45" i="16"/>
  <c r="C63" i="16"/>
  <c r="D82" i="16"/>
  <c r="E101" i="16"/>
  <c r="F120" i="16"/>
  <c r="C155" i="16"/>
  <c r="E41" i="16"/>
  <c r="F60" i="16"/>
  <c r="C78" i="16"/>
  <c r="D70" i="16"/>
  <c r="F70" i="16"/>
  <c r="C88" i="16"/>
  <c r="D107" i="16"/>
  <c r="E126" i="16"/>
  <c r="F145" i="16"/>
  <c r="D30" i="16"/>
  <c r="E49" i="16"/>
  <c r="F68" i="16"/>
  <c r="C86" i="16"/>
  <c r="D105" i="16"/>
  <c r="E124" i="16"/>
  <c r="F143" i="16"/>
  <c r="D28" i="16"/>
  <c r="E47" i="16"/>
  <c r="F66" i="16"/>
  <c r="C84" i="16"/>
  <c r="D103" i="16"/>
  <c r="E122" i="16"/>
  <c r="F141" i="16"/>
  <c r="D26" i="16"/>
  <c r="E45" i="16"/>
  <c r="F64" i="16"/>
  <c r="D32" i="16"/>
  <c r="C50" i="16"/>
  <c r="E88" i="16"/>
  <c r="C125" i="16"/>
  <c r="F30" i="16"/>
  <c r="D67" i="16"/>
  <c r="F105" i="16"/>
  <c r="D142" i="16"/>
  <c r="C46" i="16"/>
  <c r="E84" i="16"/>
  <c r="C121" i="16"/>
  <c r="E140" i="16"/>
  <c r="C101" i="16"/>
  <c r="E44" i="16"/>
  <c r="F101" i="16"/>
  <c r="D60" i="16"/>
  <c r="E136" i="16"/>
  <c r="C59" i="16"/>
  <c r="D116" i="16"/>
  <c r="E154" i="16"/>
  <c r="C58" i="16"/>
  <c r="D77" i="16"/>
  <c r="E96" i="16"/>
  <c r="F115" i="16"/>
  <c r="C133" i="16"/>
  <c r="D152" i="16"/>
  <c r="F38" i="16"/>
  <c r="C56" i="16"/>
  <c r="D75" i="16"/>
  <c r="E94" i="16"/>
  <c r="F113" i="16"/>
  <c r="C131" i="16"/>
  <c r="D150" i="16"/>
  <c r="F36" i="16"/>
  <c r="C54" i="16"/>
  <c r="D73" i="16"/>
  <c r="E92" i="16"/>
  <c r="F111" i="16"/>
  <c r="C129" i="16"/>
  <c r="D148" i="16"/>
  <c r="F34" i="16"/>
  <c r="C43" i="16"/>
  <c r="D62" i="16"/>
  <c r="E81" i="16"/>
  <c r="F100" i="16"/>
  <c r="C42" i="16"/>
  <c r="D80" i="16"/>
  <c r="E137" i="16"/>
  <c r="F53" i="16"/>
  <c r="C62" i="16"/>
  <c r="D81" i="16"/>
  <c r="E100" i="16"/>
  <c r="F119" i="16"/>
  <c r="C61" i="16"/>
  <c r="D99" i="16"/>
  <c r="F23" i="16"/>
  <c r="D89" i="16"/>
  <c r="C107" i="16"/>
  <c r="E145" i="16"/>
  <c r="D49" i="16"/>
  <c r="F87" i="16"/>
  <c r="D124" i="16"/>
  <c r="C28" i="16"/>
  <c r="E66" i="16"/>
  <c r="C103" i="16"/>
  <c r="E141" i="16"/>
  <c r="D45" i="16"/>
  <c r="F26" i="16"/>
  <c r="C120" i="16"/>
  <c r="E63" i="16"/>
  <c r="F139" i="16"/>
  <c r="D79" i="16"/>
  <c r="E155" i="16"/>
  <c r="C97" i="16"/>
  <c r="D135" i="16"/>
  <c r="F40" i="16"/>
  <c r="C77" i="16"/>
  <c r="D96" i="16"/>
  <c r="E115" i="16"/>
  <c r="F134" i="16"/>
  <c r="C152" i="16"/>
  <c r="E38" i="16"/>
  <c r="F57" i="16"/>
  <c r="C75" i="16"/>
  <c r="D94" i="16"/>
  <c r="E113" i="16"/>
  <c r="F132" i="16"/>
  <c r="C150" i="16"/>
  <c r="E36" i="16"/>
  <c r="F55" i="16"/>
  <c r="C73" i="16"/>
  <c r="D92" i="16"/>
  <c r="E111" i="16"/>
  <c r="F130" i="16"/>
  <c r="C148" i="16"/>
  <c r="E34" i="16"/>
  <c r="D127" i="16"/>
  <c r="C126" i="16"/>
  <c r="F31" i="16"/>
  <c r="D68" i="16"/>
  <c r="F106" i="16"/>
  <c r="D143" i="16"/>
  <c r="C47" i="16"/>
  <c r="E85" i="16"/>
  <c r="C122" i="16"/>
  <c r="F27" i="16"/>
  <c r="D64" i="16"/>
  <c r="F83" i="16"/>
  <c r="D25" i="16"/>
  <c r="E82" i="16"/>
  <c r="C41" i="16"/>
  <c r="D117" i="16"/>
  <c r="F41" i="16"/>
  <c r="C116" i="16"/>
  <c r="D154" i="16"/>
  <c r="F78" i="16"/>
  <c r="C96" i="16"/>
  <c r="D115" i="16"/>
  <c r="E134" i="16"/>
  <c r="F153" i="16"/>
  <c r="D38" i="16"/>
  <c r="E57" i="16"/>
  <c r="F76" i="16"/>
  <c r="C94" i="16"/>
  <c r="D113" i="16"/>
  <c r="E132" i="16"/>
  <c r="F151" i="16"/>
  <c r="D36" i="16"/>
  <c r="E55" i="16"/>
  <c r="F74" i="16"/>
  <c r="C92" i="16"/>
  <c r="D111" i="16"/>
  <c r="E130" i="16"/>
  <c r="F149" i="16"/>
  <c r="D34" i="16"/>
  <c r="E53" i="16"/>
  <c r="F72" i="16"/>
  <c r="C81" i="16"/>
  <c r="D100" i="16"/>
  <c r="E119" i="16"/>
  <c r="F138" i="16"/>
  <c r="C80" i="16"/>
  <c r="D137" i="16"/>
  <c r="F42" i="16"/>
  <c r="E138" i="16"/>
  <c r="C99" i="16"/>
  <c r="F61" i="16"/>
  <c r="F112" i="16"/>
  <c r="F35" i="16"/>
  <c r="E91" i="16"/>
  <c r="D138" i="16"/>
  <c r="C137" i="16"/>
  <c r="E43" i="16"/>
  <c r="E80" i="16"/>
  <c r="C70" i="16"/>
  <c r="E125" i="16"/>
  <c r="F142" i="16"/>
  <c r="E70" i="16"/>
  <c r="D31" i="16"/>
  <c r="F69" i="16"/>
  <c r="D106" i="16"/>
  <c r="F144" i="16"/>
  <c r="E48" i="16"/>
  <c r="C85" i="16"/>
  <c r="E123" i="16"/>
  <c r="D27" i="16"/>
  <c r="F65" i="16"/>
  <c r="D102" i="16"/>
  <c r="F102" i="16"/>
  <c r="D44" i="16"/>
  <c r="E120" i="16"/>
  <c r="C60" i="16"/>
  <c r="D136" i="16"/>
  <c r="F79" i="16"/>
  <c r="C135" i="16"/>
  <c r="E59" i="16"/>
  <c r="F97" i="16"/>
  <c r="C115" i="16"/>
  <c r="D134" i="16"/>
  <c r="E153" i="16"/>
  <c r="C38" i="16"/>
  <c r="D57" i="16"/>
  <c r="E76" i="16"/>
  <c r="F95" i="16"/>
  <c r="C113" i="16"/>
  <c r="D132" i="16"/>
  <c r="E151" i="16"/>
  <c r="C36" i="16"/>
  <c r="D55" i="16"/>
  <c r="E74" i="16"/>
  <c r="F93" i="16"/>
  <c r="C111" i="16"/>
  <c r="D130" i="16"/>
  <c r="E149" i="16"/>
  <c r="C34" i="16"/>
  <c r="D53" i="16"/>
  <c r="E72" i="16"/>
  <c r="F91" i="16"/>
  <c r="C100" i="16"/>
  <c r="D119" i="16"/>
  <c r="C118" i="16"/>
  <c r="E23" i="16"/>
  <c r="D74" i="16"/>
  <c r="C53" i="16"/>
  <c r="F110" i="16"/>
  <c r="F24" i="16"/>
  <c r="E42" i="16"/>
  <c r="D42" i="16"/>
  <c r="D104" i="16"/>
  <c r="C82" i="16"/>
  <c r="E108" i="16"/>
  <c r="D69" i="16"/>
  <c r="F107" i="16"/>
  <c r="D144" i="16"/>
  <c r="C48" i="16"/>
  <c r="E86" i="16"/>
  <c r="C123" i="16"/>
  <c r="F28" i="16"/>
  <c r="D65" i="16"/>
  <c r="F103" i="16"/>
  <c r="D140" i="16"/>
  <c r="F140" i="16"/>
  <c r="D63" i="16"/>
  <c r="E139" i="16"/>
  <c r="C98" i="16"/>
  <c r="D155" i="16"/>
  <c r="F98" i="16"/>
  <c r="D40" i="16"/>
  <c r="E78" i="16"/>
  <c r="F116" i="16"/>
  <c r="C134" i="16"/>
  <c r="D153" i="16"/>
  <c r="F39" i="16"/>
  <c r="C57" i="16"/>
  <c r="D76" i="16"/>
  <c r="E95" i="16"/>
  <c r="F114" i="16"/>
  <c r="C132" i="16"/>
  <c r="D151" i="16"/>
  <c r="F37" i="16"/>
  <c r="C55" i="16"/>
  <c r="E93" i="16"/>
  <c r="C130" i="16"/>
  <c r="D149" i="16"/>
  <c r="D72" i="16"/>
  <c r="C119" i="16"/>
  <c r="D118" i="16"/>
  <c r="F80" i="16"/>
  <c r="F137" i="16"/>
  <c r="C87" i="16"/>
  <c r="E46" i="16"/>
  <c r="D139" i="16"/>
  <c r="F89" i="16"/>
  <c r="D126" i="16"/>
  <c r="C30" i="16"/>
  <c r="E68" i="16"/>
  <c r="C105" i="16"/>
  <c r="E143" i="16"/>
  <c r="D47" i="16"/>
  <c r="F85" i="16"/>
  <c r="D122" i="16"/>
  <c r="C26" i="16"/>
  <c r="E64" i="16"/>
  <c r="C25" i="16"/>
  <c r="D101" i="16"/>
  <c r="F25" i="16"/>
  <c r="C117" i="16"/>
  <c r="E60" i="16"/>
  <c r="F117" i="16"/>
  <c r="D59" i="16"/>
  <c r="E97" i="16"/>
  <c r="F135" i="16"/>
  <c r="C153" i="16"/>
  <c r="E39" i="16"/>
  <c r="F58" i="16"/>
  <c r="C76" i="16"/>
  <c r="D95" i="16"/>
  <c r="E114" i="16"/>
  <c r="F133" i="16"/>
  <c r="C151" i="16"/>
  <c r="E37" i="16"/>
  <c r="F56" i="16"/>
  <c r="C74" i="16"/>
  <c r="D93" i="16"/>
  <c r="E112" i="16"/>
  <c r="F131" i="16"/>
  <c r="C149" i="16"/>
  <c r="E35" i="16"/>
  <c r="F54" i="16"/>
  <c r="C72" i="16"/>
  <c r="D91" i="16"/>
  <c r="E110" i="16"/>
  <c r="F129" i="16"/>
  <c r="C138" i="16"/>
  <c r="E24" i="16"/>
  <c r="F43" i="16"/>
  <c r="E118" i="16"/>
  <c r="D23" i="16"/>
  <c r="E61" i="16"/>
  <c r="F99" i="16"/>
  <c r="D110" i="16"/>
  <c r="D24" i="16"/>
  <c r="F118" i="16"/>
  <c r="F146" i="16"/>
  <c r="F67" i="16"/>
  <c r="E121" i="16"/>
  <c r="C32" i="16"/>
  <c r="F108" i="16"/>
  <c r="D145" i="16"/>
  <c r="C49" i="16"/>
  <c r="E87" i="16"/>
  <c r="C124" i="16"/>
  <c r="F29" i="16"/>
  <c r="D66" i="16"/>
  <c r="F104" i="16"/>
  <c r="D141" i="16"/>
  <c r="C45" i="16"/>
  <c r="E83" i="16"/>
  <c r="C44" i="16"/>
  <c r="D120" i="16"/>
  <c r="F63" i="16"/>
  <c r="C136" i="16"/>
  <c r="E79" i="16"/>
  <c r="F155" i="16"/>
  <c r="D78" i="16"/>
  <c r="E116" i="16"/>
  <c r="F154" i="16"/>
  <c r="D39" i="16"/>
  <c r="E58" i="16"/>
  <c r="F77" i="16"/>
  <c r="C95" i="16"/>
  <c r="D114" i="16"/>
  <c r="E133" i="16"/>
  <c r="F152" i="16"/>
  <c r="D37" i="16"/>
  <c r="E56" i="16"/>
  <c r="F75" i="16"/>
  <c r="C93" i="16"/>
  <c r="D112" i="16"/>
  <c r="E131" i="16"/>
  <c r="F150" i="16"/>
  <c r="D35" i="16"/>
  <c r="E54" i="16"/>
  <c r="F73" i="16"/>
  <c r="C91" i="16"/>
  <c r="E129" i="16"/>
  <c r="F148" i="16"/>
  <c r="F62" i="16"/>
  <c r="E50" i="16"/>
  <c r="D29" i="16"/>
  <c r="C83" i="16"/>
  <c r="D58" i="16"/>
  <c r="E75" i="16"/>
  <c r="F92" i="16"/>
  <c r="C23" i="16"/>
  <c r="C110" i="16"/>
  <c r="F82" i="16"/>
  <c r="D41" i="16"/>
  <c r="F96" i="16"/>
  <c r="C112" i="16"/>
  <c r="D129" i="16"/>
  <c r="E99" i="16"/>
  <c r="E98" i="16"/>
  <c r="C114" i="16"/>
  <c r="D131" i="16"/>
  <c r="E148" i="16"/>
  <c r="C40" i="16"/>
  <c r="D133" i="16"/>
  <c r="E150" i="16"/>
  <c r="C24" i="16"/>
  <c r="D97" i="16"/>
  <c r="E152" i="16"/>
  <c r="D43" i="16"/>
  <c r="E135" i="16"/>
  <c r="C37" i="16"/>
  <c r="D54" i="16"/>
  <c r="E62" i="16"/>
  <c r="C39" i="16"/>
  <c r="C35" i="16"/>
  <c r="D56" i="16"/>
  <c r="E73" i="16"/>
  <c r="F81" i="16"/>
  <c r="E77" i="16"/>
  <c r="F94" i="16"/>
  <c r="D61" i="16"/>
  <c r="C483" i="16"/>
  <c r="D494" i="16"/>
  <c r="E505" i="16"/>
  <c r="F516" i="16"/>
  <c r="C515" i="16"/>
  <c r="D526" i="16"/>
  <c r="E537" i="16"/>
  <c r="F548" i="16"/>
  <c r="D481" i="16"/>
  <c r="E492" i="16"/>
  <c r="F503" i="16"/>
  <c r="C502" i="16"/>
  <c r="D513" i="16"/>
  <c r="E524" i="16"/>
  <c r="F535" i="16"/>
  <c r="C545" i="16"/>
  <c r="E479" i="16"/>
  <c r="F490" i="16"/>
  <c r="C500" i="16"/>
  <c r="D511" i="16"/>
  <c r="E522" i="16"/>
  <c r="F533" i="16"/>
  <c r="C532" i="16"/>
  <c r="D543" i="16"/>
  <c r="F477" i="16"/>
  <c r="C487" i="16"/>
  <c r="D498" i="16"/>
  <c r="E509" i="16"/>
  <c r="F520" i="16"/>
  <c r="C529" i="16"/>
  <c r="D540" i="16"/>
  <c r="F474" i="16"/>
  <c r="C484" i="16"/>
  <c r="D495" i="16"/>
  <c r="E506" i="16"/>
  <c r="F517" i="16"/>
  <c r="D453" i="16"/>
  <c r="D450" i="16"/>
  <c r="D448" i="16"/>
  <c r="D446" i="16"/>
  <c r="D444" i="16"/>
  <c r="D442" i="16"/>
  <c r="D439" i="16"/>
  <c r="D437" i="16"/>
  <c r="D435" i="16"/>
  <c r="D433" i="16"/>
  <c r="D431" i="16"/>
  <c r="D461" i="16"/>
  <c r="D459" i="16"/>
  <c r="D457" i="16"/>
  <c r="D451" i="16"/>
  <c r="D429" i="16"/>
  <c r="C627" i="16"/>
  <c r="D635" i="16"/>
  <c r="E643" i="16"/>
  <c r="F651" i="16"/>
  <c r="C658" i="16"/>
  <c r="D666" i="16"/>
  <c r="F618" i="16"/>
  <c r="C625" i="16"/>
  <c r="D633" i="16"/>
  <c r="E641" i="16"/>
  <c r="F649" i="16"/>
  <c r="C656" i="16"/>
  <c r="D664" i="16"/>
  <c r="F616" i="16"/>
  <c r="C623" i="16"/>
  <c r="D631" i="16"/>
  <c r="E639" i="16"/>
  <c r="F647" i="16"/>
  <c r="C494" i="16"/>
  <c r="D505" i="16"/>
  <c r="E516" i="16"/>
  <c r="F527" i="16"/>
  <c r="C526" i="16"/>
  <c r="D537" i="16"/>
  <c r="E548" i="16"/>
  <c r="C481" i="16"/>
  <c r="D492" i="16"/>
  <c r="E503" i="16"/>
  <c r="F514" i="16"/>
  <c r="C513" i="16"/>
  <c r="D524" i="16"/>
  <c r="E535" i="16"/>
  <c r="F546" i="16"/>
  <c r="D479" i="16"/>
  <c r="E490" i="16"/>
  <c r="F501" i="16"/>
  <c r="C511" i="16"/>
  <c r="D522" i="16"/>
  <c r="E533" i="16"/>
  <c r="F544" i="16"/>
  <c r="C543" i="16"/>
  <c r="E477" i="16"/>
  <c r="F488" i="16"/>
  <c r="C498" i="16"/>
  <c r="D509" i="16"/>
  <c r="E520" i="16"/>
  <c r="F531" i="16"/>
  <c r="C540" i="16"/>
  <c r="E474" i="16"/>
  <c r="F485" i="16"/>
  <c r="C495" i="16"/>
  <c r="D506" i="16"/>
  <c r="E517" i="16"/>
  <c r="F528" i="16"/>
  <c r="E453" i="16"/>
  <c r="E450" i="16"/>
  <c r="E448" i="16"/>
  <c r="E446" i="16"/>
  <c r="E444" i="16"/>
  <c r="E442" i="16"/>
  <c r="E439" i="16"/>
  <c r="E437" i="16"/>
  <c r="E435" i="16"/>
  <c r="E433" i="16"/>
  <c r="E431" i="16"/>
  <c r="E461" i="16"/>
  <c r="E459" i="16"/>
  <c r="E457" i="16"/>
  <c r="E451" i="16"/>
  <c r="E429" i="16"/>
  <c r="C635" i="16"/>
  <c r="D643" i="16"/>
  <c r="E651" i="16"/>
  <c r="F659" i="16"/>
  <c r="C666" i="16"/>
  <c r="E618" i="16"/>
  <c r="F626" i="16"/>
  <c r="C633" i="16"/>
  <c r="D641" i="16"/>
  <c r="E649" i="16"/>
  <c r="F657" i="16"/>
  <c r="C664" i="16"/>
  <c r="E616" i="16"/>
  <c r="F624" i="16"/>
  <c r="C505" i="16"/>
  <c r="D516" i="16"/>
  <c r="E527" i="16"/>
  <c r="F538" i="16"/>
  <c r="C537" i="16"/>
  <c r="D548" i="16"/>
  <c r="F482" i="16"/>
  <c r="C492" i="16"/>
  <c r="D503" i="16"/>
  <c r="E514" i="16"/>
  <c r="F525" i="16"/>
  <c r="C524" i="16"/>
  <c r="D535" i="16"/>
  <c r="E546" i="16"/>
  <c r="C479" i="16"/>
  <c r="D490" i="16"/>
  <c r="E501" i="16"/>
  <c r="F512" i="16"/>
  <c r="C522" i="16"/>
  <c r="D533" i="16"/>
  <c r="E544" i="16"/>
  <c r="D477" i="16"/>
  <c r="E488" i="16"/>
  <c r="F499" i="16"/>
  <c r="C509" i="16"/>
  <c r="D520" i="16"/>
  <c r="E531" i="16"/>
  <c r="F542" i="16"/>
  <c r="D474" i="16"/>
  <c r="E485" i="16"/>
  <c r="F496" i="16"/>
  <c r="C506" i="16"/>
  <c r="D517" i="16"/>
  <c r="E528" i="16"/>
  <c r="F539" i="16"/>
  <c r="F453" i="16"/>
  <c r="F450" i="16"/>
  <c r="F448" i="16"/>
  <c r="F446" i="16"/>
  <c r="F444" i="16"/>
  <c r="F442" i="16"/>
  <c r="F439" i="16"/>
  <c r="F437" i="16"/>
  <c r="F435" i="16"/>
  <c r="F433" i="16"/>
  <c r="F431" i="16"/>
  <c r="F461" i="16"/>
  <c r="F459" i="16"/>
  <c r="F457" i="16"/>
  <c r="F451" i="16"/>
  <c r="F429" i="16"/>
  <c r="C643" i="16"/>
  <c r="D651" i="16"/>
  <c r="E659" i="16"/>
  <c r="F667" i="16"/>
  <c r="D618" i="16"/>
  <c r="E626" i="16"/>
  <c r="F634" i="16"/>
  <c r="C641" i="16"/>
  <c r="D649" i="16"/>
  <c r="E657" i="16"/>
  <c r="F665" i="16"/>
  <c r="D616" i="16"/>
  <c r="E624" i="16"/>
  <c r="F632" i="16"/>
  <c r="C639" i="16"/>
  <c r="D647" i="16"/>
  <c r="E655" i="16"/>
  <c r="F663" i="16"/>
  <c r="D614" i="16"/>
  <c r="E622" i="16"/>
  <c r="F630" i="16"/>
  <c r="C637" i="16"/>
  <c r="D645" i="16"/>
  <c r="E653" i="16"/>
  <c r="F661" i="16"/>
  <c r="C157" i="16"/>
  <c r="E642" i="16"/>
  <c r="F617" i="16"/>
  <c r="F648" i="16"/>
  <c r="C622" i="16"/>
  <c r="C653" i="16"/>
  <c r="C516" i="16"/>
  <c r="D527" i="16"/>
  <c r="E538" i="16"/>
  <c r="F549" i="16"/>
  <c r="C548" i="16"/>
  <c r="E482" i="16"/>
  <c r="F493" i="16"/>
  <c r="C503" i="16"/>
  <c r="D514" i="16"/>
  <c r="E525" i="16"/>
  <c r="F536" i="16"/>
  <c r="C535" i="16"/>
  <c r="D546" i="16"/>
  <c r="F480" i="16"/>
  <c r="C490" i="16"/>
  <c r="D501" i="16"/>
  <c r="E512" i="16"/>
  <c r="F523" i="16"/>
  <c r="C533" i="16"/>
  <c r="D544" i="16"/>
  <c r="F478" i="16"/>
  <c r="C477" i="16"/>
  <c r="D488" i="16"/>
  <c r="E499" i="16"/>
  <c r="F510" i="16"/>
  <c r="C520" i="16"/>
  <c r="D531" i="16"/>
  <c r="E542" i="16"/>
  <c r="C474" i="16"/>
  <c r="D485" i="16"/>
  <c r="E496" i="16"/>
  <c r="F507" i="16"/>
  <c r="C517" i="16"/>
  <c r="D528" i="16"/>
  <c r="E539" i="16"/>
  <c r="C454" i="16"/>
  <c r="C452" i="16"/>
  <c r="C449" i="16"/>
  <c r="C447" i="16"/>
  <c r="C445" i="16"/>
  <c r="C443" i="16"/>
  <c r="C441" i="16"/>
  <c r="C438" i="16"/>
  <c r="C436" i="16"/>
  <c r="C434" i="16"/>
  <c r="C432" i="16"/>
  <c r="C430" i="16"/>
  <c r="C460" i="16"/>
  <c r="C458" i="16"/>
  <c r="C456" i="16"/>
  <c r="C440" i="16"/>
  <c r="C428" i="16"/>
  <c r="C651" i="16"/>
  <c r="D659" i="16"/>
  <c r="E667" i="16"/>
  <c r="C618" i="16"/>
  <c r="D626" i="16"/>
  <c r="E634" i="16"/>
  <c r="F642" i="16"/>
  <c r="C649" i="16"/>
  <c r="D657" i="16"/>
  <c r="E665" i="16"/>
  <c r="C616" i="16"/>
  <c r="D624" i="16"/>
  <c r="E632" i="16"/>
  <c r="F640" i="16"/>
  <c r="C647" i="16"/>
  <c r="D655" i="16"/>
  <c r="E663" i="16"/>
  <c r="C614" i="16"/>
  <c r="D622" i="16"/>
  <c r="E630" i="16"/>
  <c r="F638" i="16"/>
  <c r="C645" i="16"/>
  <c r="D653" i="16"/>
  <c r="E661" i="16"/>
  <c r="C626" i="16"/>
  <c r="F650" i="16"/>
  <c r="D665" i="16"/>
  <c r="C624" i="16"/>
  <c r="E640" i="16"/>
  <c r="C655" i="16"/>
  <c r="F615" i="16"/>
  <c r="D630" i="16"/>
  <c r="F646" i="16"/>
  <c r="C527" i="16"/>
  <c r="D538" i="16"/>
  <c r="E549" i="16"/>
  <c r="D482" i="16"/>
  <c r="E493" i="16"/>
  <c r="F504" i="16"/>
  <c r="C514" i="16"/>
  <c r="D525" i="16"/>
  <c r="E536" i="16"/>
  <c r="F547" i="16"/>
  <c r="C546" i="16"/>
  <c r="E480" i="16"/>
  <c r="F491" i="16"/>
  <c r="C501" i="16"/>
  <c r="D512" i="16"/>
  <c r="E523" i="16"/>
  <c r="F534" i="16"/>
  <c r="C544" i="16"/>
  <c r="E478" i="16"/>
  <c r="F489" i="16"/>
  <c r="C488" i="16"/>
  <c r="D499" i="16"/>
  <c r="E510" i="16"/>
  <c r="F521" i="16"/>
  <c r="C531" i="16"/>
  <c r="D542" i="16"/>
  <c r="F476" i="16"/>
  <c r="C485" i="16"/>
  <c r="D496" i="16"/>
  <c r="E507" i="16"/>
  <c r="F518" i="16"/>
  <c r="C528" i="16"/>
  <c r="D539" i="16"/>
  <c r="F473" i="16"/>
  <c r="D454" i="16"/>
  <c r="D452" i="16"/>
  <c r="D449" i="16"/>
  <c r="D447" i="16"/>
  <c r="D445" i="16"/>
  <c r="D443" i="16"/>
  <c r="D441" i="16"/>
  <c r="D438" i="16"/>
  <c r="D436" i="16"/>
  <c r="D434" i="16"/>
  <c r="D432" i="16"/>
  <c r="D430" i="16"/>
  <c r="D460" i="16"/>
  <c r="D458" i="16"/>
  <c r="D456" i="16"/>
  <c r="D440" i="16"/>
  <c r="D428" i="16"/>
  <c r="C659" i="16"/>
  <c r="D667" i="16"/>
  <c r="F619" i="16"/>
  <c r="D634" i="16"/>
  <c r="C657" i="16"/>
  <c r="D632" i="16"/>
  <c r="D663" i="16"/>
  <c r="E638" i="16"/>
  <c r="C538" i="16"/>
  <c r="D549" i="16"/>
  <c r="F483" i="16"/>
  <c r="C482" i="16"/>
  <c r="D493" i="16"/>
  <c r="E504" i="16"/>
  <c r="F515" i="16"/>
  <c r="C525" i="16"/>
  <c r="D536" i="16"/>
  <c r="E547" i="16"/>
  <c r="D480" i="16"/>
  <c r="E491" i="16"/>
  <c r="F502" i="16"/>
  <c r="C512" i="16"/>
  <c r="D523" i="16"/>
  <c r="E534" i="16"/>
  <c r="F545" i="16"/>
  <c r="D478" i="16"/>
  <c r="E489" i="16"/>
  <c r="F500" i="16"/>
  <c r="C499" i="16"/>
  <c r="D510" i="16"/>
  <c r="E521" i="16"/>
  <c r="F532" i="16"/>
  <c r="C542" i="16"/>
  <c r="E476" i="16"/>
  <c r="F487" i="16"/>
  <c r="C496" i="16"/>
  <c r="D507" i="16"/>
  <c r="E518" i="16"/>
  <c r="F529" i="16"/>
  <c r="C539" i="16"/>
  <c r="E473" i="16"/>
  <c r="F484" i="16"/>
  <c r="E454" i="16"/>
  <c r="E452" i="16"/>
  <c r="E449" i="16"/>
  <c r="E447" i="16"/>
  <c r="E445" i="16"/>
  <c r="E443" i="16"/>
  <c r="E441" i="16"/>
  <c r="E438" i="16"/>
  <c r="E436" i="16"/>
  <c r="E434" i="16"/>
  <c r="E432" i="16"/>
  <c r="E430" i="16"/>
  <c r="E460" i="16"/>
  <c r="E458" i="16"/>
  <c r="E456" i="16"/>
  <c r="E440" i="16"/>
  <c r="E428" i="16"/>
  <c r="C667" i="16"/>
  <c r="E619" i="16"/>
  <c r="F627" i="16"/>
  <c r="C634" i="16"/>
  <c r="D642" i="16"/>
  <c r="E650" i="16"/>
  <c r="F658" i="16"/>
  <c r="C665" i="16"/>
  <c r="E617" i="16"/>
  <c r="F625" i="16"/>
  <c r="C549" i="16"/>
  <c r="D504" i="16"/>
  <c r="D547" i="16"/>
  <c r="E502" i="16"/>
  <c r="E545" i="16"/>
  <c r="F511" i="16"/>
  <c r="F543" i="16"/>
  <c r="C507" i="16"/>
  <c r="D473" i="16"/>
  <c r="F458" i="16"/>
  <c r="E647" i="16"/>
  <c r="C663" i="16"/>
  <c r="E629" i="16"/>
  <c r="D483" i="16"/>
  <c r="D515" i="16"/>
  <c r="E481" i="16"/>
  <c r="E513" i="16"/>
  <c r="F479" i="16"/>
  <c r="F522" i="16"/>
  <c r="C476" i="16"/>
  <c r="C518" i="16"/>
  <c r="D484" i="16"/>
  <c r="C450" i="16"/>
  <c r="C442" i="16"/>
  <c r="C433" i="16"/>
  <c r="C457" i="16"/>
  <c r="E633" i="16"/>
  <c r="E483" i="16"/>
  <c r="E515" i="16"/>
  <c r="F481" i="16"/>
  <c r="F513" i="16"/>
  <c r="C478" i="16"/>
  <c r="C510" i="16"/>
  <c r="D476" i="16"/>
  <c r="D518" i="16"/>
  <c r="E484" i="16"/>
  <c r="F449" i="16"/>
  <c r="F441" i="16"/>
  <c r="F432" i="16"/>
  <c r="F456" i="16"/>
  <c r="E627" i="16"/>
  <c r="E658" i="16"/>
  <c r="F633" i="16"/>
  <c r="E648" i="16"/>
  <c r="D615" i="16"/>
  <c r="F631" i="16"/>
  <c r="D638" i="16"/>
  <c r="F614" i="16"/>
  <c r="D613" i="16"/>
  <c r="E637" i="16"/>
  <c r="D157" i="16"/>
  <c r="E157" i="16"/>
  <c r="D491" i="16"/>
  <c r="E532" i="16"/>
  <c r="F454" i="16"/>
  <c r="F428" i="16"/>
  <c r="F664" i="16"/>
  <c r="C613" i="16"/>
  <c r="C547" i="16"/>
  <c r="E511" i="16"/>
  <c r="C453" i="16"/>
  <c r="C619" i="16"/>
  <c r="D640" i="16"/>
  <c r="E646" i="16"/>
  <c r="F452" i="16"/>
  <c r="D650" i="16"/>
  <c r="E654" i="16"/>
  <c r="F645" i="16"/>
  <c r="D656" i="16"/>
  <c r="C661" i="16"/>
  <c r="E494" i="16"/>
  <c r="E526" i="16"/>
  <c r="F492" i="16"/>
  <c r="F524" i="16"/>
  <c r="C489" i="16"/>
  <c r="C521" i="16"/>
  <c r="D487" i="16"/>
  <c r="D529" i="16"/>
  <c r="E495" i="16"/>
  <c r="C448" i="16"/>
  <c r="C439" i="16"/>
  <c r="C431" i="16"/>
  <c r="C451" i="16"/>
  <c r="E635" i="16"/>
  <c r="E666" i="16"/>
  <c r="F641" i="16"/>
  <c r="E656" i="16"/>
  <c r="D623" i="16"/>
  <c r="F639" i="16"/>
  <c r="D646" i="16"/>
  <c r="F622" i="16"/>
  <c r="D621" i="16"/>
  <c r="E645" i="16"/>
  <c r="C536" i="16"/>
  <c r="F498" i="16"/>
  <c r="F436" i="16"/>
  <c r="D617" i="16"/>
  <c r="C638" i="16"/>
  <c r="F629" i="16"/>
  <c r="D545" i="16"/>
  <c r="C473" i="16"/>
  <c r="C459" i="16"/>
  <c r="D625" i="16"/>
  <c r="C646" i="16"/>
  <c r="F637" i="16"/>
  <c r="D619" i="16"/>
  <c r="D648" i="16"/>
  <c r="C629" i="16"/>
  <c r="D658" i="16"/>
  <c r="C662" i="16"/>
  <c r="F494" i="16"/>
  <c r="F526" i="16"/>
  <c r="C480" i="16"/>
  <c r="C523" i="16"/>
  <c r="D489" i="16"/>
  <c r="D521" i="16"/>
  <c r="E487" i="16"/>
  <c r="E529" i="16"/>
  <c r="F495" i="16"/>
  <c r="F447" i="16"/>
  <c r="F438" i="16"/>
  <c r="F430" i="16"/>
  <c r="F440" i="16"/>
  <c r="F635" i="16"/>
  <c r="F666" i="16"/>
  <c r="C632" i="16"/>
  <c r="E664" i="16"/>
  <c r="D639" i="16"/>
  <c r="F655" i="16"/>
  <c r="D654" i="16"/>
  <c r="F654" i="16"/>
  <c r="D629" i="16"/>
  <c r="F613" i="16"/>
  <c r="F157" i="16"/>
  <c r="D534" i="16"/>
  <c r="F445" i="16"/>
  <c r="C642" i="16"/>
  <c r="E623" i="16"/>
  <c r="D661" i="16"/>
  <c r="D502" i="16"/>
  <c r="F509" i="16"/>
  <c r="C435" i="16"/>
  <c r="E631" i="16"/>
  <c r="E613" i="16"/>
  <c r="F434" i="16"/>
  <c r="C631" i="16"/>
  <c r="E621" i="16"/>
  <c r="F623" i="16"/>
  <c r="F653" i="16"/>
  <c r="F505" i="16"/>
  <c r="F537" i="16"/>
  <c r="C491" i="16"/>
  <c r="C534" i="16"/>
  <c r="D500" i="16"/>
  <c r="D532" i="16"/>
  <c r="E498" i="16"/>
  <c r="E540" i="16"/>
  <c r="F506" i="16"/>
  <c r="C446" i="16"/>
  <c r="C437" i="16"/>
  <c r="C461" i="16"/>
  <c r="C429" i="16"/>
  <c r="F643" i="16"/>
  <c r="C617" i="16"/>
  <c r="C640" i="16"/>
  <c r="F656" i="16"/>
  <c r="E615" i="16"/>
  <c r="C630" i="16"/>
  <c r="D662" i="16"/>
  <c r="F662" i="16"/>
  <c r="D637" i="16"/>
  <c r="F621" i="16"/>
  <c r="C493" i="16"/>
  <c r="E500" i="16"/>
  <c r="F540" i="16"/>
  <c r="F460" i="16"/>
  <c r="C648" i="16"/>
  <c r="E614" i="16"/>
  <c r="C504" i="16"/>
  <c r="E543" i="16"/>
  <c r="C444" i="16"/>
  <c r="C650" i="16"/>
  <c r="C615" i="16"/>
  <c r="C621" i="16"/>
  <c r="F443" i="16"/>
  <c r="E625" i="16"/>
  <c r="C654" i="16"/>
  <c r="D627" i="16"/>
  <c r="E662" i="16"/>
  <c r="E327" i="16"/>
  <c r="F327" i="16"/>
  <c r="C327" i="16"/>
  <c r="D327" i="16"/>
  <c r="D328" i="16"/>
  <c r="C328" i="16"/>
  <c r="F328" i="16"/>
  <c r="E328" i="16"/>
  <c r="C308" i="16"/>
  <c r="D331" i="16"/>
  <c r="F193" i="16"/>
  <c r="C215" i="16"/>
  <c r="D238" i="16"/>
  <c r="E261" i="16"/>
  <c r="F284" i="16"/>
  <c r="C305" i="16"/>
  <c r="E213" i="16"/>
  <c r="F259" i="16"/>
  <c r="C304" i="16"/>
  <c r="E212" i="16"/>
  <c r="F258" i="16"/>
  <c r="C303" i="16"/>
  <c r="D326" i="16"/>
  <c r="F188" i="16"/>
  <c r="C210" i="16"/>
  <c r="D233" i="16"/>
  <c r="E256" i="16"/>
  <c r="F279" i="16"/>
  <c r="C301" i="16"/>
  <c r="D324" i="16"/>
  <c r="F186" i="16"/>
  <c r="C208" i="16"/>
  <c r="D231" i="16"/>
  <c r="E254" i="16"/>
  <c r="F277" i="16"/>
  <c r="C321" i="16"/>
  <c r="D322" i="16"/>
  <c r="F253" i="16"/>
  <c r="C183" i="16"/>
  <c r="D184" i="16"/>
  <c r="E206" i="16"/>
  <c r="F207" i="16"/>
  <c r="C297" i="16"/>
  <c r="D320" i="16"/>
  <c r="F182" i="16"/>
  <c r="C204" i="16"/>
  <c r="D227" i="16"/>
  <c r="E250" i="16"/>
  <c r="F273" i="16"/>
  <c r="C316" i="16"/>
  <c r="D339" i="16"/>
  <c r="F201" i="16"/>
  <c r="C223" i="16"/>
  <c r="D246" i="16"/>
  <c r="E269" i="16"/>
  <c r="F292" i="16"/>
  <c r="C314" i="16"/>
  <c r="D337" i="16"/>
  <c r="F199" i="16"/>
  <c r="C221" i="16"/>
  <c r="D244" i="16"/>
  <c r="E267" i="16"/>
  <c r="F290" i="16"/>
  <c r="C312" i="16"/>
  <c r="D335" i="16"/>
  <c r="F197" i="16"/>
  <c r="C219" i="16"/>
  <c r="D242" i="16"/>
  <c r="E265" i="16"/>
  <c r="F288" i="16"/>
  <c r="C310" i="16"/>
  <c r="D333" i="16"/>
  <c r="F195" i="16"/>
  <c r="C214" i="16"/>
  <c r="D237" i="16"/>
  <c r="E260" i="16"/>
  <c r="F283" i="16"/>
  <c r="C295" i="16"/>
  <c r="D318" i="16"/>
  <c r="F180" i="16"/>
  <c r="C202" i="16"/>
  <c r="D225" i="16"/>
  <c r="E248" i="16"/>
  <c r="F271" i="16"/>
  <c r="C427" i="16"/>
  <c r="E381" i="16"/>
  <c r="F412" i="16"/>
  <c r="C426" i="16"/>
  <c r="E380" i="16"/>
  <c r="F411" i="16"/>
  <c r="C425" i="16"/>
  <c r="E379" i="16"/>
  <c r="C331" i="16"/>
  <c r="E193" i="16"/>
  <c r="F216" i="16"/>
  <c r="C238" i="16"/>
  <c r="D261" i="16"/>
  <c r="E284" i="16"/>
  <c r="F307" i="16"/>
  <c r="D190" i="16"/>
  <c r="E236" i="16"/>
  <c r="F282" i="16"/>
  <c r="D189" i="16"/>
  <c r="E235" i="16"/>
  <c r="F281" i="16"/>
  <c r="C326" i="16"/>
  <c r="E188" i="16"/>
  <c r="F211" i="16"/>
  <c r="C233" i="16"/>
  <c r="D256" i="16"/>
  <c r="E279" i="16"/>
  <c r="F302" i="16"/>
  <c r="C324" i="16"/>
  <c r="E186" i="16"/>
  <c r="F209" i="16"/>
  <c r="C231" i="16"/>
  <c r="D254" i="16"/>
  <c r="E277" i="16"/>
  <c r="F300" i="16"/>
  <c r="C322" i="16"/>
  <c r="E253" i="16"/>
  <c r="F275" i="16"/>
  <c r="C184" i="16"/>
  <c r="D206" i="16"/>
  <c r="E207" i="16"/>
  <c r="F229" i="16"/>
  <c r="C320" i="16"/>
  <c r="E182" i="16"/>
  <c r="F205" i="16"/>
  <c r="C227" i="16"/>
  <c r="D250" i="16"/>
  <c r="E273" i="16"/>
  <c r="F296" i="16"/>
  <c r="C339" i="16"/>
  <c r="E201" i="16"/>
  <c r="F224" i="16"/>
  <c r="C246" i="16"/>
  <c r="D269" i="16"/>
  <c r="E292" i="16"/>
  <c r="F315" i="16"/>
  <c r="C337" i="16"/>
  <c r="E199" i="16"/>
  <c r="F222" i="16"/>
  <c r="C244" i="16"/>
  <c r="D267" i="16"/>
  <c r="E290" i="16"/>
  <c r="F313" i="16"/>
  <c r="C335" i="16"/>
  <c r="E197" i="16"/>
  <c r="F220" i="16"/>
  <c r="C242" i="16"/>
  <c r="D265" i="16"/>
  <c r="E288" i="16"/>
  <c r="F311" i="16"/>
  <c r="C333" i="16"/>
  <c r="E195" i="16"/>
  <c r="F218" i="16"/>
  <c r="C237" i="16"/>
  <c r="D260" i="16"/>
  <c r="E283" i="16"/>
  <c r="F306" i="16"/>
  <c r="C318" i="16"/>
  <c r="E180" i="16"/>
  <c r="F203" i="16"/>
  <c r="C225" i="16"/>
  <c r="D248" i="16"/>
  <c r="E271" i="16"/>
  <c r="F294" i="16"/>
  <c r="D377" i="16"/>
  <c r="E385" i="16"/>
  <c r="F423" i="16"/>
  <c r="D376" i="16"/>
  <c r="E384" i="16"/>
  <c r="F422" i="16"/>
  <c r="D375" i="16"/>
  <c r="E383" i="16"/>
  <c r="D193" i="16"/>
  <c r="E216" i="16"/>
  <c r="F239" i="16"/>
  <c r="C261" i="16"/>
  <c r="D284" i="16"/>
  <c r="E307" i="16"/>
  <c r="F330" i="16"/>
  <c r="D213" i="16"/>
  <c r="E259" i="16"/>
  <c r="F305" i="16"/>
  <c r="D212" i="16"/>
  <c r="E258" i="16"/>
  <c r="F304" i="16"/>
  <c r="D188" i="16"/>
  <c r="E211" i="16"/>
  <c r="F234" i="16"/>
  <c r="C256" i="16"/>
  <c r="D279" i="16"/>
  <c r="E302" i="16"/>
  <c r="F325" i="16"/>
  <c r="D186" i="16"/>
  <c r="E209" i="16"/>
  <c r="F232" i="16"/>
  <c r="C254" i="16"/>
  <c r="D277" i="16"/>
  <c r="E300" i="16"/>
  <c r="F323" i="16"/>
  <c r="D253" i="16"/>
  <c r="E275" i="16"/>
  <c r="F276" i="16"/>
  <c r="C206" i="16"/>
  <c r="D207" i="16"/>
  <c r="E229" i="16"/>
  <c r="F230" i="16"/>
  <c r="D182" i="16"/>
  <c r="E205" i="16"/>
  <c r="F228" i="16"/>
  <c r="C250" i="16"/>
  <c r="D273" i="16"/>
  <c r="E296" i="16"/>
  <c r="F319" i="16"/>
  <c r="C193" i="16"/>
  <c r="C216" i="16"/>
  <c r="D239" i="16"/>
  <c r="E262" i="16"/>
  <c r="F285" i="16"/>
  <c r="C307" i="16"/>
  <c r="D330" i="16"/>
  <c r="F192" i="16"/>
  <c r="C213" i="16"/>
  <c r="D259" i="16"/>
  <c r="E305" i="16"/>
  <c r="C212" i="16"/>
  <c r="D258" i="16"/>
  <c r="E304" i="16"/>
  <c r="C211" i="16"/>
  <c r="D234" i="16"/>
  <c r="E257" i="16"/>
  <c r="F280" i="16"/>
  <c r="C302" i="16"/>
  <c r="D325" i="16"/>
  <c r="F187" i="16"/>
  <c r="C209" i="16"/>
  <c r="D232" i="16"/>
  <c r="E255" i="16"/>
  <c r="F278" i="16"/>
  <c r="C300" i="16"/>
  <c r="D323" i="16"/>
  <c r="F185" i="16"/>
  <c r="C275" i="16"/>
  <c r="D276" i="16"/>
  <c r="E298" i="16"/>
  <c r="F299" i="16"/>
  <c r="C229" i="16"/>
  <c r="D230" i="16"/>
  <c r="F161" i="16"/>
  <c r="C205" i="16"/>
  <c r="D228" i="16"/>
  <c r="E251" i="16"/>
  <c r="F274" i="16"/>
  <c r="C296" i="16"/>
  <c r="D319" i="16"/>
  <c r="F181" i="16"/>
  <c r="C224" i="16"/>
  <c r="D247" i="16"/>
  <c r="E270" i="16"/>
  <c r="F293" i="16"/>
  <c r="C315" i="16"/>
  <c r="D338" i="16"/>
  <c r="F200" i="16"/>
  <c r="C222" i="16"/>
  <c r="D245" i="16"/>
  <c r="E268" i="16"/>
  <c r="F291" i="16"/>
  <c r="C313" i="16"/>
  <c r="D336" i="16"/>
  <c r="F198" i="16"/>
  <c r="C220" i="16"/>
  <c r="D243" i="16"/>
  <c r="E266" i="16"/>
  <c r="F289" i="16"/>
  <c r="C311" i="16"/>
  <c r="D334" i="16"/>
  <c r="F196" i="16"/>
  <c r="C218" i="16"/>
  <c r="D241" i="16"/>
  <c r="E264" i="16"/>
  <c r="F287" i="16"/>
  <c r="C306" i="16"/>
  <c r="D329" i="16"/>
  <c r="F191" i="16"/>
  <c r="C203" i="16"/>
  <c r="D226" i="16"/>
  <c r="E249" i="16"/>
  <c r="F272" i="16"/>
  <c r="C294" i="16"/>
  <c r="D317" i="16"/>
  <c r="F179" i="16"/>
  <c r="C381" i="16"/>
  <c r="D412" i="16"/>
  <c r="E427" i="16"/>
  <c r="C380" i="16"/>
  <c r="D411" i="16"/>
  <c r="E426" i="16"/>
  <c r="C379" i="16"/>
  <c r="D410" i="16"/>
  <c r="E425" i="16"/>
  <c r="C239" i="16"/>
  <c r="D262" i="16"/>
  <c r="E285" i="16"/>
  <c r="F308" i="16"/>
  <c r="C330" i="16"/>
  <c r="E192" i="16"/>
  <c r="F215" i="16"/>
  <c r="C236" i="16"/>
  <c r="D282" i="16"/>
  <c r="F190" i="16"/>
  <c r="C235" i="16"/>
  <c r="D281" i="16"/>
  <c r="F189" i="16"/>
  <c r="C234" i="16"/>
  <c r="D257" i="16"/>
  <c r="E280" i="16"/>
  <c r="F303" i="16"/>
  <c r="C325" i="16"/>
  <c r="E187" i="16"/>
  <c r="F210" i="16"/>
  <c r="C232" i="16"/>
  <c r="D255" i="16"/>
  <c r="E278" i="16"/>
  <c r="F301" i="16"/>
  <c r="C323" i="16"/>
  <c r="E185" i="16"/>
  <c r="F208" i="16"/>
  <c r="C276" i="16"/>
  <c r="D298" i="16"/>
  <c r="E299" i="16"/>
  <c r="F321" i="16"/>
  <c r="C230" i="16"/>
  <c r="E161" i="16"/>
  <c r="F183" i="16"/>
  <c r="C228" i="16"/>
  <c r="D251" i="16"/>
  <c r="E274" i="16"/>
  <c r="F297" i="16"/>
  <c r="C319" i="16"/>
  <c r="E181" i="16"/>
  <c r="F204" i="16"/>
  <c r="C247" i="16"/>
  <c r="D270" i="16"/>
  <c r="E293" i="16"/>
  <c r="F316" i="16"/>
  <c r="C338" i="16"/>
  <c r="E200" i="16"/>
  <c r="F223" i="16"/>
  <c r="C245" i="16"/>
  <c r="D268" i="16"/>
  <c r="E291" i="16"/>
  <c r="F314" i="16"/>
  <c r="C336" i="16"/>
  <c r="E198" i="16"/>
  <c r="F221" i="16"/>
  <c r="C243" i="16"/>
  <c r="D266" i="16"/>
  <c r="E289" i="16"/>
  <c r="F312" i="16"/>
  <c r="C334" i="16"/>
  <c r="E196" i="16"/>
  <c r="F219" i="16"/>
  <c r="C241" i="16"/>
  <c r="D264" i="16"/>
  <c r="E287" i="16"/>
  <c r="F310" i="16"/>
  <c r="C329" i="16"/>
  <c r="E191" i="16"/>
  <c r="F214" i="16"/>
  <c r="C226" i="16"/>
  <c r="D249" i="16"/>
  <c r="E272" i="16"/>
  <c r="F295" i="16"/>
  <c r="C317" i="16"/>
  <c r="E179" i="16"/>
  <c r="F202" i="16"/>
  <c r="C385" i="16"/>
  <c r="D423" i="16"/>
  <c r="F377" i="16"/>
  <c r="C384" i="16"/>
  <c r="D422" i="16"/>
  <c r="F376" i="16"/>
  <c r="C383" i="16"/>
  <c r="D421" i="16"/>
  <c r="F375" i="16"/>
  <c r="C262" i="16"/>
  <c r="D285" i="16"/>
  <c r="E308" i="16"/>
  <c r="F331" i="16"/>
  <c r="D192" i="16"/>
  <c r="E215" i="16"/>
  <c r="F238" i="16"/>
  <c r="C285" i="16"/>
  <c r="D215" i="16"/>
  <c r="D236" i="16"/>
  <c r="C281" i="16"/>
  <c r="C257" i="16"/>
  <c r="F257" i="16"/>
  <c r="E233" i="16"/>
  <c r="D278" i="16"/>
  <c r="C277" i="16"/>
  <c r="F254" i="16"/>
  <c r="E321" i="16"/>
  <c r="D229" i="16"/>
  <c r="C274" i="16"/>
  <c r="F320" i="16"/>
  <c r="E319" i="16"/>
  <c r="D293" i="16"/>
  <c r="F339" i="16"/>
  <c r="E223" i="16"/>
  <c r="C268" i="16"/>
  <c r="E314" i="16"/>
  <c r="D198" i="16"/>
  <c r="F244" i="16"/>
  <c r="D289" i="16"/>
  <c r="F335" i="16"/>
  <c r="E219" i="16"/>
  <c r="C264" i="16"/>
  <c r="E310" i="16"/>
  <c r="D191" i="16"/>
  <c r="F237" i="16"/>
  <c r="D272" i="16"/>
  <c r="F318" i="16"/>
  <c r="E202" i="16"/>
  <c r="C412" i="16"/>
  <c r="F381" i="16"/>
  <c r="D426" i="16"/>
  <c r="C410" i="16"/>
  <c r="F379" i="16"/>
  <c r="C408" i="16"/>
  <c r="D424" i="16"/>
  <c r="F378" i="16"/>
  <c r="F406" i="16"/>
  <c r="F404" i="16"/>
  <c r="F402" i="16"/>
  <c r="F400" i="16"/>
  <c r="F397" i="16"/>
  <c r="F395" i="16"/>
  <c r="F393" i="16"/>
  <c r="F391" i="16"/>
  <c r="F389" i="16"/>
  <c r="F419" i="16"/>
  <c r="F417" i="16"/>
  <c r="F415" i="16"/>
  <c r="F409" i="16"/>
  <c r="F387" i="16"/>
  <c r="D216" i="16"/>
  <c r="D307" i="16"/>
  <c r="D305" i="16"/>
  <c r="D235" i="16"/>
  <c r="C280" i="16"/>
  <c r="F326" i="16"/>
  <c r="E325" i="16"/>
  <c r="D301" i="16"/>
  <c r="D185" i="16"/>
  <c r="C253" i="16"/>
  <c r="E322" i="16"/>
  <c r="E183" i="16"/>
  <c r="D205" i="16"/>
  <c r="C181" i="16"/>
  <c r="F227" i="16"/>
  <c r="D316" i="16"/>
  <c r="C200" i="16"/>
  <c r="E246" i="16"/>
  <c r="C291" i="16"/>
  <c r="E337" i="16"/>
  <c r="D221" i="16"/>
  <c r="F267" i="16"/>
  <c r="D312" i="16"/>
  <c r="C196" i="16"/>
  <c r="E242" i="16"/>
  <c r="C287" i="16"/>
  <c r="E333" i="16"/>
  <c r="D214" i="16"/>
  <c r="F260" i="16"/>
  <c r="D295" i="16"/>
  <c r="C179" i="16"/>
  <c r="E225" i="16"/>
  <c r="C423" i="16"/>
  <c r="F385" i="16"/>
  <c r="E376" i="16"/>
  <c r="C421" i="16"/>
  <c r="F383" i="16"/>
  <c r="C420" i="16"/>
  <c r="E374" i="16"/>
  <c r="F382" i="16"/>
  <c r="C405" i="16"/>
  <c r="C403" i="16"/>
  <c r="C401" i="16"/>
  <c r="C399" i="16"/>
  <c r="C396" i="16"/>
  <c r="C394" i="16"/>
  <c r="C392" i="16"/>
  <c r="C390" i="16"/>
  <c r="C388" i="16"/>
  <c r="C418" i="16"/>
  <c r="C416" i="16"/>
  <c r="C414" i="16"/>
  <c r="C398" i="16"/>
  <c r="C386" i="16"/>
  <c r="D308" i="16"/>
  <c r="E238" i="16"/>
  <c r="E190" i="16"/>
  <c r="D304" i="16"/>
  <c r="D211" i="16"/>
  <c r="C187" i="16"/>
  <c r="F233" i="16"/>
  <c r="E232" i="16"/>
  <c r="D208" i="16"/>
  <c r="C298" i="16"/>
  <c r="F298" i="16"/>
  <c r="E184" i="16"/>
  <c r="D274" i="16"/>
  <c r="C273" i="16"/>
  <c r="F250" i="16"/>
  <c r="E224" i="16"/>
  <c r="C269" i="16"/>
  <c r="E315" i="16"/>
  <c r="D199" i="16"/>
  <c r="F245" i="16"/>
  <c r="D290" i="16"/>
  <c r="F336" i="16"/>
  <c r="E220" i="16"/>
  <c r="C265" i="16"/>
  <c r="E311" i="16"/>
  <c r="D195" i="16"/>
  <c r="F241" i="16"/>
  <c r="D283" i="16"/>
  <c r="F329" i="16"/>
  <c r="E203" i="16"/>
  <c r="C248" i="16"/>
  <c r="E294" i="16"/>
  <c r="D381" i="16"/>
  <c r="F427" i="16"/>
  <c r="E411" i="16"/>
  <c r="D379" i="16"/>
  <c r="F410" i="16"/>
  <c r="C424" i="16"/>
  <c r="E378" i="16"/>
  <c r="F408" i="16"/>
  <c r="D405" i="16"/>
  <c r="D403" i="16"/>
  <c r="D401" i="16"/>
  <c r="D399" i="16"/>
  <c r="D396" i="16"/>
  <c r="D394" i="16"/>
  <c r="D392" i="16"/>
  <c r="D390" i="16"/>
  <c r="D388" i="16"/>
  <c r="D418" i="16"/>
  <c r="D416" i="16"/>
  <c r="D414" i="16"/>
  <c r="D398" i="16"/>
  <c r="D386" i="16"/>
  <c r="E239" i="16"/>
  <c r="E330" i="16"/>
  <c r="E282" i="16"/>
  <c r="E189" i="16"/>
  <c r="D280" i="16"/>
  <c r="C279" i="16"/>
  <c r="F256" i="16"/>
  <c r="E331" i="16"/>
  <c r="F261" i="16"/>
  <c r="F213" i="16"/>
  <c r="E281" i="16"/>
  <c r="D303" i="16"/>
  <c r="D187" i="16"/>
  <c r="C186" i="16"/>
  <c r="E324" i="16"/>
  <c r="E208" i="16"/>
  <c r="D275" i="16"/>
  <c r="C161" i="16"/>
  <c r="F184" i="16"/>
  <c r="E228" i="16"/>
  <c r="D204" i="16"/>
  <c r="C270" i="16"/>
  <c r="E316" i="16"/>
  <c r="D200" i="16"/>
  <c r="F246" i="16"/>
  <c r="D291" i="16"/>
  <c r="F337" i="16"/>
  <c r="E221" i="16"/>
  <c r="C266" i="16"/>
  <c r="E312" i="16"/>
  <c r="D196" i="16"/>
  <c r="F242" i="16"/>
  <c r="D287" i="16"/>
  <c r="F333" i="16"/>
  <c r="E214" i="16"/>
  <c r="C249" i="16"/>
  <c r="E295" i="16"/>
  <c r="D179" i="16"/>
  <c r="F225" i="16"/>
  <c r="D427" i="16"/>
  <c r="C411" i="16"/>
  <c r="F380" i="16"/>
  <c r="D425" i="16"/>
  <c r="F425" i="16"/>
  <c r="D378" i="16"/>
  <c r="E408" i="16"/>
  <c r="F424" i="16"/>
  <c r="F405" i="16"/>
  <c r="F403" i="16"/>
  <c r="F401" i="16"/>
  <c r="F399" i="16"/>
  <c r="F396" i="16"/>
  <c r="F394" i="16"/>
  <c r="F392" i="16"/>
  <c r="F390" i="16"/>
  <c r="F388" i="16"/>
  <c r="F418" i="16"/>
  <c r="F416" i="16"/>
  <c r="F414" i="16"/>
  <c r="F398" i="16"/>
  <c r="F386" i="16"/>
  <c r="F262" i="16"/>
  <c r="C190" i="16"/>
  <c r="F236" i="16"/>
  <c r="F212" i="16"/>
  <c r="E234" i="16"/>
  <c r="D210" i="16"/>
  <c r="C255" i="16"/>
  <c r="F255" i="16"/>
  <c r="E231" i="16"/>
  <c r="D299" i="16"/>
  <c r="C207" i="16"/>
  <c r="F206" i="16"/>
  <c r="E297" i="16"/>
  <c r="D296" i="16"/>
  <c r="C293" i="16"/>
  <c r="E339" i="16"/>
  <c r="D223" i="16"/>
  <c r="F269" i="16"/>
  <c r="D314" i="16"/>
  <c r="C198" i="16"/>
  <c r="E244" i="16"/>
  <c r="C289" i="16"/>
  <c r="E335" i="16"/>
  <c r="D219" i="16"/>
  <c r="F265" i="16"/>
  <c r="D310" i="16"/>
  <c r="C191" i="16"/>
  <c r="E237" i="16"/>
  <c r="C272" i="16"/>
  <c r="E318" i="16"/>
  <c r="D202" i="16"/>
  <c r="F248" i="16"/>
  <c r="E377" i="16"/>
  <c r="C422" i="16"/>
  <c r="F384" i="16"/>
  <c r="E375" i="16"/>
  <c r="C374" i="16"/>
  <c r="D382" i="16"/>
  <c r="E420" i="16"/>
  <c r="C406" i="16"/>
  <c r="C404" i="16"/>
  <c r="C402" i="16"/>
  <c r="C400" i="16"/>
  <c r="C397" i="16"/>
  <c r="C395" i="16"/>
  <c r="C393" i="16"/>
  <c r="C391" i="16"/>
  <c r="C389" i="16"/>
  <c r="C419" i="16"/>
  <c r="C417" i="16"/>
  <c r="C415" i="16"/>
  <c r="C409" i="16"/>
  <c r="C387" i="16"/>
  <c r="C674" i="16"/>
  <c r="C192" i="16"/>
  <c r="E303" i="16"/>
  <c r="C185" i="16"/>
  <c r="D161" i="16"/>
  <c r="D181" i="16"/>
  <c r="F270" i="16"/>
  <c r="E222" i="16"/>
  <c r="C197" i="16"/>
  <c r="D311" i="16"/>
  <c r="C260" i="16"/>
  <c r="E226" i="16"/>
  <c r="C377" i="16"/>
  <c r="F426" i="16"/>
  <c r="D374" i="16"/>
  <c r="E406" i="16"/>
  <c r="D400" i="16"/>
  <c r="E394" i="16"/>
  <c r="E389" i="16"/>
  <c r="D415" i="16"/>
  <c r="E386" i="16"/>
  <c r="C284" i="16"/>
  <c r="E326" i="16"/>
  <c r="D300" i="16"/>
  <c r="D183" i="16"/>
  <c r="E204" i="16"/>
  <c r="C292" i="16"/>
  <c r="E245" i="16"/>
  <c r="D197" i="16"/>
  <c r="E334" i="16"/>
  <c r="C283" i="16"/>
  <c r="F226" i="16"/>
  <c r="D385" i="16"/>
  <c r="C375" i="16"/>
  <c r="D408" i="16"/>
  <c r="E405" i="16"/>
  <c r="E400" i="16"/>
  <c r="D393" i="16"/>
  <c r="E388" i="16"/>
  <c r="E415" i="16"/>
  <c r="C259" i="16"/>
  <c r="D302" i="16"/>
  <c r="E323" i="16"/>
  <c r="E230" i="16"/>
  <c r="E227" i="16"/>
  <c r="D292" i="16"/>
  <c r="F268" i="16"/>
  <c r="D220" i="16"/>
  <c r="F334" i="16"/>
  <c r="D306" i="16"/>
  <c r="F249" i="16"/>
  <c r="E412" i="16"/>
  <c r="D383" i="16"/>
  <c r="D420" i="16"/>
  <c r="D404" i="16"/>
  <c r="E399" i="16"/>
  <c r="E393" i="16"/>
  <c r="D419" i="16"/>
  <c r="E414" i="16"/>
  <c r="C282" i="16"/>
  <c r="E210" i="16"/>
  <c r="F231" i="16"/>
  <c r="C182" i="16"/>
  <c r="C201" i="16"/>
  <c r="D315" i="16"/>
  <c r="C267" i="16"/>
  <c r="E243" i="16"/>
  <c r="C195" i="16"/>
  <c r="E306" i="16"/>
  <c r="C271" i="16"/>
  <c r="E423" i="16"/>
  <c r="E410" i="16"/>
  <c r="E382" i="16"/>
  <c r="E404" i="16"/>
  <c r="D397" i="16"/>
  <c r="E392" i="16"/>
  <c r="E419" i="16"/>
  <c r="D409" i="16"/>
  <c r="C189" i="16"/>
  <c r="C278" i="16"/>
  <c r="C299" i="16"/>
  <c r="C251" i="16"/>
  <c r="D201" i="16"/>
  <c r="E338" i="16"/>
  <c r="C290" i="16"/>
  <c r="F243" i="16"/>
  <c r="D218" i="16"/>
  <c r="E329" i="16"/>
  <c r="D271" i="16"/>
  <c r="C376" i="16"/>
  <c r="E421" i="16"/>
  <c r="E424" i="16"/>
  <c r="E403" i="16"/>
  <c r="E397" i="16"/>
  <c r="D391" i="16"/>
  <c r="E418" i="16"/>
  <c r="E409" i="16"/>
  <c r="C258" i="16"/>
  <c r="D209" i="16"/>
  <c r="D321" i="16"/>
  <c r="D297" i="16"/>
  <c r="D224" i="16"/>
  <c r="F338" i="16"/>
  <c r="D313" i="16"/>
  <c r="F235" i="16"/>
  <c r="E301" i="16"/>
  <c r="E276" i="16"/>
  <c r="E320" i="16"/>
  <c r="E247" i="16"/>
  <c r="C199" i="16"/>
  <c r="E313" i="16"/>
  <c r="C288" i="16"/>
  <c r="E241" i="16"/>
  <c r="D180" i="16"/>
  <c r="C188" i="16"/>
  <c r="D288" i="16"/>
  <c r="D380" i="16"/>
  <c r="D406" i="16"/>
  <c r="E390" i="16"/>
  <c r="F324" i="16"/>
  <c r="E218" i="16"/>
  <c r="D384" i="16"/>
  <c r="D402" i="16"/>
  <c r="D389" i="16"/>
  <c r="F322" i="16"/>
  <c r="F264" i="16"/>
  <c r="E422" i="16"/>
  <c r="E402" i="16"/>
  <c r="D417" i="16"/>
  <c r="F251" i="16"/>
  <c r="C180" i="16"/>
  <c r="F421" i="16"/>
  <c r="E401" i="16"/>
  <c r="E417" i="16"/>
  <c r="F247" i="16"/>
  <c r="D203" i="16"/>
  <c r="C378" i="16"/>
  <c r="E396" i="16"/>
  <c r="E416" i="16"/>
  <c r="D222" i="16"/>
  <c r="D294" i="16"/>
  <c r="C382" i="16"/>
  <c r="D395" i="16"/>
  <c r="E398" i="16"/>
  <c r="E336" i="16"/>
  <c r="E317" i="16"/>
  <c r="F374" i="16"/>
  <c r="E395" i="16"/>
  <c r="D387" i="16"/>
  <c r="D674" i="16"/>
  <c r="F266" i="16"/>
  <c r="E674" i="16"/>
  <c r="F317" i="16"/>
  <c r="F420" i="16"/>
  <c r="E391" i="16"/>
  <c r="E387" i="16"/>
  <c r="F674" i="16"/>
  <c r="C563" i="16"/>
  <c r="E582" i="16"/>
  <c r="C569" i="16"/>
  <c r="C593" i="16"/>
  <c r="C352" i="16"/>
  <c r="C345" i="16"/>
  <c r="C351" i="16"/>
  <c r="C357" i="16"/>
  <c r="C174" i="16"/>
  <c r="C252" i="16"/>
  <c r="C170" i="16"/>
  <c r="C332" i="16"/>
  <c r="C612" i="16"/>
  <c r="C462" i="16"/>
  <c r="C471" i="16"/>
  <c r="C530" i="16"/>
  <c r="C11" i="16"/>
  <c r="C673" i="16"/>
  <c r="D341" i="16"/>
  <c r="D371" i="16"/>
  <c r="D344" i="16"/>
  <c r="D356" i="16"/>
  <c r="D173" i="16"/>
  <c r="D160" i="16"/>
  <c r="D169" i="16"/>
  <c r="D309" i="16"/>
  <c r="D611" i="16"/>
  <c r="D668" i="16"/>
  <c r="D470" i="16"/>
  <c r="D519" i="16"/>
  <c r="D17" i="16"/>
  <c r="D10" i="16"/>
  <c r="D672" i="16"/>
  <c r="E340" i="16"/>
  <c r="E372" i="16"/>
  <c r="E343" i="16"/>
  <c r="E355" i="16"/>
  <c r="E362" i="16"/>
  <c r="E172" i="16"/>
  <c r="E159" i="16"/>
  <c r="E167" i="16"/>
  <c r="E286" i="16"/>
  <c r="E610" i="16"/>
  <c r="E660" i="16"/>
  <c r="E469" i="16"/>
  <c r="E508" i="16"/>
  <c r="E22" i="16"/>
  <c r="C574" i="16"/>
  <c r="F563" i="16"/>
  <c r="D569" i="16"/>
  <c r="C567" i="16"/>
  <c r="C363" i="16"/>
  <c r="C346" i="16"/>
  <c r="C353" i="16"/>
  <c r="C358" i="16"/>
  <c r="C364" i="16"/>
  <c r="C175" i="16"/>
  <c r="C162" i="16"/>
  <c r="C171" i="16"/>
  <c r="C605" i="16"/>
  <c r="C620" i="16"/>
  <c r="C463" i="16"/>
  <c r="C472" i="16"/>
  <c r="C541" i="16"/>
  <c r="C18" i="16"/>
  <c r="C6" i="16"/>
  <c r="C12" i="16"/>
  <c r="D593" i="16"/>
  <c r="D352" i="16"/>
  <c r="D345" i="16"/>
  <c r="D351" i="16"/>
  <c r="D357" i="16"/>
  <c r="D174" i="16"/>
  <c r="D252" i="16"/>
  <c r="D170" i="16"/>
  <c r="D332" i="16"/>
  <c r="D612" i="16"/>
  <c r="D462" i="16"/>
  <c r="D471" i="16"/>
  <c r="D530" i="16"/>
  <c r="D11" i="16"/>
  <c r="D673" i="16"/>
  <c r="E341" i="16"/>
  <c r="E371" i="16"/>
  <c r="E344" i="16"/>
  <c r="E356" i="16"/>
  <c r="E173" i="16"/>
  <c r="E160" i="16"/>
  <c r="E169" i="16"/>
  <c r="E309" i="16"/>
  <c r="E611" i="16"/>
  <c r="E668" i="16"/>
  <c r="E470" i="16"/>
  <c r="C582" i="16"/>
  <c r="F574" i="16"/>
  <c r="E569" i="16"/>
  <c r="C594" i="16"/>
  <c r="C368" i="16"/>
  <c r="C347" i="16"/>
  <c r="C354" i="16"/>
  <c r="C359" i="16"/>
  <c r="C366" i="16"/>
  <c r="C176" i="16"/>
  <c r="C163" i="16"/>
  <c r="C194" i="16"/>
  <c r="C606" i="16"/>
  <c r="C628" i="16"/>
  <c r="C465" i="16"/>
  <c r="C464" i="16"/>
  <c r="C4" i="16"/>
  <c r="C19" i="16"/>
  <c r="C7" i="16"/>
  <c r="D567" i="16"/>
  <c r="D363" i="16"/>
  <c r="D346" i="16"/>
  <c r="D353" i="16"/>
  <c r="D358" i="16"/>
  <c r="D364" i="16"/>
  <c r="D175" i="16"/>
  <c r="D162" i="16"/>
  <c r="D171" i="16"/>
  <c r="D605" i="16"/>
  <c r="D620" i="16"/>
  <c r="D463" i="16"/>
  <c r="D472" i="16"/>
  <c r="D541" i="16"/>
  <c r="D18" i="16"/>
  <c r="D6" i="16"/>
  <c r="D12" i="16"/>
  <c r="E593" i="16"/>
  <c r="E352" i="16"/>
  <c r="E345" i="16"/>
  <c r="E351" i="16"/>
  <c r="E357" i="16"/>
  <c r="E174" i="16"/>
  <c r="E252" i="16"/>
  <c r="E170" i="16"/>
  <c r="E332" i="16"/>
  <c r="E612" i="16"/>
  <c r="E462" i="16"/>
  <c r="E471" i="16"/>
  <c r="E530" i="16"/>
  <c r="E11" i="16"/>
  <c r="E673" i="16"/>
  <c r="F341" i="16"/>
  <c r="F371" i="16"/>
  <c r="F344" i="16"/>
  <c r="F356" i="16"/>
  <c r="F173" i="16"/>
  <c r="F160" i="16"/>
  <c r="D574" i="16"/>
  <c r="C581" i="16"/>
  <c r="C562" i="16"/>
  <c r="C595" i="16"/>
  <c r="C370" i="16"/>
  <c r="C373" i="16"/>
  <c r="C349" i="16"/>
  <c r="C361" i="16"/>
  <c r="C178" i="16"/>
  <c r="C165" i="16"/>
  <c r="C240" i="16"/>
  <c r="C608" i="16"/>
  <c r="C644" i="16"/>
  <c r="C467" i="16"/>
  <c r="C486" i="16"/>
  <c r="C15" i="16"/>
  <c r="C21" i="16"/>
  <c r="C8" i="16"/>
  <c r="C669" i="16"/>
  <c r="D568" i="16"/>
  <c r="D369" i="16"/>
  <c r="D348" i="16"/>
  <c r="D360" i="16"/>
  <c r="D156" i="16"/>
  <c r="D177" i="16"/>
  <c r="D164" i="16"/>
  <c r="D217" i="16"/>
  <c r="D607" i="16"/>
  <c r="D636" i="16"/>
  <c r="D466" i="16"/>
  <c r="D475" i="16"/>
  <c r="D5" i="16"/>
  <c r="D20" i="16"/>
  <c r="D13" i="16"/>
  <c r="E594" i="16"/>
  <c r="E368" i="16"/>
  <c r="E347" i="16"/>
  <c r="E354" i="16"/>
  <c r="E359" i="16"/>
  <c r="E366" i="16"/>
  <c r="E176" i="16"/>
  <c r="E163" i="16"/>
  <c r="E194" i="16"/>
  <c r="E606" i="16"/>
  <c r="E628" i="16"/>
  <c r="E465" i="16"/>
  <c r="E464" i="16"/>
  <c r="E4" i="16"/>
  <c r="E19" i="16"/>
  <c r="E7" i="16"/>
  <c r="F567" i="16"/>
  <c r="F363" i="16"/>
  <c r="F346" i="16"/>
  <c r="F353" i="16"/>
  <c r="F358" i="16"/>
  <c r="F364" i="16"/>
  <c r="F175" i="16"/>
  <c r="F162" i="16"/>
  <c r="D582" i="16"/>
  <c r="D581" i="16"/>
  <c r="D562" i="16"/>
  <c r="C596" i="16"/>
  <c r="C342" i="16"/>
  <c r="C350" i="16"/>
  <c r="C407" i="16"/>
  <c r="C365" i="16"/>
  <c r="C168" i="16"/>
  <c r="C158" i="16"/>
  <c r="C166" i="16"/>
  <c r="C263" i="16"/>
  <c r="C609" i="16"/>
  <c r="C652" i="16"/>
  <c r="C468" i="16"/>
  <c r="C497" i="16"/>
  <c r="C16" i="16"/>
  <c r="C9" i="16"/>
  <c r="C670" i="16"/>
  <c r="D595" i="16"/>
  <c r="D370" i="16"/>
  <c r="D373" i="16"/>
  <c r="D349" i="16"/>
  <c r="D361" i="16"/>
  <c r="D178" i="16"/>
  <c r="D165" i="16"/>
  <c r="D240" i="16"/>
  <c r="D608" i="16"/>
  <c r="D644" i="16"/>
  <c r="D467" i="16"/>
  <c r="D486" i="16"/>
  <c r="D15" i="16"/>
  <c r="D21" i="16"/>
  <c r="D8" i="16"/>
  <c r="D669" i="16"/>
  <c r="E568" i="16"/>
  <c r="E369" i="16"/>
  <c r="E348" i="16"/>
  <c r="E360" i="16"/>
  <c r="E156" i="16"/>
  <c r="E177" i="16"/>
  <c r="E164" i="16"/>
  <c r="E217" i="16"/>
  <c r="E607" i="16"/>
  <c r="D563" i="16"/>
  <c r="F562" i="16"/>
  <c r="C372" i="16"/>
  <c r="C348" i="16"/>
  <c r="C172" i="16"/>
  <c r="C217" i="16"/>
  <c r="C668" i="16"/>
  <c r="C13" i="16"/>
  <c r="D340" i="16"/>
  <c r="D354" i="16"/>
  <c r="D158" i="16"/>
  <c r="D606" i="16"/>
  <c r="D469" i="16"/>
  <c r="E373" i="16"/>
  <c r="E358" i="16"/>
  <c r="E165" i="16"/>
  <c r="E620" i="16"/>
  <c r="E472" i="16"/>
  <c r="E16" i="16"/>
  <c r="F594" i="16"/>
  <c r="F370" i="16"/>
  <c r="F372" i="16"/>
  <c r="F349" i="16"/>
  <c r="F355" i="16"/>
  <c r="F172" i="16"/>
  <c r="F163" i="16"/>
  <c r="F194" i="16"/>
  <c r="F606" i="16"/>
  <c r="F628" i="16"/>
  <c r="F465" i="16"/>
  <c r="F464" i="16"/>
  <c r="F4" i="16"/>
  <c r="F19" i="16"/>
  <c r="F7" i="16"/>
  <c r="C602" i="16"/>
  <c r="C560" i="16"/>
  <c r="C591" i="16"/>
  <c r="D601" i="16"/>
  <c r="D587" i="16"/>
  <c r="D576" i="16"/>
  <c r="E571" i="16"/>
  <c r="E559" i="16"/>
  <c r="E552" i="16"/>
  <c r="F570" i="16"/>
  <c r="F604" i="16"/>
  <c r="F589" i="16"/>
  <c r="F592" i="16"/>
  <c r="F554" i="16"/>
  <c r="E550" i="16"/>
  <c r="F575" i="16"/>
  <c r="F555" i="16"/>
  <c r="D566" i="16"/>
  <c r="E563" i="16"/>
  <c r="C568" i="16"/>
  <c r="C173" i="16"/>
  <c r="C286" i="16"/>
  <c r="C466" i="16"/>
  <c r="C17" i="16"/>
  <c r="D368" i="16"/>
  <c r="D366" i="16"/>
  <c r="D159" i="16"/>
  <c r="D609" i="16"/>
  <c r="D464" i="16"/>
  <c r="D22" i="16"/>
  <c r="D670" i="16"/>
  <c r="E342" i="16"/>
  <c r="E361" i="16"/>
  <c r="E166" i="16"/>
  <c r="E636" i="16"/>
  <c r="E475" i="16"/>
  <c r="E17" i="16"/>
  <c r="E8" i="16"/>
  <c r="F568" i="16"/>
  <c r="F350" i="16"/>
  <c r="F357" i="16"/>
  <c r="F174" i="16"/>
  <c r="F164" i="16"/>
  <c r="F217" i="16"/>
  <c r="F607" i="16"/>
  <c r="F636" i="16"/>
  <c r="F466" i="16"/>
  <c r="F475" i="16"/>
  <c r="F5" i="16"/>
  <c r="F20" i="16"/>
  <c r="F13" i="16"/>
  <c r="C598" i="16"/>
  <c r="C603" i="16"/>
  <c r="C561" i="16"/>
  <c r="C566" i="16"/>
  <c r="D572" i="16"/>
  <c r="D588" i="16"/>
  <c r="D553" i="16"/>
  <c r="E600" i="16"/>
  <c r="E573" i="16"/>
  <c r="E590" i="16"/>
  <c r="F599" i="16"/>
  <c r="F558" i="16"/>
  <c r="F550" i="16"/>
  <c r="D561" i="16"/>
  <c r="E574" i="16"/>
  <c r="C340" i="16"/>
  <c r="C177" i="16"/>
  <c r="C309" i="16"/>
  <c r="C469" i="16"/>
  <c r="C20" i="16"/>
  <c r="D355" i="16"/>
  <c r="D163" i="16"/>
  <c r="D610" i="16"/>
  <c r="D497" i="16"/>
  <c r="D7" i="16"/>
  <c r="D671" i="16"/>
  <c r="E346" i="16"/>
  <c r="E407" i="16"/>
  <c r="E171" i="16"/>
  <c r="E644" i="16"/>
  <c r="E486" i="16"/>
  <c r="E18" i="16"/>
  <c r="E9" i="16"/>
  <c r="F595" i="16"/>
  <c r="F373" i="16"/>
  <c r="F359" i="16"/>
  <c r="F176" i="16"/>
  <c r="F165" i="16"/>
  <c r="F240" i="16"/>
  <c r="F608" i="16"/>
  <c r="F644" i="16"/>
  <c r="F467" i="16"/>
  <c r="F486" i="16"/>
  <c r="F15" i="16"/>
  <c r="F21" i="16"/>
  <c r="F8" i="16"/>
  <c r="F669" i="16"/>
  <c r="C570" i="16"/>
  <c r="C604" i="16"/>
  <c r="C589" i="16"/>
  <c r="C592" i="16"/>
  <c r="D602" i="16"/>
  <c r="D560" i="16"/>
  <c r="D591" i="16"/>
  <c r="E601" i="16"/>
  <c r="E587" i="16"/>
  <c r="E576" i="16"/>
  <c r="F571" i="16"/>
  <c r="F559" i="16"/>
  <c r="F552" i="16"/>
  <c r="F551" i="16"/>
  <c r="F597" i="16"/>
  <c r="D359" i="16"/>
  <c r="D628" i="16"/>
  <c r="D9" i="16"/>
  <c r="E364" i="16"/>
  <c r="E240" i="16"/>
  <c r="E497" i="16"/>
  <c r="E10" i="16"/>
  <c r="F596" i="16"/>
  <c r="F351" i="16"/>
  <c r="F365" i="16"/>
  <c r="F177" i="16"/>
  <c r="F263" i="16"/>
  <c r="F652" i="16"/>
  <c r="F497" i="16"/>
  <c r="C599" i="16"/>
  <c r="C575" i="16"/>
  <c r="D603" i="16"/>
  <c r="E588" i="16"/>
  <c r="F582" i="16"/>
  <c r="C341" i="16"/>
  <c r="C159" i="16"/>
  <c r="C607" i="16"/>
  <c r="C470" i="16"/>
  <c r="C22" i="16"/>
  <c r="D342" i="16"/>
  <c r="D166" i="16"/>
  <c r="D508" i="16"/>
  <c r="E567" i="16"/>
  <c r="E349" i="16"/>
  <c r="E168" i="16"/>
  <c r="E652" i="16"/>
  <c r="E20" i="16"/>
  <c r="E669" i="16"/>
  <c r="F342" i="16"/>
  <c r="F360" i="16"/>
  <c r="F166" i="16"/>
  <c r="F609" i="16"/>
  <c r="F468" i="16"/>
  <c r="F16" i="16"/>
  <c r="F9" i="16"/>
  <c r="F670" i="16"/>
  <c r="C558" i="16"/>
  <c r="D598" i="16"/>
  <c r="E572" i="16"/>
  <c r="E581" i="16"/>
  <c r="C369" i="16"/>
  <c r="C355" i="16"/>
  <c r="C160" i="16"/>
  <c r="C610" i="16"/>
  <c r="C475" i="16"/>
  <c r="C671" i="16"/>
  <c r="D343" i="16"/>
  <c r="D407" i="16"/>
  <c r="D167" i="16"/>
  <c r="D652" i="16"/>
  <c r="D4" i="16"/>
  <c r="E595" i="16"/>
  <c r="E350" i="16"/>
  <c r="E175" i="16"/>
  <c r="E263" i="16"/>
  <c r="E463" i="16"/>
  <c r="E519" i="16"/>
  <c r="E21" i="16"/>
  <c r="E12" i="16"/>
  <c r="E670" i="16"/>
  <c r="F340" i="16"/>
  <c r="F343" i="16"/>
  <c r="F354" i="16"/>
  <c r="F361" i="16"/>
  <c r="F178" i="16"/>
  <c r="F167" i="16"/>
  <c r="F286" i="16"/>
  <c r="F610" i="16"/>
  <c r="F660" i="16"/>
  <c r="F469" i="16"/>
  <c r="F508" i="16"/>
  <c r="F22" i="16"/>
  <c r="F671" i="16"/>
  <c r="C571" i="16"/>
  <c r="C559" i="16"/>
  <c r="C552" i="16"/>
  <c r="D570" i="16"/>
  <c r="D604" i="16"/>
  <c r="D589" i="16"/>
  <c r="D592" i="16"/>
  <c r="E602" i="16"/>
  <c r="E560" i="16"/>
  <c r="E591" i="16"/>
  <c r="F601" i="16"/>
  <c r="F587" i="16"/>
  <c r="F576" i="16"/>
  <c r="F585" i="16"/>
  <c r="F556" i="16"/>
  <c r="F581" i="16"/>
  <c r="C356" i="16"/>
  <c r="C164" i="16"/>
  <c r="C611" i="16"/>
  <c r="C508" i="16"/>
  <c r="C672" i="16"/>
  <c r="D347" i="16"/>
  <c r="D362" i="16"/>
  <c r="D168" i="16"/>
  <c r="D194" i="16"/>
  <c r="D660" i="16"/>
  <c r="D16" i="16"/>
  <c r="E596" i="16"/>
  <c r="E353" i="16"/>
  <c r="E365" i="16"/>
  <c r="E178" i="16"/>
  <c r="E605" i="16"/>
  <c r="E466" i="16"/>
  <c r="E541" i="16"/>
  <c r="E13" i="16"/>
  <c r="E671" i="16"/>
  <c r="F352" i="16"/>
  <c r="F345" i="16"/>
  <c r="F407" i="16"/>
  <c r="F156" i="16"/>
  <c r="F158" i="16"/>
  <c r="F169" i="16"/>
  <c r="F309" i="16"/>
  <c r="F611" i="16"/>
  <c r="F668" i="16"/>
  <c r="F470" i="16"/>
  <c r="F519" i="16"/>
  <c r="F17" i="16"/>
  <c r="F10" i="16"/>
  <c r="F672" i="16"/>
  <c r="C600" i="16"/>
  <c r="C573" i="16"/>
  <c r="C590" i="16"/>
  <c r="D599" i="16"/>
  <c r="D558" i="16"/>
  <c r="D575" i="16"/>
  <c r="E598" i="16"/>
  <c r="E603" i="16"/>
  <c r="E561" i="16"/>
  <c r="E566" i="16"/>
  <c r="F572" i="16"/>
  <c r="F588" i="16"/>
  <c r="F553" i="16"/>
  <c r="F583" i="16"/>
  <c r="F557" i="16"/>
  <c r="F569" i="16"/>
  <c r="C371" i="16"/>
  <c r="C343" i="16"/>
  <c r="C360" i="16"/>
  <c r="C167" i="16"/>
  <c r="C636" i="16"/>
  <c r="C519" i="16"/>
  <c r="D594" i="16"/>
  <c r="D372" i="16"/>
  <c r="D350" i="16"/>
  <c r="D172" i="16"/>
  <c r="D263" i="16"/>
  <c r="D465" i="16"/>
  <c r="E363" i="16"/>
  <c r="E562" i="16"/>
  <c r="D590" i="16"/>
  <c r="F530" i="16"/>
  <c r="F591" i="16"/>
  <c r="D596" i="16"/>
  <c r="E608" i="16"/>
  <c r="F366" i="16"/>
  <c r="F598" i="16"/>
  <c r="C344" i="16"/>
  <c r="E370" i="16"/>
  <c r="E609" i="16"/>
  <c r="F605" i="16"/>
  <c r="F541" i="16"/>
  <c r="C553" i="16"/>
  <c r="E599" i="16"/>
  <c r="F600" i="16"/>
  <c r="F566" i="16"/>
  <c r="C362" i="16"/>
  <c r="E467" i="16"/>
  <c r="E672" i="16"/>
  <c r="F347" i="16"/>
  <c r="F612" i="16"/>
  <c r="F673" i="16"/>
  <c r="D571" i="16"/>
  <c r="E604" i="16"/>
  <c r="F602" i="16"/>
  <c r="F584" i="16"/>
  <c r="C156" i="16"/>
  <c r="D365" i="16"/>
  <c r="E468" i="16"/>
  <c r="F593" i="16"/>
  <c r="F348" i="16"/>
  <c r="F168" i="16"/>
  <c r="F620" i="16"/>
  <c r="F18" i="16"/>
  <c r="D600" i="16"/>
  <c r="E558" i="16"/>
  <c r="F603" i="16"/>
  <c r="F564" i="16"/>
  <c r="C10" i="16"/>
  <c r="E6" i="16"/>
  <c r="F472" i="16"/>
  <c r="C588" i="16"/>
  <c r="F590" i="16"/>
  <c r="D19" i="16"/>
  <c r="D550" i="16"/>
  <c r="F332" i="16"/>
  <c r="E570" i="16"/>
  <c r="C169" i="16"/>
  <c r="D176" i="16"/>
  <c r="E5" i="16"/>
  <c r="F368" i="16"/>
  <c r="F159" i="16"/>
  <c r="F462" i="16"/>
  <c r="C601" i="16"/>
  <c r="D559" i="16"/>
  <c r="E589" i="16"/>
  <c r="F573" i="16"/>
  <c r="F586" i="16"/>
  <c r="C660" i="16"/>
  <c r="D286" i="16"/>
  <c r="E15" i="16"/>
  <c r="F369" i="16"/>
  <c r="F252" i="16"/>
  <c r="F463" i="16"/>
  <c r="F6" i="16"/>
  <c r="C572" i="16"/>
  <c r="D573" i="16"/>
  <c r="E575" i="16"/>
  <c r="F560" i="16"/>
  <c r="F565" i="16"/>
  <c r="C5" i="16"/>
  <c r="D468" i="16"/>
  <c r="E158" i="16"/>
  <c r="F362" i="16"/>
  <c r="F170" i="16"/>
  <c r="F471" i="16"/>
  <c r="F11" i="16"/>
  <c r="C587" i="16"/>
  <c r="D552" i="16"/>
  <c r="E553" i="16"/>
  <c r="F561" i="16"/>
  <c r="C550" i="16"/>
  <c r="E162" i="16"/>
  <c r="F171" i="16"/>
  <c r="F12" i="16"/>
  <c r="E592" i="16"/>
  <c r="C576" i="16"/>
  <c r="C551" i="16"/>
  <c r="C597" i="16"/>
  <c r="D585" i="16"/>
  <c r="D556" i="16"/>
  <c r="E564" i="16"/>
  <c r="C556" i="16"/>
  <c r="E554" i="16"/>
  <c r="C583" i="16"/>
  <c r="C557" i="16"/>
  <c r="D586" i="16"/>
  <c r="E551" i="16"/>
  <c r="C554" i="16"/>
  <c r="D597" i="16"/>
  <c r="E556" i="16"/>
  <c r="C555" i="16"/>
  <c r="D565" i="16"/>
  <c r="E557" i="16"/>
  <c r="C584" i="16"/>
  <c r="C565" i="16"/>
  <c r="D583" i="16"/>
  <c r="D557" i="16"/>
  <c r="E586" i="16"/>
  <c r="C585" i="16"/>
  <c r="D564" i="16"/>
  <c r="E555" i="16"/>
  <c r="C564" i="16"/>
  <c r="D554" i="16"/>
  <c r="E597" i="16"/>
  <c r="D555" i="16"/>
  <c r="E584" i="16"/>
  <c r="D551" i="16"/>
  <c r="E585" i="16"/>
  <c r="C586" i="16"/>
  <c r="E565" i="16"/>
  <c r="D584" i="16"/>
  <c r="E583" i="16"/>
  <c r="K12" i="15"/>
  <c r="K11" i="15"/>
  <c r="K17" i="15"/>
  <c r="K16" i="15"/>
  <c r="K8" i="15"/>
  <c r="K9" i="15"/>
  <c r="K13" i="15"/>
  <c r="K7" i="15"/>
  <c r="K15" i="15"/>
  <c r="K6" i="15"/>
  <c r="K14" i="15"/>
  <c r="K5" i="15"/>
  <c r="K10" i="15"/>
  <c r="K4" i="15"/>
  <c r="M4" i="15"/>
  <c r="O261" i="15"/>
  <c r="O260" i="15"/>
  <c r="O259" i="15"/>
  <c r="O258" i="15"/>
  <c r="O257" i="15"/>
  <c r="O247" i="15"/>
  <c r="O246" i="15"/>
  <c r="O236" i="15"/>
  <c r="O235" i="15"/>
  <c r="O234" i="15"/>
  <c r="O233" i="15"/>
  <c r="O226" i="15"/>
  <c r="O225" i="15"/>
  <c r="O224" i="15"/>
  <c r="O209" i="15"/>
  <c r="O208" i="15"/>
  <c r="O207" i="15"/>
  <c r="O192" i="15"/>
  <c r="O191" i="15"/>
  <c r="O190" i="15"/>
  <c r="O187" i="15"/>
  <c r="O186" i="15"/>
  <c r="O172" i="15"/>
  <c r="O171" i="15"/>
  <c r="O170" i="15"/>
  <c r="O169" i="15"/>
  <c r="O158" i="15"/>
  <c r="O148" i="15"/>
  <c r="O147" i="15"/>
  <c r="O135" i="15"/>
  <c r="O134" i="15"/>
  <c r="O133" i="15"/>
  <c r="O132" i="15"/>
  <c r="O117" i="15"/>
  <c r="O116" i="15"/>
  <c r="O115" i="15"/>
  <c r="O104" i="15"/>
  <c r="O103" i="15"/>
  <c r="O102" i="15"/>
  <c r="O97" i="15"/>
  <c r="O96" i="15"/>
  <c r="O87" i="15"/>
  <c r="O86" i="15"/>
  <c r="O85" i="15"/>
  <c r="O84" i="15"/>
  <c r="O83" i="15"/>
  <c r="O82" i="15"/>
  <c r="O52" i="15"/>
  <c r="O40" i="15"/>
  <c r="O39" i="15"/>
  <c r="O38" i="15"/>
  <c r="O28" i="15"/>
  <c r="O27" i="15"/>
  <c r="O25" i="15"/>
  <c r="O22" i="15"/>
  <c r="O9" i="15"/>
  <c r="O5" i="15"/>
  <c r="O4" i="15"/>
  <c r="J5" i="15"/>
  <c r="J6" i="15"/>
  <c r="J7" i="15"/>
  <c r="J8" i="15"/>
  <c r="J9" i="15"/>
  <c r="J11" i="15"/>
  <c r="J12" i="15"/>
  <c r="J10" i="15"/>
  <c r="J14" i="15"/>
  <c r="J15" i="15"/>
  <c r="J13" i="15"/>
  <c r="J16" i="15"/>
  <c r="J17" i="15"/>
  <c r="J18" i="15"/>
  <c r="J20" i="15"/>
  <c r="J21" i="15"/>
  <c r="J19" i="15"/>
  <c r="J22" i="15"/>
  <c r="J24" i="15"/>
  <c r="J23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51" i="15"/>
  <c r="J40" i="15"/>
  <c r="J41" i="15"/>
  <c r="J42" i="15"/>
  <c r="J43" i="15"/>
  <c r="J44" i="15"/>
  <c r="J45" i="15"/>
  <c r="J46" i="15"/>
  <c r="J47" i="15"/>
  <c r="J48" i="15"/>
  <c r="J49" i="15"/>
  <c r="J50" i="15"/>
  <c r="J52" i="15"/>
  <c r="J53" i="15"/>
  <c r="J54" i="15"/>
  <c r="J55" i="15"/>
  <c r="J56" i="15"/>
  <c r="J57" i="15"/>
  <c r="J58" i="15"/>
  <c r="J76" i="15"/>
  <c r="J59" i="15"/>
  <c r="J60" i="15"/>
  <c r="J61" i="15"/>
  <c r="J62" i="15"/>
  <c r="J63" i="15"/>
  <c r="J67" i="15"/>
  <c r="J68" i="15"/>
  <c r="J69" i="15"/>
  <c r="J70" i="15"/>
  <c r="J71" i="15"/>
  <c r="J72" i="15"/>
  <c r="J73" i="15"/>
  <c r="J74" i="15"/>
  <c r="J75" i="15"/>
  <c r="J64" i="15"/>
  <c r="J65" i="15"/>
  <c r="J66" i="15"/>
  <c r="J82" i="15"/>
  <c r="J83" i="15"/>
  <c r="J84" i="15"/>
  <c r="J85" i="15"/>
  <c r="J86" i="15"/>
  <c r="J87" i="15"/>
  <c r="J88" i="15"/>
  <c r="J89" i="15"/>
  <c r="J90" i="15"/>
  <c r="J77" i="15"/>
  <c r="J78" i="15"/>
  <c r="J79" i="15"/>
  <c r="J80" i="15"/>
  <c r="J81" i="15"/>
  <c r="J91" i="15"/>
  <c r="J92" i="15"/>
  <c r="J93" i="15"/>
  <c r="J96" i="15"/>
  <c r="J97" i="15"/>
  <c r="J98" i="15"/>
  <c r="J99" i="15"/>
  <c r="J100" i="15"/>
  <c r="J94" i="15"/>
  <c r="J95" i="15"/>
  <c r="J102" i="15"/>
  <c r="J103" i="15"/>
  <c r="J104" i="15"/>
  <c r="J105" i="15"/>
  <c r="J112" i="15"/>
  <c r="J113" i="15"/>
  <c r="J106" i="15"/>
  <c r="J107" i="15"/>
  <c r="J108" i="15"/>
  <c r="J109" i="15"/>
  <c r="J101" i="15"/>
  <c r="J110" i="15"/>
  <c r="J111" i="15"/>
  <c r="J115" i="15"/>
  <c r="J116" i="15"/>
  <c r="J117" i="15"/>
  <c r="J118" i="15"/>
  <c r="J128" i="15"/>
  <c r="J129" i="15"/>
  <c r="J130" i="15"/>
  <c r="J119" i="15"/>
  <c r="J120" i="15"/>
  <c r="J121" i="15"/>
  <c r="J122" i="15"/>
  <c r="J123" i="15"/>
  <c r="J124" i="15"/>
  <c r="J125" i="15"/>
  <c r="J126" i="15"/>
  <c r="J127" i="15"/>
  <c r="J114" i="15"/>
  <c r="J132" i="15"/>
  <c r="J133" i="15"/>
  <c r="J134" i="15"/>
  <c r="J135" i="15"/>
  <c r="J143" i="15"/>
  <c r="J144" i="15"/>
  <c r="J145" i="15"/>
  <c r="J136" i="15"/>
  <c r="J137" i="15"/>
  <c r="J138" i="15"/>
  <c r="J139" i="15"/>
  <c r="J140" i="15"/>
  <c r="J141" i="15"/>
  <c r="J142" i="15"/>
  <c r="J131" i="15"/>
  <c r="J147" i="15"/>
  <c r="J148" i="15"/>
  <c r="J146" i="15"/>
  <c r="J149" i="15"/>
  <c r="J150" i="15"/>
  <c r="J151" i="15"/>
  <c r="J158" i="15"/>
  <c r="J152" i="15"/>
  <c r="J159" i="15"/>
  <c r="J160" i="15"/>
  <c r="J161" i="15"/>
  <c r="J162" i="15"/>
  <c r="J163" i="15"/>
  <c r="J164" i="15"/>
  <c r="J153" i="15"/>
  <c r="J154" i="15"/>
  <c r="J155" i="15"/>
  <c r="J156" i="15"/>
  <c r="J157" i="15"/>
  <c r="J166" i="15"/>
  <c r="J165" i="15"/>
  <c r="J169" i="15"/>
  <c r="J170" i="15"/>
  <c r="J171" i="15"/>
  <c r="J172" i="15"/>
  <c r="J173" i="15"/>
  <c r="J167" i="15"/>
  <c r="J168" i="15"/>
  <c r="J174" i="15"/>
  <c r="J175" i="15"/>
  <c r="J181" i="15"/>
  <c r="J182" i="15"/>
  <c r="J176" i="15"/>
  <c r="J177" i="15"/>
  <c r="J178" i="15"/>
  <c r="J179" i="15"/>
  <c r="J180" i="15"/>
  <c r="J186" i="15"/>
  <c r="J187" i="15"/>
  <c r="J183" i="15"/>
  <c r="J184" i="15"/>
  <c r="J185" i="15"/>
  <c r="J188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189" i="15"/>
  <c r="J203" i="15"/>
  <c r="J204" i="15"/>
  <c r="J205" i="15"/>
  <c r="J207" i="15"/>
  <c r="J208" i="15"/>
  <c r="J209" i="15"/>
  <c r="J210" i="15"/>
  <c r="J211" i="15"/>
  <c r="J212" i="15"/>
  <c r="J213" i="15"/>
  <c r="J214" i="15"/>
  <c r="J215" i="15"/>
  <c r="J216" i="15"/>
  <c r="J206" i="15"/>
  <c r="J217" i="15"/>
  <c r="J224" i="15"/>
  <c r="J225" i="15"/>
  <c r="J226" i="15"/>
  <c r="J218" i="15"/>
  <c r="J219" i="15"/>
  <c r="J220" i="15"/>
  <c r="J221" i="15"/>
  <c r="J222" i="15"/>
  <c r="J223" i="15"/>
  <c r="J227" i="15"/>
  <c r="J228" i="15"/>
  <c r="J233" i="15"/>
  <c r="J234" i="15"/>
  <c r="J235" i="15"/>
  <c r="J236" i="15"/>
  <c r="J237" i="15"/>
  <c r="J231" i="15"/>
  <c r="J232" i="15"/>
  <c r="J238" i="15"/>
  <c r="J239" i="15"/>
  <c r="J240" i="15"/>
  <c r="J241" i="15"/>
  <c r="J242" i="15"/>
  <c r="J229" i="15"/>
  <c r="J230" i="15"/>
  <c r="J243" i="15"/>
  <c r="J244" i="15"/>
  <c r="J246" i="15"/>
  <c r="J247" i="15"/>
  <c r="J248" i="15"/>
  <c r="J249" i="15"/>
  <c r="J250" i="15"/>
  <c r="J245" i="15"/>
  <c r="J251" i="15"/>
  <c r="J257" i="15"/>
  <c r="J258" i="15"/>
  <c r="J259" i="15"/>
  <c r="J260" i="15"/>
  <c r="J261" i="15"/>
  <c r="J262" i="15"/>
  <c r="J255" i="15"/>
  <c r="J256" i="15"/>
  <c r="J263" i="15"/>
  <c r="J264" i="15"/>
  <c r="J265" i="15"/>
  <c r="J266" i="15"/>
  <c r="J267" i="15"/>
  <c r="J252" i="15"/>
  <c r="J253" i="15"/>
  <c r="J254" i="15"/>
  <c r="J268" i="15"/>
  <c r="J269" i="15"/>
  <c r="I5" i="15"/>
  <c r="I6" i="15"/>
  <c r="I7" i="15"/>
  <c r="I8" i="15"/>
  <c r="I9" i="15"/>
  <c r="I11" i="15"/>
  <c r="I12" i="15"/>
  <c r="I10" i="15"/>
  <c r="I14" i="15"/>
  <c r="I15" i="15"/>
  <c r="I13" i="15"/>
  <c r="I16" i="15"/>
  <c r="I17" i="15"/>
  <c r="I18" i="15"/>
  <c r="I20" i="15"/>
  <c r="I21" i="15"/>
  <c r="I19" i="15"/>
  <c r="I22" i="15"/>
  <c r="I24" i="15"/>
  <c r="I23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51" i="15"/>
  <c r="I40" i="15"/>
  <c r="I41" i="15"/>
  <c r="I42" i="15"/>
  <c r="I43" i="15"/>
  <c r="I44" i="15"/>
  <c r="I45" i="15"/>
  <c r="I46" i="15"/>
  <c r="I47" i="15"/>
  <c r="I48" i="15"/>
  <c r="I49" i="15"/>
  <c r="I50" i="15"/>
  <c r="I52" i="15"/>
  <c r="I53" i="15"/>
  <c r="I54" i="15"/>
  <c r="I55" i="15"/>
  <c r="I56" i="15"/>
  <c r="I57" i="15"/>
  <c r="I58" i="15"/>
  <c r="I76" i="15"/>
  <c r="I59" i="15"/>
  <c r="I60" i="15"/>
  <c r="I61" i="15"/>
  <c r="I62" i="15"/>
  <c r="I63" i="15"/>
  <c r="I67" i="15"/>
  <c r="I68" i="15"/>
  <c r="I69" i="15"/>
  <c r="I70" i="15"/>
  <c r="I71" i="15"/>
  <c r="I72" i="15"/>
  <c r="I73" i="15"/>
  <c r="I74" i="15"/>
  <c r="I75" i="15"/>
  <c r="I64" i="15"/>
  <c r="I65" i="15"/>
  <c r="I66" i="15"/>
  <c r="I82" i="15"/>
  <c r="I83" i="15"/>
  <c r="I84" i="15"/>
  <c r="I85" i="15"/>
  <c r="I86" i="15"/>
  <c r="I87" i="15"/>
  <c r="I88" i="15"/>
  <c r="I89" i="15"/>
  <c r="I90" i="15"/>
  <c r="I77" i="15"/>
  <c r="I78" i="15"/>
  <c r="I79" i="15"/>
  <c r="I80" i="15"/>
  <c r="I81" i="15"/>
  <c r="I91" i="15"/>
  <c r="I92" i="15"/>
  <c r="I93" i="15"/>
  <c r="I96" i="15"/>
  <c r="I97" i="15"/>
  <c r="I98" i="15"/>
  <c r="I99" i="15"/>
  <c r="I100" i="15"/>
  <c r="I94" i="15"/>
  <c r="I95" i="15"/>
  <c r="I102" i="15"/>
  <c r="I103" i="15"/>
  <c r="I104" i="15"/>
  <c r="I105" i="15"/>
  <c r="I112" i="15"/>
  <c r="I113" i="15"/>
  <c r="I106" i="15"/>
  <c r="I107" i="15"/>
  <c r="I108" i="15"/>
  <c r="I109" i="15"/>
  <c r="I101" i="15"/>
  <c r="I110" i="15"/>
  <c r="I111" i="15"/>
  <c r="I115" i="15"/>
  <c r="I116" i="15"/>
  <c r="I117" i="15"/>
  <c r="I118" i="15"/>
  <c r="I128" i="15"/>
  <c r="I129" i="15"/>
  <c r="I130" i="15"/>
  <c r="I119" i="15"/>
  <c r="I120" i="15"/>
  <c r="I121" i="15"/>
  <c r="I122" i="15"/>
  <c r="I123" i="15"/>
  <c r="I124" i="15"/>
  <c r="I125" i="15"/>
  <c r="I126" i="15"/>
  <c r="I127" i="15"/>
  <c r="I114" i="15"/>
  <c r="I132" i="15"/>
  <c r="I133" i="15"/>
  <c r="I134" i="15"/>
  <c r="I135" i="15"/>
  <c r="I143" i="15"/>
  <c r="I144" i="15"/>
  <c r="I145" i="15"/>
  <c r="I136" i="15"/>
  <c r="I137" i="15"/>
  <c r="I138" i="15"/>
  <c r="I139" i="15"/>
  <c r="I140" i="15"/>
  <c r="I141" i="15"/>
  <c r="I142" i="15"/>
  <c r="I131" i="15"/>
  <c r="I147" i="15"/>
  <c r="I148" i="15"/>
  <c r="I146" i="15"/>
  <c r="I149" i="15"/>
  <c r="I150" i="15"/>
  <c r="I151" i="15"/>
  <c r="I158" i="15"/>
  <c r="I152" i="15"/>
  <c r="I159" i="15"/>
  <c r="I160" i="15"/>
  <c r="I161" i="15"/>
  <c r="I162" i="15"/>
  <c r="I163" i="15"/>
  <c r="I164" i="15"/>
  <c r="I153" i="15"/>
  <c r="I154" i="15"/>
  <c r="I155" i="15"/>
  <c r="I156" i="15"/>
  <c r="I157" i="15"/>
  <c r="I166" i="15"/>
  <c r="I165" i="15"/>
  <c r="I169" i="15"/>
  <c r="I170" i="15"/>
  <c r="I171" i="15"/>
  <c r="I172" i="15"/>
  <c r="I173" i="15"/>
  <c r="I167" i="15"/>
  <c r="I168" i="15"/>
  <c r="I174" i="15"/>
  <c r="I175" i="15"/>
  <c r="I181" i="15"/>
  <c r="I182" i="15"/>
  <c r="I176" i="15"/>
  <c r="I177" i="15"/>
  <c r="I178" i="15"/>
  <c r="I179" i="15"/>
  <c r="I180" i="15"/>
  <c r="I186" i="15"/>
  <c r="I187" i="15"/>
  <c r="I183" i="15"/>
  <c r="I184" i="15"/>
  <c r="I185" i="15"/>
  <c r="I188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189" i="15"/>
  <c r="I203" i="15"/>
  <c r="I204" i="15"/>
  <c r="I205" i="15"/>
  <c r="I207" i="15"/>
  <c r="I208" i="15"/>
  <c r="I209" i="15"/>
  <c r="I210" i="15"/>
  <c r="I211" i="15"/>
  <c r="I212" i="15"/>
  <c r="I213" i="15"/>
  <c r="I214" i="15"/>
  <c r="I215" i="15"/>
  <c r="I216" i="15"/>
  <c r="I206" i="15"/>
  <c r="I217" i="15"/>
  <c r="I224" i="15"/>
  <c r="I225" i="15"/>
  <c r="I226" i="15"/>
  <c r="I218" i="15"/>
  <c r="I219" i="15"/>
  <c r="I220" i="15"/>
  <c r="I221" i="15"/>
  <c r="I222" i="15"/>
  <c r="I223" i="15"/>
  <c r="I227" i="15"/>
  <c r="I228" i="15"/>
  <c r="I233" i="15"/>
  <c r="I234" i="15"/>
  <c r="I235" i="15"/>
  <c r="I236" i="15"/>
  <c r="I237" i="15"/>
  <c r="I231" i="15"/>
  <c r="I232" i="15"/>
  <c r="I238" i="15"/>
  <c r="I239" i="15"/>
  <c r="I240" i="15"/>
  <c r="I241" i="15"/>
  <c r="I242" i="15"/>
  <c r="I229" i="15"/>
  <c r="I230" i="15"/>
  <c r="I243" i="15"/>
  <c r="I244" i="15"/>
  <c r="I246" i="15"/>
  <c r="I247" i="15"/>
  <c r="I248" i="15"/>
  <c r="I249" i="15"/>
  <c r="I250" i="15"/>
  <c r="I245" i="15"/>
  <c r="I251" i="15"/>
  <c r="I257" i="15"/>
  <c r="I258" i="15"/>
  <c r="I259" i="15"/>
  <c r="I260" i="15"/>
  <c r="I261" i="15"/>
  <c r="I262" i="15"/>
  <c r="I255" i="15"/>
  <c r="I256" i="15"/>
  <c r="I263" i="15"/>
  <c r="I264" i="15"/>
  <c r="I265" i="15"/>
  <c r="I266" i="15"/>
  <c r="I267" i="15"/>
  <c r="I252" i="15"/>
  <c r="I253" i="15"/>
  <c r="I254" i="15"/>
  <c r="I268" i="15"/>
  <c r="I269" i="15"/>
  <c r="H5" i="15"/>
  <c r="H6" i="15"/>
  <c r="H7" i="15"/>
  <c r="H8" i="15"/>
  <c r="H9" i="15"/>
  <c r="H11" i="15"/>
  <c r="H12" i="15"/>
  <c r="H10" i="15"/>
  <c r="H14" i="15"/>
  <c r="H15" i="15"/>
  <c r="H13" i="15"/>
  <c r="H16" i="15"/>
  <c r="H17" i="15"/>
  <c r="H18" i="15"/>
  <c r="H20" i="15"/>
  <c r="H21" i="15"/>
  <c r="H19" i="15"/>
  <c r="H22" i="15"/>
  <c r="H24" i="15"/>
  <c r="H23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51" i="15"/>
  <c r="H40" i="15"/>
  <c r="H41" i="15"/>
  <c r="H42" i="15"/>
  <c r="H43" i="15"/>
  <c r="H44" i="15"/>
  <c r="H45" i="15"/>
  <c r="H46" i="15"/>
  <c r="H47" i="15"/>
  <c r="H48" i="15"/>
  <c r="H49" i="15"/>
  <c r="H50" i="15"/>
  <c r="H52" i="15"/>
  <c r="H53" i="15"/>
  <c r="H54" i="15"/>
  <c r="H55" i="15"/>
  <c r="H56" i="15"/>
  <c r="H57" i="15"/>
  <c r="H58" i="15"/>
  <c r="H76" i="15"/>
  <c r="H59" i="15"/>
  <c r="H60" i="15"/>
  <c r="H61" i="15"/>
  <c r="H62" i="15"/>
  <c r="H63" i="15"/>
  <c r="H67" i="15"/>
  <c r="H68" i="15"/>
  <c r="H69" i="15"/>
  <c r="H70" i="15"/>
  <c r="H71" i="15"/>
  <c r="H72" i="15"/>
  <c r="H73" i="15"/>
  <c r="H74" i="15"/>
  <c r="H75" i="15"/>
  <c r="H64" i="15"/>
  <c r="H65" i="15"/>
  <c r="H66" i="15"/>
  <c r="H82" i="15"/>
  <c r="H83" i="15"/>
  <c r="H84" i="15"/>
  <c r="H85" i="15"/>
  <c r="H86" i="15"/>
  <c r="H87" i="15"/>
  <c r="H88" i="15"/>
  <c r="H89" i="15"/>
  <c r="H90" i="15"/>
  <c r="H77" i="15"/>
  <c r="H78" i="15"/>
  <c r="H79" i="15"/>
  <c r="H80" i="15"/>
  <c r="H81" i="15"/>
  <c r="H91" i="15"/>
  <c r="H92" i="15"/>
  <c r="H93" i="15"/>
  <c r="H96" i="15"/>
  <c r="H97" i="15"/>
  <c r="H98" i="15"/>
  <c r="H99" i="15"/>
  <c r="H100" i="15"/>
  <c r="H94" i="15"/>
  <c r="H95" i="15"/>
  <c r="H102" i="15"/>
  <c r="H103" i="15"/>
  <c r="H104" i="15"/>
  <c r="H105" i="15"/>
  <c r="H112" i="15"/>
  <c r="H113" i="15"/>
  <c r="H106" i="15"/>
  <c r="H107" i="15"/>
  <c r="H108" i="15"/>
  <c r="H109" i="15"/>
  <c r="H101" i="15"/>
  <c r="H110" i="15"/>
  <c r="H111" i="15"/>
  <c r="H115" i="15"/>
  <c r="H116" i="15"/>
  <c r="H117" i="15"/>
  <c r="H118" i="15"/>
  <c r="H128" i="15"/>
  <c r="H129" i="15"/>
  <c r="H130" i="15"/>
  <c r="H119" i="15"/>
  <c r="H120" i="15"/>
  <c r="H121" i="15"/>
  <c r="H122" i="15"/>
  <c r="H123" i="15"/>
  <c r="H124" i="15"/>
  <c r="H125" i="15"/>
  <c r="H126" i="15"/>
  <c r="H127" i="15"/>
  <c r="H114" i="15"/>
  <c r="H132" i="15"/>
  <c r="H133" i="15"/>
  <c r="H134" i="15"/>
  <c r="H135" i="15"/>
  <c r="H143" i="15"/>
  <c r="H144" i="15"/>
  <c r="H145" i="15"/>
  <c r="H136" i="15"/>
  <c r="H137" i="15"/>
  <c r="H138" i="15"/>
  <c r="H139" i="15"/>
  <c r="H140" i="15"/>
  <c r="H141" i="15"/>
  <c r="H142" i="15"/>
  <c r="H131" i="15"/>
  <c r="H147" i="15"/>
  <c r="H148" i="15"/>
  <c r="H146" i="15"/>
  <c r="H149" i="15"/>
  <c r="H150" i="15"/>
  <c r="H151" i="15"/>
  <c r="H158" i="15"/>
  <c r="H152" i="15"/>
  <c r="H159" i="15"/>
  <c r="H160" i="15"/>
  <c r="H161" i="15"/>
  <c r="H162" i="15"/>
  <c r="H163" i="15"/>
  <c r="H164" i="15"/>
  <c r="H153" i="15"/>
  <c r="H154" i="15"/>
  <c r="H155" i="15"/>
  <c r="H156" i="15"/>
  <c r="H157" i="15"/>
  <c r="H166" i="15"/>
  <c r="H165" i="15"/>
  <c r="H169" i="15"/>
  <c r="H170" i="15"/>
  <c r="H171" i="15"/>
  <c r="H172" i="15"/>
  <c r="H173" i="15"/>
  <c r="H167" i="15"/>
  <c r="H168" i="15"/>
  <c r="H174" i="15"/>
  <c r="H175" i="15"/>
  <c r="H181" i="15"/>
  <c r="H182" i="15"/>
  <c r="H176" i="15"/>
  <c r="H177" i="15"/>
  <c r="H178" i="15"/>
  <c r="H179" i="15"/>
  <c r="H180" i="15"/>
  <c r="H186" i="15"/>
  <c r="H187" i="15"/>
  <c r="H183" i="15"/>
  <c r="H184" i="15"/>
  <c r="H185" i="15"/>
  <c r="H188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189" i="15"/>
  <c r="H203" i="15"/>
  <c r="H204" i="15"/>
  <c r="H205" i="15"/>
  <c r="H207" i="15"/>
  <c r="H208" i="15"/>
  <c r="H209" i="15"/>
  <c r="H210" i="15"/>
  <c r="H211" i="15"/>
  <c r="H212" i="15"/>
  <c r="H213" i="15"/>
  <c r="H214" i="15"/>
  <c r="H215" i="15"/>
  <c r="H216" i="15"/>
  <c r="H206" i="15"/>
  <c r="H217" i="15"/>
  <c r="H224" i="15"/>
  <c r="H225" i="15"/>
  <c r="H226" i="15"/>
  <c r="H218" i="15"/>
  <c r="H219" i="15"/>
  <c r="H220" i="15"/>
  <c r="H221" i="15"/>
  <c r="H222" i="15"/>
  <c r="H223" i="15"/>
  <c r="H227" i="15"/>
  <c r="H228" i="15"/>
  <c r="H233" i="15"/>
  <c r="H234" i="15"/>
  <c r="H235" i="15"/>
  <c r="H236" i="15"/>
  <c r="H237" i="15"/>
  <c r="H231" i="15"/>
  <c r="H232" i="15"/>
  <c r="H238" i="15"/>
  <c r="H239" i="15"/>
  <c r="H240" i="15"/>
  <c r="H241" i="15"/>
  <c r="H242" i="15"/>
  <c r="H229" i="15"/>
  <c r="H230" i="15"/>
  <c r="H243" i="15"/>
  <c r="H244" i="15"/>
  <c r="H246" i="15"/>
  <c r="H247" i="15"/>
  <c r="H248" i="15"/>
  <c r="H249" i="15"/>
  <c r="H250" i="15"/>
  <c r="H245" i="15"/>
  <c r="H251" i="15"/>
  <c r="H257" i="15"/>
  <c r="H258" i="15"/>
  <c r="H259" i="15"/>
  <c r="H260" i="15"/>
  <c r="H261" i="15"/>
  <c r="H262" i="15"/>
  <c r="H255" i="15"/>
  <c r="H256" i="15"/>
  <c r="H263" i="15"/>
  <c r="H264" i="15"/>
  <c r="H265" i="15"/>
  <c r="H266" i="15"/>
  <c r="H267" i="15"/>
  <c r="H252" i="15"/>
  <c r="H253" i="15"/>
  <c r="H254" i="15"/>
  <c r="H268" i="15"/>
  <c r="H269" i="15"/>
  <c r="G5" i="15"/>
  <c r="G6" i="15"/>
  <c r="G7" i="15"/>
  <c r="G8" i="15"/>
  <c r="G9" i="15"/>
  <c r="G11" i="15"/>
  <c r="G12" i="15"/>
  <c r="G10" i="15"/>
  <c r="G14" i="15"/>
  <c r="G15" i="15"/>
  <c r="G13" i="15"/>
  <c r="G16" i="15"/>
  <c r="G17" i="15"/>
  <c r="G18" i="15"/>
  <c r="G20" i="15"/>
  <c r="G21" i="15"/>
  <c r="G19" i="15"/>
  <c r="G22" i="15"/>
  <c r="G24" i="15"/>
  <c r="G23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51" i="15"/>
  <c r="G40" i="15"/>
  <c r="G41" i="15"/>
  <c r="G42" i="15"/>
  <c r="G43" i="15"/>
  <c r="G44" i="15"/>
  <c r="G45" i="15"/>
  <c r="G46" i="15"/>
  <c r="G47" i="15"/>
  <c r="G48" i="15"/>
  <c r="G49" i="15"/>
  <c r="G50" i="15"/>
  <c r="G52" i="15"/>
  <c r="G53" i="15"/>
  <c r="G54" i="15"/>
  <c r="G55" i="15"/>
  <c r="G56" i="15"/>
  <c r="G57" i="15"/>
  <c r="G58" i="15"/>
  <c r="G76" i="15"/>
  <c r="G59" i="15"/>
  <c r="G60" i="15"/>
  <c r="G61" i="15"/>
  <c r="G62" i="15"/>
  <c r="G63" i="15"/>
  <c r="G67" i="15"/>
  <c r="G68" i="15"/>
  <c r="G69" i="15"/>
  <c r="G70" i="15"/>
  <c r="G71" i="15"/>
  <c r="G72" i="15"/>
  <c r="G73" i="15"/>
  <c r="G74" i="15"/>
  <c r="G75" i="15"/>
  <c r="G64" i="15"/>
  <c r="G65" i="15"/>
  <c r="G66" i="15"/>
  <c r="G82" i="15"/>
  <c r="G83" i="15"/>
  <c r="G84" i="15"/>
  <c r="G85" i="15"/>
  <c r="G86" i="15"/>
  <c r="G87" i="15"/>
  <c r="G88" i="15"/>
  <c r="G89" i="15"/>
  <c r="G90" i="15"/>
  <c r="G77" i="15"/>
  <c r="G78" i="15"/>
  <c r="G79" i="15"/>
  <c r="G80" i="15"/>
  <c r="G81" i="15"/>
  <c r="G91" i="15"/>
  <c r="G92" i="15"/>
  <c r="G93" i="15"/>
  <c r="G96" i="15"/>
  <c r="G97" i="15"/>
  <c r="G98" i="15"/>
  <c r="G99" i="15"/>
  <c r="G100" i="15"/>
  <c r="G94" i="15"/>
  <c r="G95" i="15"/>
  <c r="G102" i="15"/>
  <c r="G103" i="15"/>
  <c r="G104" i="15"/>
  <c r="G105" i="15"/>
  <c r="G112" i="15"/>
  <c r="G113" i="15"/>
  <c r="G106" i="15"/>
  <c r="G107" i="15"/>
  <c r="G108" i="15"/>
  <c r="G109" i="15"/>
  <c r="G101" i="15"/>
  <c r="G110" i="15"/>
  <c r="G111" i="15"/>
  <c r="G115" i="15"/>
  <c r="G116" i="15"/>
  <c r="G117" i="15"/>
  <c r="G118" i="15"/>
  <c r="G128" i="15"/>
  <c r="G129" i="15"/>
  <c r="G130" i="15"/>
  <c r="G119" i="15"/>
  <c r="G120" i="15"/>
  <c r="G121" i="15"/>
  <c r="G122" i="15"/>
  <c r="G123" i="15"/>
  <c r="G124" i="15"/>
  <c r="G125" i="15"/>
  <c r="G126" i="15"/>
  <c r="G127" i="15"/>
  <c r="G114" i="15"/>
  <c r="G132" i="15"/>
  <c r="G133" i="15"/>
  <c r="G134" i="15"/>
  <c r="G135" i="15"/>
  <c r="G143" i="15"/>
  <c r="G144" i="15"/>
  <c r="G145" i="15"/>
  <c r="G136" i="15"/>
  <c r="G137" i="15"/>
  <c r="G138" i="15"/>
  <c r="G139" i="15"/>
  <c r="G140" i="15"/>
  <c r="G141" i="15"/>
  <c r="G142" i="15"/>
  <c r="G131" i="15"/>
  <c r="G147" i="15"/>
  <c r="G148" i="15"/>
  <c r="G146" i="15"/>
  <c r="G149" i="15"/>
  <c r="G150" i="15"/>
  <c r="G151" i="15"/>
  <c r="G158" i="15"/>
  <c r="G152" i="15"/>
  <c r="G159" i="15"/>
  <c r="G160" i="15"/>
  <c r="G161" i="15"/>
  <c r="G162" i="15"/>
  <c r="G163" i="15"/>
  <c r="G164" i="15"/>
  <c r="G153" i="15"/>
  <c r="G154" i="15"/>
  <c r="G155" i="15"/>
  <c r="G156" i="15"/>
  <c r="G157" i="15"/>
  <c r="G166" i="15"/>
  <c r="G165" i="15"/>
  <c r="G169" i="15"/>
  <c r="G170" i="15"/>
  <c r="G171" i="15"/>
  <c r="G172" i="15"/>
  <c r="G173" i="15"/>
  <c r="G167" i="15"/>
  <c r="G168" i="15"/>
  <c r="G174" i="15"/>
  <c r="G175" i="15"/>
  <c r="G181" i="15"/>
  <c r="G182" i="15"/>
  <c r="G176" i="15"/>
  <c r="G177" i="15"/>
  <c r="G178" i="15"/>
  <c r="G179" i="15"/>
  <c r="G180" i="15"/>
  <c r="G186" i="15"/>
  <c r="G187" i="15"/>
  <c r="G183" i="15"/>
  <c r="G184" i="15"/>
  <c r="G185" i="15"/>
  <c r="G188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189" i="15"/>
  <c r="G203" i="15"/>
  <c r="G204" i="15"/>
  <c r="G205" i="15"/>
  <c r="G207" i="15"/>
  <c r="G208" i="15"/>
  <c r="G209" i="15"/>
  <c r="G210" i="15"/>
  <c r="G211" i="15"/>
  <c r="G212" i="15"/>
  <c r="G213" i="15"/>
  <c r="G214" i="15"/>
  <c r="G215" i="15"/>
  <c r="G216" i="15"/>
  <c r="G206" i="15"/>
  <c r="G217" i="15"/>
  <c r="G224" i="15"/>
  <c r="G225" i="15"/>
  <c r="G226" i="15"/>
  <c r="G218" i="15"/>
  <c r="G219" i="15"/>
  <c r="G220" i="15"/>
  <c r="G221" i="15"/>
  <c r="G222" i="15"/>
  <c r="G223" i="15"/>
  <c r="G227" i="15"/>
  <c r="G228" i="15"/>
  <c r="G233" i="15"/>
  <c r="G234" i="15"/>
  <c r="G235" i="15"/>
  <c r="G236" i="15"/>
  <c r="G237" i="15"/>
  <c r="G231" i="15"/>
  <c r="G232" i="15"/>
  <c r="G238" i="15"/>
  <c r="G239" i="15"/>
  <c r="G240" i="15"/>
  <c r="G241" i="15"/>
  <c r="G242" i="15"/>
  <c r="G229" i="15"/>
  <c r="G230" i="15"/>
  <c r="G243" i="15"/>
  <c r="G244" i="15"/>
  <c r="G246" i="15"/>
  <c r="G247" i="15"/>
  <c r="G248" i="15"/>
  <c r="G249" i="15"/>
  <c r="G250" i="15"/>
  <c r="G245" i="15"/>
  <c r="G251" i="15"/>
  <c r="G257" i="15"/>
  <c r="G258" i="15"/>
  <c r="G259" i="15"/>
  <c r="G260" i="15"/>
  <c r="G261" i="15"/>
  <c r="G262" i="15"/>
  <c r="G255" i="15"/>
  <c r="G256" i="15"/>
  <c r="G263" i="15"/>
  <c r="G264" i="15"/>
  <c r="G265" i="15"/>
  <c r="G266" i="15"/>
  <c r="G267" i="15"/>
  <c r="G252" i="15"/>
  <c r="G253" i="15"/>
  <c r="G254" i="15"/>
  <c r="G268" i="15"/>
  <c r="G269" i="15"/>
  <c r="F5" i="15"/>
  <c r="F6" i="15"/>
  <c r="F7" i="15"/>
  <c r="F8" i="15"/>
  <c r="F9" i="15"/>
  <c r="F11" i="15"/>
  <c r="F12" i="15"/>
  <c r="F10" i="15"/>
  <c r="F14" i="15"/>
  <c r="F15" i="15"/>
  <c r="F13" i="15"/>
  <c r="F16" i="15"/>
  <c r="F17" i="15"/>
  <c r="F18" i="15"/>
  <c r="F20" i="15"/>
  <c r="F21" i="15"/>
  <c r="F19" i="15"/>
  <c r="F22" i="15"/>
  <c r="F24" i="15"/>
  <c r="F23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51" i="15"/>
  <c r="F40" i="15"/>
  <c r="F41" i="15"/>
  <c r="F42" i="15"/>
  <c r="F43" i="15"/>
  <c r="F44" i="15"/>
  <c r="F45" i="15"/>
  <c r="F46" i="15"/>
  <c r="F47" i="15"/>
  <c r="F48" i="15"/>
  <c r="F49" i="15"/>
  <c r="F50" i="15"/>
  <c r="F52" i="15"/>
  <c r="F53" i="15"/>
  <c r="F54" i="15"/>
  <c r="F55" i="15"/>
  <c r="F56" i="15"/>
  <c r="F57" i="15"/>
  <c r="F58" i="15"/>
  <c r="F76" i="15"/>
  <c r="F59" i="15"/>
  <c r="F60" i="15"/>
  <c r="F61" i="15"/>
  <c r="F62" i="15"/>
  <c r="F63" i="15"/>
  <c r="F67" i="15"/>
  <c r="F68" i="15"/>
  <c r="F69" i="15"/>
  <c r="F70" i="15"/>
  <c r="F71" i="15"/>
  <c r="F72" i="15"/>
  <c r="F73" i="15"/>
  <c r="F74" i="15"/>
  <c r="F75" i="15"/>
  <c r="F64" i="15"/>
  <c r="F65" i="15"/>
  <c r="F66" i="15"/>
  <c r="F82" i="15"/>
  <c r="F83" i="15"/>
  <c r="F84" i="15"/>
  <c r="F85" i="15"/>
  <c r="F86" i="15"/>
  <c r="F87" i="15"/>
  <c r="F88" i="15"/>
  <c r="F89" i="15"/>
  <c r="F90" i="15"/>
  <c r="F77" i="15"/>
  <c r="F78" i="15"/>
  <c r="F79" i="15"/>
  <c r="F80" i="15"/>
  <c r="F81" i="15"/>
  <c r="F91" i="15"/>
  <c r="F92" i="15"/>
  <c r="F93" i="15"/>
  <c r="F96" i="15"/>
  <c r="F97" i="15"/>
  <c r="F98" i="15"/>
  <c r="F99" i="15"/>
  <c r="F100" i="15"/>
  <c r="F94" i="15"/>
  <c r="F95" i="15"/>
  <c r="F102" i="15"/>
  <c r="F103" i="15"/>
  <c r="F104" i="15"/>
  <c r="F105" i="15"/>
  <c r="F112" i="15"/>
  <c r="F113" i="15"/>
  <c r="F106" i="15"/>
  <c r="F107" i="15"/>
  <c r="F108" i="15"/>
  <c r="F109" i="15"/>
  <c r="F101" i="15"/>
  <c r="F110" i="15"/>
  <c r="F111" i="15"/>
  <c r="F115" i="15"/>
  <c r="F116" i="15"/>
  <c r="F117" i="15"/>
  <c r="F118" i="15"/>
  <c r="F128" i="15"/>
  <c r="F129" i="15"/>
  <c r="F130" i="15"/>
  <c r="F119" i="15"/>
  <c r="F120" i="15"/>
  <c r="F121" i="15"/>
  <c r="F122" i="15"/>
  <c r="F123" i="15"/>
  <c r="F124" i="15"/>
  <c r="F125" i="15"/>
  <c r="F126" i="15"/>
  <c r="F127" i="15"/>
  <c r="F114" i="15"/>
  <c r="F132" i="15"/>
  <c r="F133" i="15"/>
  <c r="F134" i="15"/>
  <c r="F135" i="15"/>
  <c r="F143" i="15"/>
  <c r="F144" i="15"/>
  <c r="F145" i="15"/>
  <c r="F136" i="15"/>
  <c r="F137" i="15"/>
  <c r="F138" i="15"/>
  <c r="F139" i="15"/>
  <c r="F140" i="15"/>
  <c r="F141" i="15"/>
  <c r="F142" i="15"/>
  <c r="F131" i="15"/>
  <c r="F147" i="15"/>
  <c r="F148" i="15"/>
  <c r="F146" i="15"/>
  <c r="F149" i="15"/>
  <c r="F150" i="15"/>
  <c r="F151" i="15"/>
  <c r="F158" i="15"/>
  <c r="F152" i="15"/>
  <c r="F159" i="15"/>
  <c r="F160" i="15"/>
  <c r="F161" i="15"/>
  <c r="F162" i="15"/>
  <c r="F163" i="15"/>
  <c r="F164" i="15"/>
  <c r="F153" i="15"/>
  <c r="F154" i="15"/>
  <c r="F155" i="15"/>
  <c r="F156" i="15"/>
  <c r="F157" i="15"/>
  <c r="F166" i="15"/>
  <c r="F165" i="15"/>
  <c r="F169" i="15"/>
  <c r="F170" i="15"/>
  <c r="F171" i="15"/>
  <c r="F172" i="15"/>
  <c r="F173" i="15"/>
  <c r="F167" i="15"/>
  <c r="F168" i="15"/>
  <c r="F174" i="15"/>
  <c r="F175" i="15"/>
  <c r="F181" i="15"/>
  <c r="F182" i="15"/>
  <c r="F176" i="15"/>
  <c r="F177" i="15"/>
  <c r="F178" i="15"/>
  <c r="F179" i="15"/>
  <c r="F180" i="15"/>
  <c r="F186" i="15"/>
  <c r="F187" i="15"/>
  <c r="F183" i="15"/>
  <c r="F184" i="15"/>
  <c r="F185" i="15"/>
  <c r="F188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189" i="15"/>
  <c r="F203" i="15"/>
  <c r="F204" i="15"/>
  <c r="F205" i="15"/>
  <c r="F207" i="15"/>
  <c r="F208" i="15"/>
  <c r="F209" i="15"/>
  <c r="F210" i="15"/>
  <c r="F211" i="15"/>
  <c r="F212" i="15"/>
  <c r="F213" i="15"/>
  <c r="F214" i="15"/>
  <c r="F215" i="15"/>
  <c r="F216" i="15"/>
  <c r="F206" i="15"/>
  <c r="F217" i="15"/>
  <c r="F224" i="15"/>
  <c r="F225" i="15"/>
  <c r="F226" i="15"/>
  <c r="F218" i="15"/>
  <c r="F219" i="15"/>
  <c r="F220" i="15"/>
  <c r="F221" i="15"/>
  <c r="F222" i="15"/>
  <c r="F223" i="15"/>
  <c r="F227" i="15"/>
  <c r="F228" i="15"/>
  <c r="F233" i="15"/>
  <c r="F234" i="15"/>
  <c r="F235" i="15"/>
  <c r="F236" i="15"/>
  <c r="F237" i="15"/>
  <c r="F231" i="15"/>
  <c r="F232" i="15"/>
  <c r="F238" i="15"/>
  <c r="F239" i="15"/>
  <c r="F240" i="15"/>
  <c r="F241" i="15"/>
  <c r="F242" i="15"/>
  <c r="F229" i="15"/>
  <c r="F230" i="15"/>
  <c r="F243" i="15"/>
  <c r="F244" i="15"/>
  <c r="F246" i="15"/>
  <c r="F247" i="15"/>
  <c r="F248" i="15"/>
  <c r="F249" i="15"/>
  <c r="F250" i="15"/>
  <c r="F245" i="15"/>
  <c r="F251" i="15"/>
  <c r="F257" i="15"/>
  <c r="F258" i="15"/>
  <c r="F259" i="15"/>
  <c r="F260" i="15"/>
  <c r="F261" i="15"/>
  <c r="F262" i="15"/>
  <c r="F255" i="15"/>
  <c r="F256" i="15"/>
  <c r="F263" i="15"/>
  <c r="F264" i="15"/>
  <c r="F265" i="15"/>
  <c r="F266" i="15"/>
  <c r="F267" i="15"/>
  <c r="F252" i="15"/>
  <c r="F253" i="15"/>
  <c r="F254" i="15"/>
  <c r="F268" i="15"/>
  <c r="F269" i="15"/>
  <c r="D5" i="15"/>
  <c r="D6" i="15"/>
  <c r="D7" i="15"/>
  <c r="D8" i="15"/>
  <c r="D9" i="15"/>
  <c r="D11" i="15"/>
  <c r="D12" i="15"/>
  <c r="D10" i="15"/>
  <c r="D14" i="15"/>
  <c r="D15" i="15"/>
  <c r="D13" i="15"/>
  <c r="D16" i="15"/>
  <c r="D17" i="15"/>
  <c r="D18" i="15"/>
  <c r="D20" i="15"/>
  <c r="D21" i="15"/>
  <c r="D19" i="15"/>
  <c r="D22" i="15"/>
  <c r="D24" i="15"/>
  <c r="D23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51" i="15"/>
  <c r="D40" i="15"/>
  <c r="D41" i="15"/>
  <c r="D42" i="15"/>
  <c r="D43" i="15"/>
  <c r="D44" i="15"/>
  <c r="D45" i="15"/>
  <c r="D46" i="15"/>
  <c r="D47" i="15"/>
  <c r="D48" i="15"/>
  <c r="D49" i="15"/>
  <c r="D50" i="15"/>
  <c r="D52" i="15"/>
  <c r="D53" i="15"/>
  <c r="D54" i="15"/>
  <c r="D55" i="15"/>
  <c r="D56" i="15"/>
  <c r="D57" i="15"/>
  <c r="D58" i="15"/>
  <c r="D76" i="15"/>
  <c r="D59" i="15"/>
  <c r="D60" i="15"/>
  <c r="D61" i="15"/>
  <c r="D62" i="15"/>
  <c r="D63" i="15"/>
  <c r="D67" i="15"/>
  <c r="D68" i="15"/>
  <c r="D69" i="15"/>
  <c r="D70" i="15"/>
  <c r="D71" i="15"/>
  <c r="D72" i="15"/>
  <c r="D73" i="15"/>
  <c r="D74" i="15"/>
  <c r="D75" i="15"/>
  <c r="D64" i="15"/>
  <c r="D65" i="15"/>
  <c r="D66" i="15"/>
  <c r="D82" i="15"/>
  <c r="D83" i="15"/>
  <c r="D84" i="15"/>
  <c r="D85" i="15"/>
  <c r="D86" i="15"/>
  <c r="D87" i="15"/>
  <c r="D88" i="15"/>
  <c r="D89" i="15"/>
  <c r="D90" i="15"/>
  <c r="D77" i="15"/>
  <c r="D78" i="15"/>
  <c r="D79" i="15"/>
  <c r="D80" i="15"/>
  <c r="D81" i="15"/>
  <c r="D91" i="15"/>
  <c r="D92" i="15"/>
  <c r="D93" i="15"/>
  <c r="D96" i="15"/>
  <c r="D97" i="15"/>
  <c r="D98" i="15"/>
  <c r="D99" i="15"/>
  <c r="D100" i="15"/>
  <c r="D94" i="15"/>
  <c r="D95" i="15"/>
  <c r="D102" i="15"/>
  <c r="D103" i="15"/>
  <c r="D104" i="15"/>
  <c r="D105" i="15"/>
  <c r="D112" i="15"/>
  <c r="D113" i="15"/>
  <c r="D106" i="15"/>
  <c r="D107" i="15"/>
  <c r="D108" i="15"/>
  <c r="D109" i="15"/>
  <c r="D101" i="15"/>
  <c r="D110" i="15"/>
  <c r="D111" i="15"/>
  <c r="D115" i="15"/>
  <c r="D116" i="15"/>
  <c r="D117" i="15"/>
  <c r="D118" i="15"/>
  <c r="D128" i="15"/>
  <c r="D129" i="15"/>
  <c r="D130" i="15"/>
  <c r="D119" i="15"/>
  <c r="D120" i="15"/>
  <c r="D121" i="15"/>
  <c r="D122" i="15"/>
  <c r="D123" i="15"/>
  <c r="D124" i="15"/>
  <c r="D125" i="15"/>
  <c r="D126" i="15"/>
  <c r="D127" i="15"/>
  <c r="D114" i="15"/>
  <c r="D132" i="15"/>
  <c r="D133" i="15"/>
  <c r="D134" i="15"/>
  <c r="D135" i="15"/>
  <c r="D143" i="15"/>
  <c r="D144" i="15"/>
  <c r="D145" i="15"/>
  <c r="D136" i="15"/>
  <c r="D137" i="15"/>
  <c r="D138" i="15"/>
  <c r="D139" i="15"/>
  <c r="D140" i="15"/>
  <c r="D141" i="15"/>
  <c r="D142" i="15"/>
  <c r="D131" i="15"/>
  <c r="D147" i="15"/>
  <c r="D148" i="15"/>
  <c r="D146" i="15"/>
  <c r="D149" i="15"/>
  <c r="D150" i="15"/>
  <c r="D151" i="15"/>
  <c r="D158" i="15"/>
  <c r="D152" i="15"/>
  <c r="D159" i="15"/>
  <c r="D160" i="15"/>
  <c r="D161" i="15"/>
  <c r="D162" i="15"/>
  <c r="D163" i="15"/>
  <c r="D164" i="15"/>
  <c r="D153" i="15"/>
  <c r="D154" i="15"/>
  <c r="D155" i="15"/>
  <c r="D156" i="15"/>
  <c r="D157" i="15"/>
  <c r="D166" i="15"/>
  <c r="D165" i="15"/>
  <c r="D169" i="15"/>
  <c r="D170" i="15"/>
  <c r="D171" i="15"/>
  <c r="D172" i="15"/>
  <c r="D173" i="15"/>
  <c r="D167" i="15"/>
  <c r="D168" i="15"/>
  <c r="D174" i="15"/>
  <c r="D175" i="15"/>
  <c r="D181" i="15"/>
  <c r="D182" i="15"/>
  <c r="D176" i="15"/>
  <c r="D177" i="15"/>
  <c r="D178" i="15"/>
  <c r="D179" i="15"/>
  <c r="D180" i="15"/>
  <c r="D186" i="15"/>
  <c r="D187" i="15"/>
  <c r="D183" i="15"/>
  <c r="D184" i="15"/>
  <c r="D185" i="15"/>
  <c r="D188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189" i="15"/>
  <c r="D203" i="15"/>
  <c r="D204" i="15"/>
  <c r="D205" i="15"/>
  <c r="D207" i="15"/>
  <c r="D208" i="15"/>
  <c r="D209" i="15"/>
  <c r="D210" i="15"/>
  <c r="D211" i="15"/>
  <c r="D212" i="15"/>
  <c r="D213" i="15"/>
  <c r="D214" i="15"/>
  <c r="D215" i="15"/>
  <c r="D216" i="15"/>
  <c r="D206" i="15"/>
  <c r="D217" i="15"/>
  <c r="D224" i="15"/>
  <c r="D225" i="15"/>
  <c r="D226" i="15"/>
  <c r="D218" i="15"/>
  <c r="D219" i="15"/>
  <c r="D220" i="15"/>
  <c r="D221" i="15"/>
  <c r="D222" i="15"/>
  <c r="D223" i="15"/>
  <c r="D227" i="15"/>
  <c r="D228" i="15"/>
  <c r="D233" i="15"/>
  <c r="D234" i="15"/>
  <c r="D235" i="15"/>
  <c r="D236" i="15"/>
  <c r="D237" i="15"/>
  <c r="D231" i="15"/>
  <c r="D232" i="15"/>
  <c r="D238" i="15"/>
  <c r="D239" i="15"/>
  <c r="D240" i="15"/>
  <c r="D241" i="15"/>
  <c r="D242" i="15"/>
  <c r="D229" i="15"/>
  <c r="D230" i="15"/>
  <c r="D243" i="15"/>
  <c r="D244" i="15"/>
  <c r="D246" i="15"/>
  <c r="D247" i="15"/>
  <c r="D248" i="15"/>
  <c r="D249" i="15"/>
  <c r="D250" i="15"/>
  <c r="D245" i="15"/>
  <c r="D251" i="15"/>
  <c r="D257" i="15"/>
  <c r="D258" i="15"/>
  <c r="D259" i="15"/>
  <c r="D260" i="15"/>
  <c r="D261" i="15"/>
  <c r="D262" i="15"/>
  <c r="D255" i="15"/>
  <c r="D256" i="15"/>
  <c r="D263" i="15"/>
  <c r="D264" i="15"/>
  <c r="D265" i="15"/>
  <c r="D266" i="15"/>
  <c r="D267" i="15"/>
  <c r="D252" i="15"/>
  <c r="D253" i="15"/>
  <c r="D254" i="15"/>
  <c r="D268" i="15"/>
  <c r="D269" i="15"/>
  <c r="C5" i="15"/>
  <c r="C6" i="15"/>
  <c r="C7" i="15"/>
  <c r="C8" i="15"/>
  <c r="C9" i="15"/>
  <c r="C11" i="15"/>
  <c r="C12" i="15"/>
  <c r="C10" i="15"/>
  <c r="C14" i="15"/>
  <c r="C15" i="15"/>
  <c r="C13" i="15"/>
  <c r="C16" i="15"/>
  <c r="C17" i="15"/>
  <c r="C18" i="15"/>
  <c r="C20" i="15"/>
  <c r="C21" i="15"/>
  <c r="C19" i="15"/>
  <c r="C22" i="15"/>
  <c r="C24" i="15"/>
  <c r="C23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51" i="15"/>
  <c r="C40" i="15"/>
  <c r="C41" i="15"/>
  <c r="C42" i="15"/>
  <c r="C43" i="15"/>
  <c r="C44" i="15"/>
  <c r="C45" i="15"/>
  <c r="C46" i="15"/>
  <c r="C47" i="15"/>
  <c r="C48" i="15"/>
  <c r="C49" i="15"/>
  <c r="C50" i="15"/>
  <c r="C52" i="15"/>
  <c r="C53" i="15"/>
  <c r="C54" i="15"/>
  <c r="C55" i="15"/>
  <c r="C56" i="15"/>
  <c r="C57" i="15"/>
  <c r="C58" i="15"/>
  <c r="C76" i="15"/>
  <c r="C59" i="15"/>
  <c r="C60" i="15"/>
  <c r="C61" i="15"/>
  <c r="C62" i="15"/>
  <c r="C63" i="15"/>
  <c r="C67" i="15"/>
  <c r="C68" i="15"/>
  <c r="C69" i="15"/>
  <c r="C70" i="15"/>
  <c r="C71" i="15"/>
  <c r="C72" i="15"/>
  <c r="C73" i="15"/>
  <c r="C74" i="15"/>
  <c r="C75" i="15"/>
  <c r="C64" i="15"/>
  <c r="C65" i="15"/>
  <c r="C66" i="15"/>
  <c r="C82" i="15"/>
  <c r="C83" i="15"/>
  <c r="C84" i="15"/>
  <c r="C85" i="15"/>
  <c r="C86" i="15"/>
  <c r="C87" i="15"/>
  <c r="C88" i="15"/>
  <c r="C89" i="15"/>
  <c r="C90" i="15"/>
  <c r="C77" i="15"/>
  <c r="C78" i="15"/>
  <c r="C79" i="15"/>
  <c r="C80" i="15"/>
  <c r="C81" i="15"/>
  <c r="C91" i="15"/>
  <c r="C92" i="15"/>
  <c r="C93" i="15"/>
  <c r="C96" i="15"/>
  <c r="C97" i="15"/>
  <c r="C98" i="15"/>
  <c r="C99" i="15"/>
  <c r="C100" i="15"/>
  <c r="C94" i="15"/>
  <c r="C95" i="15"/>
  <c r="C102" i="15"/>
  <c r="C103" i="15"/>
  <c r="C104" i="15"/>
  <c r="C105" i="15"/>
  <c r="C112" i="15"/>
  <c r="C113" i="15"/>
  <c r="C106" i="15"/>
  <c r="C107" i="15"/>
  <c r="C108" i="15"/>
  <c r="C109" i="15"/>
  <c r="C101" i="15"/>
  <c r="C110" i="15"/>
  <c r="C111" i="15"/>
  <c r="C115" i="15"/>
  <c r="C116" i="15"/>
  <c r="C117" i="15"/>
  <c r="C118" i="15"/>
  <c r="C128" i="15"/>
  <c r="C129" i="15"/>
  <c r="C130" i="15"/>
  <c r="C119" i="15"/>
  <c r="C120" i="15"/>
  <c r="C121" i="15"/>
  <c r="C122" i="15"/>
  <c r="C123" i="15"/>
  <c r="C124" i="15"/>
  <c r="C125" i="15"/>
  <c r="C126" i="15"/>
  <c r="C127" i="15"/>
  <c r="C114" i="15"/>
  <c r="C132" i="15"/>
  <c r="C133" i="15"/>
  <c r="C134" i="15"/>
  <c r="C135" i="15"/>
  <c r="C143" i="15"/>
  <c r="C144" i="15"/>
  <c r="C145" i="15"/>
  <c r="C136" i="15"/>
  <c r="C137" i="15"/>
  <c r="C138" i="15"/>
  <c r="C139" i="15"/>
  <c r="C140" i="15"/>
  <c r="C141" i="15"/>
  <c r="C142" i="15"/>
  <c r="C131" i="15"/>
  <c r="C147" i="15"/>
  <c r="C148" i="15"/>
  <c r="C146" i="15"/>
  <c r="C149" i="15"/>
  <c r="C150" i="15"/>
  <c r="C151" i="15"/>
  <c r="C158" i="15"/>
  <c r="C152" i="15"/>
  <c r="C159" i="15"/>
  <c r="C160" i="15"/>
  <c r="C161" i="15"/>
  <c r="C162" i="15"/>
  <c r="C163" i="15"/>
  <c r="C164" i="15"/>
  <c r="C153" i="15"/>
  <c r="C154" i="15"/>
  <c r="C155" i="15"/>
  <c r="C156" i="15"/>
  <c r="C157" i="15"/>
  <c r="C166" i="15"/>
  <c r="C165" i="15"/>
  <c r="C169" i="15"/>
  <c r="C170" i="15"/>
  <c r="C171" i="15"/>
  <c r="C172" i="15"/>
  <c r="C173" i="15"/>
  <c r="C167" i="15"/>
  <c r="C168" i="15"/>
  <c r="C174" i="15"/>
  <c r="C175" i="15"/>
  <c r="C181" i="15"/>
  <c r="C182" i="15"/>
  <c r="C176" i="15"/>
  <c r="C177" i="15"/>
  <c r="C178" i="15"/>
  <c r="C179" i="15"/>
  <c r="C180" i="15"/>
  <c r="C186" i="15"/>
  <c r="C187" i="15"/>
  <c r="C183" i="15"/>
  <c r="C184" i="15"/>
  <c r="C185" i="15"/>
  <c r="C188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189" i="15"/>
  <c r="C203" i="15"/>
  <c r="C204" i="15"/>
  <c r="C205" i="15"/>
  <c r="C207" i="15"/>
  <c r="C208" i="15"/>
  <c r="C209" i="15"/>
  <c r="C210" i="15"/>
  <c r="C211" i="15"/>
  <c r="C212" i="15"/>
  <c r="C213" i="15"/>
  <c r="C214" i="15"/>
  <c r="C215" i="15"/>
  <c r="C216" i="15"/>
  <c r="C206" i="15"/>
  <c r="C217" i="15"/>
  <c r="C224" i="15"/>
  <c r="C225" i="15"/>
  <c r="C226" i="15"/>
  <c r="C218" i="15"/>
  <c r="C219" i="15"/>
  <c r="C220" i="15"/>
  <c r="C221" i="15"/>
  <c r="C222" i="15"/>
  <c r="C223" i="15"/>
  <c r="C227" i="15"/>
  <c r="C228" i="15"/>
  <c r="C233" i="15"/>
  <c r="C234" i="15"/>
  <c r="C235" i="15"/>
  <c r="C236" i="15"/>
  <c r="C237" i="15"/>
  <c r="C231" i="15"/>
  <c r="C232" i="15"/>
  <c r="C238" i="15"/>
  <c r="C239" i="15"/>
  <c r="C240" i="15"/>
  <c r="C241" i="15"/>
  <c r="C242" i="15"/>
  <c r="C229" i="15"/>
  <c r="C230" i="15"/>
  <c r="C243" i="15"/>
  <c r="C244" i="15"/>
  <c r="C246" i="15"/>
  <c r="C247" i="15"/>
  <c r="C248" i="15"/>
  <c r="C249" i="15"/>
  <c r="C250" i="15"/>
  <c r="C245" i="15"/>
  <c r="C251" i="15"/>
  <c r="C257" i="15"/>
  <c r="C258" i="15"/>
  <c r="C259" i="15"/>
  <c r="C260" i="15"/>
  <c r="C261" i="15"/>
  <c r="C262" i="15"/>
  <c r="C255" i="15"/>
  <c r="C256" i="15"/>
  <c r="C263" i="15"/>
  <c r="C264" i="15"/>
  <c r="C265" i="15"/>
  <c r="C266" i="15"/>
  <c r="C267" i="15"/>
  <c r="C252" i="15"/>
  <c r="C253" i="15"/>
  <c r="C254" i="15"/>
  <c r="C268" i="15"/>
  <c r="C269" i="15"/>
  <c r="C4" i="15"/>
  <c r="D4" i="15"/>
  <c r="F4" i="15"/>
  <c r="G4" i="15"/>
  <c r="H4" i="15"/>
  <c r="I4" i="15"/>
  <c r="J4" i="15"/>
  <c r="B4" i="15"/>
  <c r="B5" i="15"/>
  <c r="B6" i="15"/>
  <c r="B7" i="15"/>
  <c r="B8" i="15"/>
  <c r="B9" i="15"/>
  <c r="B11" i="15"/>
  <c r="B12" i="15"/>
  <c r="B10" i="15"/>
  <c r="B14" i="15"/>
  <c r="B15" i="15"/>
  <c r="B13" i="15"/>
  <c r="B16" i="15"/>
  <c r="B17" i="15"/>
  <c r="B18" i="15"/>
  <c r="B20" i="15"/>
  <c r="B21" i="15"/>
  <c r="B19" i="15"/>
  <c r="B22" i="15"/>
  <c r="B24" i="15"/>
  <c r="B23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51" i="15"/>
  <c r="B40" i="15"/>
  <c r="B41" i="15"/>
  <c r="B42" i="15"/>
  <c r="B43" i="15"/>
  <c r="B44" i="15"/>
  <c r="B45" i="15"/>
  <c r="B46" i="15"/>
  <c r="B47" i="15"/>
  <c r="B48" i="15"/>
  <c r="B49" i="15"/>
  <c r="B50" i="15"/>
  <c r="B52" i="15"/>
  <c r="B53" i="15"/>
  <c r="B54" i="15"/>
  <c r="B55" i="15"/>
  <c r="B56" i="15"/>
  <c r="B57" i="15"/>
  <c r="B58" i="15"/>
  <c r="B76" i="15"/>
  <c r="B59" i="15"/>
  <c r="B60" i="15"/>
  <c r="B61" i="15"/>
  <c r="B62" i="15"/>
  <c r="B63" i="15"/>
  <c r="B67" i="15"/>
  <c r="B68" i="15"/>
  <c r="B69" i="15"/>
  <c r="B70" i="15"/>
  <c r="B71" i="15"/>
  <c r="B72" i="15"/>
  <c r="B73" i="15"/>
  <c r="B74" i="15"/>
  <c r="B75" i="15"/>
  <c r="B64" i="15"/>
  <c r="B65" i="15"/>
  <c r="B66" i="15"/>
  <c r="B82" i="15"/>
  <c r="B83" i="15"/>
  <c r="B84" i="15"/>
  <c r="B85" i="15"/>
  <c r="B86" i="15"/>
  <c r="B87" i="15"/>
  <c r="B88" i="15"/>
  <c r="B89" i="15"/>
  <c r="B90" i="15"/>
  <c r="B77" i="15"/>
  <c r="B78" i="15"/>
  <c r="B79" i="15"/>
  <c r="B80" i="15"/>
  <c r="B81" i="15"/>
  <c r="B91" i="15"/>
  <c r="B92" i="15"/>
  <c r="B93" i="15"/>
  <c r="B96" i="15"/>
  <c r="B97" i="15"/>
  <c r="B98" i="15"/>
  <c r="B99" i="15"/>
  <c r="B100" i="15"/>
  <c r="B94" i="15"/>
  <c r="B95" i="15"/>
  <c r="B102" i="15"/>
  <c r="B103" i="15"/>
  <c r="B104" i="15"/>
  <c r="B105" i="15"/>
  <c r="B112" i="15"/>
  <c r="B113" i="15"/>
  <c r="B106" i="15"/>
  <c r="B107" i="15"/>
  <c r="B108" i="15"/>
  <c r="B109" i="15"/>
  <c r="B101" i="15"/>
  <c r="B110" i="15"/>
  <c r="B111" i="15"/>
  <c r="B115" i="15"/>
  <c r="B116" i="15"/>
  <c r="B117" i="15"/>
  <c r="B118" i="15"/>
  <c r="B128" i="15"/>
  <c r="B129" i="15"/>
  <c r="B130" i="15"/>
  <c r="B119" i="15"/>
  <c r="B120" i="15"/>
  <c r="B121" i="15"/>
  <c r="B122" i="15"/>
  <c r="B123" i="15"/>
  <c r="B124" i="15"/>
  <c r="B125" i="15"/>
  <c r="B126" i="15"/>
  <c r="B127" i="15"/>
  <c r="B114" i="15"/>
  <c r="B132" i="15"/>
  <c r="B133" i="15"/>
  <c r="B134" i="15"/>
  <c r="B135" i="15"/>
  <c r="B143" i="15"/>
  <c r="B144" i="15"/>
  <c r="B145" i="15"/>
  <c r="B136" i="15"/>
  <c r="B137" i="15"/>
  <c r="B138" i="15"/>
  <c r="B139" i="15"/>
  <c r="B140" i="15"/>
  <c r="B141" i="15"/>
  <c r="B142" i="15"/>
  <c r="B131" i="15"/>
  <c r="B147" i="15"/>
  <c r="B148" i="15"/>
  <c r="B146" i="15"/>
  <c r="B149" i="15"/>
  <c r="B150" i="15"/>
  <c r="B151" i="15"/>
  <c r="B158" i="15"/>
  <c r="B152" i="15"/>
  <c r="B159" i="15"/>
  <c r="B160" i="15"/>
  <c r="B161" i="15"/>
  <c r="B162" i="15"/>
  <c r="B163" i="15"/>
  <c r="B164" i="15"/>
  <c r="B153" i="15"/>
  <c r="B154" i="15"/>
  <c r="B155" i="15"/>
  <c r="B156" i="15"/>
  <c r="B157" i="15"/>
  <c r="B166" i="15"/>
  <c r="B165" i="15"/>
  <c r="B169" i="15"/>
  <c r="B170" i="15"/>
  <c r="B171" i="15"/>
  <c r="B172" i="15"/>
  <c r="B173" i="15"/>
  <c r="B167" i="15"/>
  <c r="B168" i="15"/>
  <c r="B174" i="15"/>
  <c r="B175" i="15"/>
  <c r="B181" i="15"/>
  <c r="B182" i="15"/>
  <c r="B176" i="15"/>
  <c r="B177" i="15"/>
  <c r="B178" i="15"/>
  <c r="B179" i="15"/>
  <c r="B180" i="15"/>
  <c r="B186" i="15"/>
  <c r="B187" i="15"/>
  <c r="B183" i="15"/>
  <c r="B184" i="15"/>
  <c r="B185" i="15"/>
  <c r="B188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189" i="15"/>
  <c r="B203" i="15"/>
  <c r="B204" i="15"/>
  <c r="B205" i="15"/>
  <c r="B207" i="15"/>
  <c r="B208" i="15"/>
  <c r="B209" i="15"/>
  <c r="B210" i="15"/>
  <c r="B211" i="15"/>
  <c r="B212" i="15"/>
  <c r="B213" i="15"/>
  <c r="B214" i="15"/>
  <c r="B215" i="15"/>
  <c r="B216" i="15"/>
  <c r="B206" i="15"/>
  <c r="B217" i="15"/>
  <c r="B224" i="15"/>
  <c r="B225" i="15"/>
  <c r="B226" i="15"/>
  <c r="B218" i="15"/>
  <c r="B219" i="15"/>
  <c r="B220" i="15"/>
  <c r="B221" i="15"/>
  <c r="B222" i="15"/>
  <c r="B223" i="15"/>
  <c r="B227" i="15"/>
  <c r="B228" i="15"/>
  <c r="B233" i="15"/>
  <c r="B234" i="15"/>
  <c r="B235" i="15"/>
  <c r="B236" i="15"/>
  <c r="B237" i="15"/>
  <c r="B231" i="15"/>
  <c r="B232" i="15"/>
  <c r="B238" i="15"/>
  <c r="B239" i="15"/>
  <c r="B240" i="15"/>
  <c r="B241" i="15"/>
  <c r="B242" i="15"/>
  <c r="B229" i="15"/>
  <c r="B230" i="15"/>
  <c r="B243" i="15"/>
  <c r="B244" i="15"/>
  <c r="B246" i="15"/>
  <c r="B247" i="15"/>
  <c r="B248" i="15"/>
  <c r="B249" i="15"/>
  <c r="B250" i="15"/>
  <c r="B245" i="15"/>
  <c r="B251" i="15"/>
  <c r="B257" i="15"/>
  <c r="B258" i="15"/>
  <c r="B259" i="15"/>
  <c r="B260" i="15"/>
  <c r="B261" i="15"/>
  <c r="B262" i="15"/>
  <c r="B255" i="15"/>
  <c r="B256" i="15"/>
  <c r="B263" i="15"/>
  <c r="B264" i="15"/>
  <c r="B265" i="15"/>
  <c r="B266" i="15"/>
  <c r="B267" i="15"/>
  <c r="B252" i="15"/>
  <c r="B253" i="15"/>
  <c r="B254" i="15"/>
  <c r="B268" i="15"/>
  <c r="B269" i="15"/>
  <c r="J14" i="16" l="1"/>
  <c r="J109" i="16"/>
  <c r="J147" i="16"/>
  <c r="J128" i="16"/>
  <c r="J580" i="16"/>
  <c r="J52" i="16"/>
  <c r="J578" i="16"/>
  <c r="J71" i="16"/>
  <c r="J33" i="16"/>
  <c r="J90" i="16"/>
  <c r="J579" i="16"/>
  <c r="J577" i="16"/>
  <c r="O577" i="16"/>
  <c r="O147" i="16"/>
  <c r="O578" i="16"/>
  <c r="O579" i="16"/>
  <c r="O580" i="16"/>
  <c r="O52" i="16"/>
  <c r="O128" i="16"/>
  <c r="O71" i="16"/>
  <c r="O90" i="16"/>
  <c r="O14" i="16"/>
  <c r="O109" i="16"/>
  <c r="O33" i="16"/>
  <c r="J439" i="16"/>
  <c r="J506" i="16"/>
  <c r="J435" i="16"/>
  <c r="J124" i="16"/>
  <c r="J25" i="16"/>
  <c r="J367" i="16"/>
  <c r="J455" i="16"/>
  <c r="O413" i="16"/>
  <c r="O455" i="16"/>
  <c r="J413" i="16"/>
  <c r="O367" i="16"/>
  <c r="J103" i="16"/>
  <c r="J492" i="16"/>
  <c r="J153" i="16"/>
  <c r="J105" i="16"/>
  <c r="J55" i="16"/>
  <c r="J123" i="16"/>
  <c r="J113" i="16"/>
  <c r="J82" i="16"/>
  <c r="J45" i="16"/>
  <c r="J96" i="16"/>
  <c r="J114" i="16"/>
  <c r="J451" i="16"/>
  <c r="J74" i="16"/>
  <c r="J137" i="16"/>
  <c r="J40" i="16"/>
  <c r="J44" i="16"/>
  <c r="J23" i="16"/>
  <c r="J95" i="16"/>
  <c r="J70" i="16"/>
  <c r="J30" i="16"/>
  <c r="J26" i="16"/>
  <c r="J117" i="16"/>
  <c r="J115" i="16"/>
  <c r="J648" i="16"/>
  <c r="J437" i="16"/>
  <c r="J83" i="16"/>
  <c r="J91" i="16"/>
  <c r="J98" i="16"/>
  <c r="J122" i="16"/>
  <c r="J112" i="16"/>
  <c r="J151" i="16"/>
  <c r="J111" i="16"/>
  <c r="J134" i="16"/>
  <c r="J48" i="16"/>
  <c r="J132" i="16"/>
  <c r="J92" i="16"/>
  <c r="J24" i="16"/>
  <c r="J93" i="16"/>
  <c r="J152" i="16"/>
  <c r="J133" i="16"/>
  <c r="J46" i="16"/>
  <c r="J78" i="16"/>
  <c r="J144" i="16"/>
  <c r="J102" i="16"/>
  <c r="J68" i="16"/>
  <c r="J146" i="16"/>
  <c r="J149" i="16"/>
  <c r="J100" i="16"/>
  <c r="J80" i="16"/>
  <c r="J35" i="16"/>
  <c r="J57" i="16"/>
  <c r="J81" i="16"/>
  <c r="J118" i="16"/>
  <c r="J150" i="16"/>
  <c r="J131" i="16"/>
  <c r="J142" i="16"/>
  <c r="J66" i="16"/>
  <c r="O4" i="16"/>
  <c r="O5" i="16"/>
  <c r="O16" i="16"/>
  <c r="O17" i="16"/>
  <c r="O8" i="16"/>
  <c r="O34" i="16"/>
  <c r="O25" i="16"/>
  <c r="O42" i="16"/>
  <c r="O59" i="16"/>
  <c r="O50" i="16"/>
  <c r="O76" i="16"/>
  <c r="O67" i="16"/>
  <c r="O93" i="16"/>
  <c r="O84" i="16"/>
  <c r="O110" i="16"/>
  <c r="O101" i="16"/>
  <c r="O118" i="16"/>
  <c r="O135" i="16"/>
  <c r="O126" i="16"/>
  <c r="O152" i="16"/>
  <c r="O143" i="16"/>
  <c r="O173" i="16"/>
  <c r="O160" i="16"/>
  <c r="O169" i="16"/>
  <c r="O197" i="16"/>
  <c r="O253" i="16"/>
  <c r="O193" i="16"/>
  <c r="O221" i="16"/>
  <c r="O208" i="16"/>
  <c r="O217" i="16"/>
  <c r="O245" i="16"/>
  <c r="O232" i="16"/>
  <c r="O248" i="16"/>
  <c r="O269" i="16"/>
  <c r="O256" i="16"/>
  <c r="O272" i="16"/>
  <c r="O293" i="16"/>
  <c r="O280" i="16"/>
  <c r="O306" i="16"/>
  <c r="O296" i="16"/>
  <c r="O304" i="16"/>
  <c r="O333" i="16"/>
  <c r="O320" i="16"/>
  <c r="O328" i="16"/>
  <c r="O368" i="16"/>
  <c r="O344" i="16"/>
  <c r="O353" i="16"/>
  <c r="O361" i="16"/>
  <c r="O377" i="16"/>
  <c r="O385" i="16"/>
  <c r="O417" i="16"/>
  <c r="O393" i="16"/>
  <c r="O402" i="16"/>
  <c r="O411" i="16"/>
  <c r="O426" i="16"/>
  <c r="O458" i="16"/>
  <c r="O434" i="16"/>
  <c r="O443" i="16"/>
  <c r="O452" i="16"/>
  <c r="O468" i="16"/>
  <c r="O476" i="16"/>
  <c r="O475" i="16"/>
  <c r="O492" i="16"/>
  <c r="O500" i="16"/>
  <c r="O507" i="16"/>
  <c r="O516" i="16"/>
  <c r="O524" i="16"/>
  <c r="O532" i="16"/>
  <c r="O539" i="16"/>
  <c r="O548" i="16"/>
  <c r="O557" i="16"/>
  <c r="O563" i="16"/>
  <c r="O574" i="16"/>
  <c r="O583" i="16"/>
  <c r="O601" i="16"/>
  <c r="O591" i="16"/>
  <c r="O607" i="16"/>
  <c r="O615" i="16"/>
  <c r="O623" i="16"/>
  <c r="O631" i="16"/>
  <c r="O639" i="16"/>
  <c r="O647" i="16"/>
  <c r="O655" i="16"/>
  <c r="O663" i="16"/>
  <c r="O671" i="16"/>
  <c r="O18" i="16"/>
  <c r="O19" i="16"/>
  <c r="O10" i="16"/>
  <c r="O36" i="16"/>
  <c r="O27" i="16"/>
  <c r="O53" i="16"/>
  <c r="O44" i="16"/>
  <c r="O61" i="16"/>
  <c r="O78" i="16"/>
  <c r="O69" i="16"/>
  <c r="O95" i="16"/>
  <c r="O86" i="16"/>
  <c r="O112" i="16"/>
  <c r="O103" i="16"/>
  <c r="O129" i="16"/>
  <c r="O120" i="16"/>
  <c r="O137" i="16"/>
  <c r="O154" i="16"/>
  <c r="O145" i="16"/>
  <c r="O175" i="16"/>
  <c r="O162" i="16"/>
  <c r="O171" i="16"/>
  <c r="O199" i="16"/>
  <c r="O186" i="16"/>
  <c r="O202" i="16"/>
  <c r="O223" i="16"/>
  <c r="O210" i="16"/>
  <c r="O226" i="16"/>
  <c r="O247" i="16"/>
  <c r="O234" i="16"/>
  <c r="O260" i="16"/>
  <c r="O250" i="16"/>
  <c r="O258" i="16"/>
  <c r="O287" i="16"/>
  <c r="O274" i="16"/>
  <c r="O282" i="16"/>
  <c r="O311" i="16"/>
  <c r="O229" i="16"/>
  <c r="O307" i="16"/>
  <c r="O335" i="16"/>
  <c r="O322" i="16"/>
  <c r="O331" i="16"/>
  <c r="O370" i="16"/>
  <c r="O346" i="16"/>
  <c r="O355" i="16"/>
  <c r="O364" i="16"/>
  <c r="O379" i="16"/>
  <c r="O387" i="16"/>
  <c r="O419" i="16"/>
  <c r="O395" i="16"/>
  <c r="O404" i="16"/>
  <c r="O420" i="16"/>
  <c r="O428" i="16"/>
  <c r="O460" i="16"/>
  <c r="O436" i="16"/>
  <c r="O445" i="16"/>
  <c r="O454" i="16"/>
  <c r="O470" i="16"/>
  <c r="O478" i="16"/>
  <c r="O485" i="16"/>
  <c r="O494" i="16"/>
  <c r="O502" i="16"/>
  <c r="O510" i="16"/>
  <c r="O517" i="16"/>
  <c r="O526" i="16"/>
  <c r="O534" i="16"/>
  <c r="O542" i="16"/>
  <c r="O541" i="16"/>
  <c r="O559" i="16"/>
  <c r="O565" i="16"/>
  <c r="O576" i="16"/>
  <c r="O585" i="16"/>
  <c r="O603" i="16"/>
  <c r="O593" i="16"/>
  <c r="O609" i="16"/>
  <c r="O617" i="16"/>
  <c r="O625" i="16"/>
  <c r="O633" i="16"/>
  <c r="O641" i="16"/>
  <c r="O649" i="16"/>
  <c r="O657" i="16"/>
  <c r="O665" i="16"/>
  <c r="O673" i="16"/>
  <c r="O20" i="16"/>
  <c r="O11" i="16"/>
  <c r="O37" i="16"/>
  <c r="O28" i="16"/>
  <c r="O54" i="16"/>
  <c r="O45" i="16"/>
  <c r="O62" i="16"/>
  <c r="O79" i="16"/>
  <c r="O70" i="16"/>
  <c r="O96" i="16"/>
  <c r="O87" i="16"/>
  <c r="O113" i="16"/>
  <c r="O104" i="16"/>
  <c r="O130" i="16"/>
  <c r="O121" i="16"/>
  <c r="O138" i="16"/>
  <c r="O155" i="16"/>
  <c r="O146" i="16"/>
  <c r="O176" i="16"/>
  <c r="O163" i="16"/>
  <c r="O179" i="16"/>
  <c r="O200" i="16"/>
  <c r="O187" i="16"/>
  <c r="O203" i="16"/>
  <c r="O224" i="16"/>
  <c r="O211" i="16"/>
  <c r="O237" i="16"/>
  <c r="O227" i="16"/>
  <c r="O235" i="16"/>
  <c r="O264" i="16"/>
  <c r="O251" i="16"/>
  <c r="O259" i="16"/>
  <c r="O288" i="16"/>
  <c r="O207" i="16"/>
  <c r="O284" i="16"/>
  <c r="O312" i="16"/>
  <c r="O321" i="16"/>
  <c r="O308" i="16"/>
  <c r="O336" i="16"/>
  <c r="O323" i="16"/>
  <c r="O332" i="16"/>
  <c r="O371" i="16"/>
  <c r="O347" i="16"/>
  <c r="O356" i="16"/>
  <c r="O365" i="16"/>
  <c r="O380" i="16"/>
  <c r="O398" i="16"/>
  <c r="O388" i="16"/>
  <c r="O396" i="16"/>
  <c r="O405" i="16"/>
  <c r="O421" i="16"/>
  <c r="O429" i="16"/>
  <c r="O461" i="16"/>
  <c r="O437" i="16"/>
  <c r="O446" i="16"/>
  <c r="O462" i="16"/>
  <c r="O471" i="16"/>
  <c r="O479" i="16"/>
  <c r="O487" i="16"/>
  <c r="O486" i="16"/>
  <c r="O503" i="16"/>
  <c r="O511" i="16"/>
  <c r="O518" i="16"/>
  <c r="O527" i="16"/>
  <c r="O535" i="16"/>
  <c r="O543" i="16"/>
  <c r="O550" i="16"/>
  <c r="O560" i="16"/>
  <c r="O569" i="16"/>
  <c r="O566" i="16"/>
  <c r="O586" i="16"/>
  <c r="O604" i="16"/>
  <c r="O594" i="16"/>
  <c r="O610" i="16"/>
  <c r="O618" i="16"/>
  <c r="O626" i="16"/>
  <c r="O634" i="16"/>
  <c r="O642" i="16"/>
  <c r="O650" i="16"/>
  <c r="O658" i="16"/>
  <c r="O666" i="16"/>
  <c r="O674" i="16"/>
  <c r="O15" i="16"/>
  <c r="O23" i="16"/>
  <c r="O29" i="16"/>
  <c r="O58" i="16"/>
  <c r="O73" i="16"/>
  <c r="O68" i="16"/>
  <c r="O82" i="16"/>
  <c r="O114" i="16"/>
  <c r="O108" i="16"/>
  <c r="O123" i="16"/>
  <c r="O153" i="16"/>
  <c r="O168" i="16"/>
  <c r="O164" i="16"/>
  <c r="O196" i="16"/>
  <c r="O189" i="16"/>
  <c r="O222" i="16"/>
  <c r="O215" i="16"/>
  <c r="O228" i="16"/>
  <c r="O240" i="16"/>
  <c r="O298" i="16"/>
  <c r="O283" i="16"/>
  <c r="O278" i="16"/>
  <c r="O313" i="16"/>
  <c r="O303" i="16"/>
  <c r="O338" i="16"/>
  <c r="O330" i="16"/>
  <c r="O342" i="16"/>
  <c r="O357" i="16"/>
  <c r="O376" i="16"/>
  <c r="O414" i="16"/>
  <c r="O394" i="16"/>
  <c r="O408" i="16"/>
  <c r="O440" i="16"/>
  <c r="O433" i="16"/>
  <c r="O448" i="16"/>
  <c r="O469" i="16"/>
  <c r="O482" i="16"/>
  <c r="O495" i="16"/>
  <c r="O506" i="16"/>
  <c r="O521" i="16"/>
  <c r="O533" i="16"/>
  <c r="O546" i="16"/>
  <c r="O561" i="16"/>
  <c r="O573" i="16"/>
  <c r="O598" i="16"/>
  <c r="O592" i="16"/>
  <c r="O613" i="16"/>
  <c r="O627" i="16"/>
  <c r="O638" i="16"/>
  <c r="O652" i="16"/>
  <c r="O664" i="16"/>
  <c r="O21" i="16"/>
  <c r="O24" i="16"/>
  <c r="O30" i="16"/>
  <c r="O60" i="16"/>
  <c r="O74" i="16"/>
  <c r="O80" i="16"/>
  <c r="O83" i="16"/>
  <c r="O115" i="16"/>
  <c r="O119" i="16"/>
  <c r="O124" i="16"/>
  <c r="O139" i="16"/>
  <c r="O172" i="16"/>
  <c r="O165" i="16"/>
  <c r="O198" i="16"/>
  <c r="O190" i="16"/>
  <c r="O204" i="16"/>
  <c r="O216" i="16"/>
  <c r="O184" i="16"/>
  <c r="O249" i="16"/>
  <c r="O254" i="16"/>
  <c r="O289" i="16"/>
  <c r="O279" i="16"/>
  <c r="O314" i="16"/>
  <c r="O305" i="16"/>
  <c r="O339" i="16"/>
  <c r="O340" i="16"/>
  <c r="O343" i="16"/>
  <c r="O358" i="16"/>
  <c r="O378" i="16"/>
  <c r="O415" i="16"/>
  <c r="O397" i="16"/>
  <c r="O410" i="16"/>
  <c r="O451" i="16"/>
  <c r="O435" i="16"/>
  <c r="O449" i="16"/>
  <c r="O472" i="16"/>
  <c r="O483" i="16"/>
  <c r="O22" i="16"/>
  <c r="O35" i="16"/>
  <c r="O31" i="16"/>
  <c r="O46" i="16"/>
  <c r="O75" i="16"/>
  <c r="O81" i="16"/>
  <c r="O85" i="16"/>
  <c r="O116" i="16"/>
  <c r="O131" i="16"/>
  <c r="O125" i="16"/>
  <c r="O140" i="16"/>
  <c r="O174" i="16"/>
  <c r="O166" i="16"/>
  <c r="O201" i="16"/>
  <c r="O192" i="16"/>
  <c r="O205" i="16"/>
  <c r="O225" i="16"/>
  <c r="O276" i="16"/>
  <c r="O265" i="16"/>
  <c r="O255" i="16"/>
  <c r="O290" i="16"/>
  <c r="O281" i="16"/>
  <c r="O315" i="16"/>
  <c r="O309" i="16"/>
  <c r="O319" i="16"/>
  <c r="O341" i="16"/>
  <c r="O345" i="16"/>
  <c r="O359" i="16"/>
  <c r="O381" i="16"/>
  <c r="O416" i="16"/>
  <c r="O399" i="16"/>
  <c r="O412" i="16"/>
  <c r="O456" i="16"/>
  <c r="O438" i="16"/>
  <c r="O450" i="16"/>
  <c r="O464" i="16"/>
  <c r="O484" i="16"/>
  <c r="O498" i="16"/>
  <c r="O512" i="16"/>
  <c r="O523" i="16"/>
  <c r="O537" i="16"/>
  <c r="O549" i="16"/>
  <c r="O553" i="16"/>
  <c r="O567" i="16"/>
  <c r="O600" i="16"/>
  <c r="O596" i="16"/>
  <c r="O616" i="16"/>
  <c r="O629" i="16"/>
  <c r="O643" i="16"/>
  <c r="O654" i="16"/>
  <c r="O668" i="16"/>
  <c r="O7" i="16"/>
  <c r="O39" i="16"/>
  <c r="O43" i="16"/>
  <c r="O48" i="16"/>
  <c r="O63" i="16"/>
  <c r="O92" i="16"/>
  <c r="O89" i="16"/>
  <c r="O102" i="16"/>
  <c r="O133" i="16"/>
  <c r="O148" i="16"/>
  <c r="O142" i="16"/>
  <c r="O178" i="16"/>
  <c r="O170" i="16"/>
  <c r="O182" i="16"/>
  <c r="O214" i="16"/>
  <c r="O275" i="16"/>
  <c r="O242" i="16"/>
  <c r="O233" i="16"/>
  <c r="O267" i="16"/>
  <c r="O261" i="16"/>
  <c r="O292" i="16"/>
  <c r="O286" i="16"/>
  <c r="O297" i="16"/>
  <c r="O318" i="16"/>
  <c r="O324" i="16"/>
  <c r="O363" i="16"/>
  <c r="O349" i="16"/>
  <c r="O362" i="16"/>
  <c r="O383" i="16"/>
  <c r="O389" i="16"/>
  <c r="O401" i="16"/>
  <c r="O423" i="16"/>
  <c r="O459" i="16"/>
  <c r="O441" i="16"/>
  <c r="O463" i="16"/>
  <c r="O474" i="16"/>
  <c r="O489" i="16"/>
  <c r="O501" i="16"/>
  <c r="O514" i="16"/>
  <c r="O519" i="16"/>
  <c r="O530" i="16"/>
  <c r="O554" i="16"/>
  <c r="O564" i="16"/>
  <c r="O581" i="16"/>
  <c r="O587" i="16"/>
  <c r="O606" i="16"/>
  <c r="O620" i="16"/>
  <c r="O632" i="16"/>
  <c r="O645" i="16"/>
  <c r="O659" i="16"/>
  <c r="O670" i="16"/>
  <c r="O9" i="16"/>
  <c r="O40" i="16"/>
  <c r="O55" i="16"/>
  <c r="O49" i="16"/>
  <c r="O64" i="16"/>
  <c r="O94" i="16"/>
  <c r="O99" i="16"/>
  <c r="O105" i="16"/>
  <c r="O134" i="16"/>
  <c r="O149" i="16"/>
  <c r="O144" i="16"/>
  <c r="O158" i="16"/>
  <c r="O180" i="16"/>
  <c r="O161" i="16"/>
  <c r="O218" i="16"/>
  <c r="O209" i="16"/>
  <c r="O243" i="16"/>
  <c r="O236" i="16"/>
  <c r="O268" i="16"/>
  <c r="O262" i="16"/>
  <c r="O273" i="16"/>
  <c r="O294" i="16"/>
  <c r="O300" i="16"/>
  <c r="O329" i="16"/>
  <c r="O325" i="16"/>
  <c r="O369" i="16"/>
  <c r="O350" i="16"/>
  <c r="O366" i="16"/>
  <c r="O384" i="16"/>
  <c r="O390" i="16"/>
  <c r="O403" i="16"/>
  <c r="O424" i="16"/>
  <c r="O430" i="16"/>
  <c r="O442" i="16"/>
  <c r="O465" i="16"/>
  <c r="O477" i="16"/>
  <c r="O490" i="16"/>
  <c r="O504" i="16"/>
  <c r="O515" i="16"/>
  <c r="O528" i="16"/>
  <c r="O540" i="16"/>
  <c r="O555" i="16"/>
  <c r="O570" i="16"/>
  <c r="O582" i="16"/>
  <c r="O588" i="16"/>
  <c r="O608" i="16"/>
  <c r="O621" i="16"/>
  <c r="O635" i="16"/>
  <c r="O646" i="16"/>
  <c r="O660" i="16"/>
  <c r="O672" i="16"/>
  <c r="O6" i="16"/>
  <c r="O57" i="16"/>
  <c r="O97" i="16"/>
  <c r="O132" i="16"/>
  <c r="O157" i="16"/>
  <c r="O185" i="16"/>
  <c r="O241" i="16"/>
  <c r="O206" i="16"/>
  <c r="O295" i="16"/>
  <c r="O230" i="16"/>
  <c r="O354" i="16"/>
  <c r="O391" i="16"/>
  <c r="O457" i="16"/>
  <c r="O467" i="16"/>
  <c r="O499" i="16"/>
  <c r="O525" i="16"/>
  <c r="O551" i="16"/>
  <c r="O568" i="16"/>
  <c r="O605" i="16"/>
  <c r="O630" i="16"/>
  <c r="O656" i="16"/>
  <c r="O351" i="16"/>
  <c r="O12" i="16"/>
  <c r="O47" i="16"/>
  <c r="O98" i="16"/>
  <c r="O136" i="16"/>
  <c r="O177" i="16"/>
  <c r="O188" i="16"/>
  <c r="O244" i="16"/>
  <c r="O257" i="16"/>
  <c r="O310" i="16"/>
  <c r="O326" i="16"/>
  <c r="O360" i="16"/>
  <c r="O392" i="16"/>
  <c r="O431" i="16"/>
  <c r="O473" i="16"/>
  <c r="O505" i="16"/>
  <c r="O529" i="16"/>
  <c r="O556" i="16"/>
  <c r="O584" i="16"/>
  <c r="O611" i="16"/>
  <c r="O636" i="16"/>
  <c r="O661" i="16"/>
  <c r="O13" i="16"/>
  <c r="O51" i="16"/>
  <c r="O88" i="16"/>
  <c r="O122" i="16"/>
  <c r="O159" i="16"/>
  <c r="O194" i="16"/>
  <c r="O246" i="16"/>
  <c r="O263" i="16"/>
  <c r="O316" i="16"/>
  <c r="O327" i="16"/>
  <c r="O374" i="16"/>
  <c r="O400" i="16"/>
  <c r="O432" i="16"/>
  <c r="O480" i="16"/>
  <c r="O497" i="16"/>
  <c r="O531" i="16"/>
  <c r="O558" i="16"/>
  <c r="O597" i="16"/>
  <c r="O612" i="16"/>
  <c r="O637" i="16"/>
  <c r="O662" i="16"/>
  <c r="O181" i="16"/>
  <c r="O427" i="16"/>
  <c r="O522" i="16"/>
  <c r="O38" i="16"/>
  <c r="O72" i="16"/>
  <c r="O100" i="16"/>
  <c r="O127" i="16"/>
  <c r="O252" i="16"/>
  <c r="O219" i="16"/>
  <c r="O231" i="16"/>
  <c r="O271" i="16"/>
  <c r="O301" i="16"/>
  <c r="O352" i="16"/>
  <c r="O375" i="16"/>
  <c r="O406" i="16"/>
  <c r="O439" i="16"/>
  <c r="O481" i="16"/>
  <c r="O509" i="16"/>
  <c r="O536" i="16"/>
  <c r="O552" i="16"/>
  <c r="O599" i="16"/>
  <c r="O614" i="16"/>
  <c r="O640" i="16"/>
  <c r="O667" i="16"/>
  <c r="O107" i="16"/>
  <c r="O653" i="16"/>
  <c r="O41" i="16"/>
  <c r="O77" i="16"/>
  <c r="O111" i="16"/>
  <c r="O150" i="16"/>
  <c r="O167" i="16"/>
  <c r="O220" i="16"/>
  <c r="O238" i="16"/>
  <c r="O291" i="16"/>
  <c r="O302" i="16"/>
  <c r="O372" i="16"/>
  <c r="O382" i="16"/>
  <c r="O407" i="16"/>
  <c r="O444" i="16"/>
  <c r="O488" i="16"/>
  <c r="O513" i="16"/>
  <c r="O538" i="16"/>
  <c r="O562" i="16"/>
  <c r="O602" i="16"/>
  <c r="O619" i="16"/>
  <c r="O644" i="16"/>
  <c r="O669" i="16"/>
  <c r="O156" i="16"/>
  <c r="O418" i="16"/>
  <c r="O547" i="16"/>
  <c r="O628" i="16"/>
  <c r="O26" i="16"/>
  <c r="O65" i="16"/>
  <c r="O117" i="16"/>
  <c r="O151" i="16"/>
  <c r="O191" i="16"/>
  <c r="O183" i="16"/>
  <c r="O239" i="16"/>
  <c r="O299" i="16"/>
  <c r="O317" i="16"/>
  <c r="O373" i="16"/>
  <c r="O386" i="16"/>
  <c r="O422" i="16"/>
  <c r="O447" i="16"/>
  <c r="O491" i="16"/>
  <c r="O508" i="16"/>
  <c r="O544" i="16"/>
  <c r="O571" i="16"/>
  <c r="O589" i="16"/>
  <c r="O622" i="16"/>
  <c r="O648" i="16"/>
  <c r="O91" i="16"/>
  <c r="O213" i="16"/>
  <c r="O285" i="16"/>
  <c r="O466" i="16"/>
  <c r="O575" i="16"/>
  <c r="O32" i="16"/>
  <c r="O66" i="16"/>
  <c r="O106" i="16"/>
  <c r="O141" i="16"/>
  <c r="O195" i="16"/>
  <c r="O212" i="16"/>
  <c r="O266" i="16"/>
  <c r="O277" i="16"/>
  <c r="O334" i="16"/>
  <c r="O348" i="16"/>
  <c r="O409" i="16"/>
  <c r="O425" i="16"/>
  <c r="O453" i="16"/>
  <c r="O493" i="16"/>
  <c r="O520" i="16"/>
  <c r="O545" i="16"/>
  <c r="O572" i="16"/>
  <c r="O590" i="16"/>
  <c r="O624" i="16"/>
  <c r="O651" i="16"/>
  <c r="O56" i="16"/>
  <c r="O270" i="16"/>
  <c r="O337" i="16"/>
  <c r="O496" i="16"/>
  <c r="O595" i="16"/>
  <c r="J37" i="16"/>
  <c r="J135" i="16"/>
  <c r="J41" i="16"/>
  <c r="J47" i="16"/>
  <c r="J148" i="16"/>
  <c r="J28" i="16"/>
  <c r="J129" i="16"/>
  <c r="J140" i="16"/>
  <c r="J31" i="16"/>
  <c r="J64" i="16"/>
  <c r="J49" i="16"/>
  <c r="J138" i="16"/>
  <c r="J119" i="16"/>
  <c r="J61" i="16"/>
  <c r="J42" i="16"/>
  <c r="J155" i="16"/>
  <c r="J29" i="16"/>
  <c r="J79" i="16"/>
  <c r="J145" i="16"/>
  <c r="J38" i="16"/>
  <c r="J77" i="16"/>
  <c r="J120" i="16"/>
  <c r="J58" i="16"/>
  <c r="J101" i="16"/>
  <c r="J69" i="16"/>
  <c r="J27" i="16"/>
  <c r="J108" i="16"/>
  <c r="J143" i="16"/>
  <c r="J127" i="16"/>
  <c r="J110" i="16"/>
  <c r="J76" i="16"/>
  <c r="J53" i="16"/>
  <c r="J36" i="16"/>
  <c r="J60" i="16"/>
  <c r="J85" i="16"/>
  <c r="J94" i="16"/>
  <c r="J75" i="16"/>
  <c r="J56" i="16"/>
  <c r="J125" i="16"/>
  <c r="J88" i="16"/>
  <c r="J67" i="16"/>
  <c r="J141" i="16"/>
  <c r="J32" i="16"/>
  <c r="J130" i="16"/>
  <c r="J34" i="16"/>
  <c r="J73" i="16"/>
  <c r="J54" i="16"/>
  <c r="J121" i="16"/>
  <c r="J86" i="16"/>
  <c r="J65" i="16"/>
  <c r="J106" i="16"/>
  <c r="J139" i="16"/>
  <c r="J51" i="16"/>
  <c r="J39" i="16"/>
  <c r="J136" i="16"/>
  <c r="J72" i="16"/>
  <c r="J87" i="16"/>
  <c r="J99" i="16"/>
  <c r="J116" i="16"/>
  <c r="J126" i="16"/>
  <c r="J97" i="16"/>
  <c r="J107" i="16"/>
  <c r="J62" i="16"/>
  <c r="J43" i="16"/>
  <c r="J59" i="16"/>
  <c r="J50" i="16"/>
  <c r="J84" i="16"/>
  <c r="J63" i="16"/>
  <c r="J104" i="16"/>
  <c r="J154" i="16"/>
  <c r="J89" i="16"/>
  <c r="J267" i="16"/>
  <c r="J516" i="16"/>
  <c r="J277" i="16"/>
  <c r="J285" i="16"/>
  <c r="J261" i="16"/>
  <c r="J461" i="16"/>
  <c r="J534" i="16"/>
  <c r="J642" i="16"/>
  <c r="J480" i="16"/>
  <c r="J510" i="16"/>
  <c r="J433" i="16"/>
  <c r="J512" i="16"/>
  <c r="J531" i="16"/>
  <c r="J477" i="16"/>
  <c r="J630" i="16"/>
  <c r="J448" i="16"/>
  <c r="J507" i="16"/>
  <c r="J499" i="16"/>
  <c r="J657" i="16"/>
  <c r="J651" i="16"/>
  <c r="J474" i="16"/>
  <c r="J548" i="16"/>
  <c r="J479" i="16"/>
  <c r="J453" i="16"/>
  <c r="J522" i="16"/>
  <c r="J646" i="16"/>
  <c r="J517" i="16"/>
  <c r="J378" i="16"/>
  <c r="J292" i="16"/>
  <c r="J259" i="16"/>
  <c r="J400" i="16"/>
  <c r="J207" i="16"/>
  <c r="J271" i="16"/>
  <c r="J377" i="16"/>
  <c r="J415" i="16"/>
  <c r="J182" i="16"/>
  <c r="J253" i="16"/>
  <c r="J255" i="16"/>
  <c r="J520" i="16"/>
  <c r="J189" i="16"/>
  <c r="J192" i="16"/>
  <c r="J287" i="16"/>
  <c r="J191" i="16"/>
  <c r="J232" i="16"/>
  <c r="J268" i="16"/>
  <c r="J654" i="16"/>
  <c r="J418" i="16"/>
  <c r="J403" i="16"/>
  <c r="J412" i="16"/>
  <c r="J385" i="16"/>
  <c r="J336" i="16"/>
  <c r="J330" i="16"/>
  <c r="J294" i="16"/>
  <c r="J224" i="16"/>
  <c r="J302" i="16"/>
  <c r="J231" i="16"/>
  <c r="J221" i="16"/>
  <c r="J321" i="16"/>
  <c r="J215" i="16"/>
  <c r="J614" i="16"/>
  <c r="J498" i="16"/>
  <c r="J193" i="16"/>
  <c r="J335" i="16"/>
  <c r="J549" i="16"/>
  <c r="J432" i="16"/>
  <c r="J449" i="16"/>
  <c r="J656" i="16"/>
  <c r="J545" i="16"/>
  <c r="J478" i="16"/>
  <c r="J528" i="16"/>
  <c r="J491" i="16"/>
  <c r="J615" i="16"/>
  <c r="J450" i="16"/>
  <c r="J535" i="16"/>
  <c r="J501" i="16"/>
  <c r="J265" i="16"/>
  <c r="J429" i="16"/>
  <c r="J213" i="16"/>
  <c r="J667" i="16"/>
  <c r="J496" i="16"/>
  <c r="J649" i="16"/>
  <c r="J262" i="16"/>
  <c r="J509" i="16"/>
  <c r="J411" i="16"/>
  <c r="J199" i="16"/>
  <c r="J299" i="16"/>
  <c r="J185" i="16"/>
  <c r="J256" i="16"/>
  <c r="J459" i="16"/>
  <c r="J533" i="16"/>
  <c r="J537" i="16"/>
  <c r="J180" i="16"/>
  <c r="J278" i="16"/>
  <c r="J283" i="16"/>
  <c r="J293" i="16"/>
  <c r="J254" i="16"/>
  <c r="J444" i="16"/>
  <c r="J493" i="16"/>
  <c r="J640" i="16"/>
  <c r="J488" i="16"/>
  <c r="J643" i="16"/>
  <c r="J524" i="16"/>
  <c r="J284" i="16"/>
  <c r="J289" i="16"/>
  <c r="J270" i="16"/>
  <c r="J186" i="16"/>
  <c r="J279" i="16"/>
  <c r="J280" i="16"/>
  <c r="J384" i="16"/>
  <c r="J236" i="16"/>
  <c r="J381" i="16"/>
  <c r="J209" i="16"/>
  <c r="J476" i="16"/>
  <c r="J663" i="16"/>
  <c r="J542" i="16"/>
  <c r="J641" i="16"/>
  <c r="J188" i="16"/>
  <c r="J248" i="16"/>
  <c r="J250" i="16"/>
  <c r="J547" i="16"/>
  <c r="J525" i="16"/>
  <c r="J546" i="16"/>
  <c r="J198" i="16"/>
  <c r="J249" i="16"/>
  <c r="J523" i="16"/>
  <c r="J638" i="16"/>
  <c r="J431" i="16"/>
  <c r="J634" i="16"/>
  <c r="J544" i="16"/>
  <c r="J616" i="16"/>
  <c r="J257" i="16"/>
  <c r="J410" i="16"/>
  <c r="J243" i="16"/>
  <c r="J313" i="16"/>
  <c r="J310" i="16"/>
  <c r="J458" i="16"/>
  <c r="J443" i="16"/>
  <c r="J288" i="16"/>
  <c r="J375" i="16"/>
  <c r="J417" i="16"/>
  <c r="J402" i="16"/>
  <c r="J422" i="16"/>
  <c r="J190" i="16"/>
  <c r="J161" i="16"/>
  <c r="J388" i="16"/>
  <c r="J405" i="16"/>
  <c r="J423" i="16"/>
  <c r="J200" i="16"/>
  <c r="J334" i="16"/>
  <c r="J276" i="16"/>
  <c r="J222" i="16"/>
  <c r="J300" i="16"/>
  <c r="J216" i="16"/>
  <c r="J333" i="16"/>
  <c r="J184" i="16"/>
  <c r="J425" i="16"/>
  <c r="J219" i="16"/>
  <c r="J297" i="16"/>
  <c r="J304" i="16"/>
  <c r="J327" i="16"/>
  <c r="J621" i="16"/>
  <c r="J442" i="16"/>
  <c r="J626" i="16"/>
  <c r="J434" i="16"/>
  <c r="J452" i="16"/>
  <c r="J666" i="16"/>
  <c r="J495" i="16"/>
  <c r="J494" i="16"/>
  <c r="J532" i="16"/>
  <c r="J382" i="16"/>
  <c r="J376" i="16"/>
  <c r="J251" i="16"/>
  <c r="J419" i="16"/>
  <c r="J404" i="16"/>
  <c r="J390" i="16"/>
  <c r="J196" i="16"/>
  <c r="J383" i="16"/>
  <c r="J329" i="16"/>
  <c r="J228" i="16"/>
  <c r="J235" i="16"/>
  <c r="J380" i="16"/>
  <c r="J220" i="16"/>
  <c r="J229" i="16"/>
  <c r="J318" i="16"/>
  <c r="J227" i="16"/>
  <c r="J326" i="16"/>
  <c r="J214" i="16"/>
  <c r="J316" i="16"/>
  <c r="J446" i="16"/>
  <c r="J482" i="16"/>
  <c r="J514" i="16"/>
  <c r="J428" i="16"/>
  <c r="J436" i="16"/>
  <c r="J454" i="16"/>
  <c r="J664" i="16"/>
  <c r="J481" i="16"/>
  <c r="J529" i="16"/>
  <c r="J526" i="16"/>
  <c r="J195" i="16"/>
  <c r="J282" i="16"/>
  <c r="J389" i="16"/>
  <c r="J406" i="16"/>
  <c r="J298" i="16"/>
  <c r="J392" i="16"/>
  <c r="J179" i="16"/>
  <c r="J408" i="16"/>
  <c r="J317" i="16"/>
  <c r="J247" i="16"/>
  <c r="J325" i="16"/>
  <c r="J218" i="16"/>
  <c r="J296" i="16"/>
  <c r="J246" i="16"/>
  <c r="J324" i="16"/>
  <c r="J202" i="16"/>
  <c r="J314" i="16"/>
  <c r="J210" i="16"/>
  <c r="J308" i="16"/>
  <c r="J650" i="16"/>
  <c r="J632" i="16"/>
  <c r="J662" i="16"/>
  <c r="J536" i="16"/>
  <c r="J661" i="16"/>
  <c r="J619" i="16"/>
  <c r="J665" i="16"/>
  <c r="J647" i="16"/>
  <c r="J440" i="16"/>
  <c r="J438" i="16"/>
  <c r="J538" i="16"/>
  <c r="J157" i="16"/>
  <c r="J543" i="16"/>
  <c r="J627" i="16"/>
  <c r="J515" i="16"/>
  <c r="J260" i="16"/>
  <c r="J391" i="16"/>
  <c r="J269" i="16"/>
  <c r="J386" i="16"/>
  <c r="J394" i="16"/>
  <c r="J420" i="16"/>
  <c r="J181" i="16"/>
  <c r="J274" i="16"/>
  <c r="J245" i="16"/>
  <c r="J323" i="16"/>
  <c r="J239" i="16"/>
  <c r="J203" i="16"/>
  <c r="J315" i="16"/>
  <c r="J211" i="16"/>
  <c r="J244" i="16"/>
  <c r="J322" i="16"/>
  <c r="J238" i="16"/>
  <c r="J426" i="16"/>
  <c r="J312" i="16"/>
  <c r="J208" i="16"/>
  <c r="J305" i="16"/>
  <c r="J473" i="16"/>
  <c r="J518" i="16"/>
  <c r="J655" i="16"/>
  <c r="J645" i="16"/>
  <c r="J456" i="16"/>
  <c r="J441" i="16"/>
  <c r="J527" i="16"/>
  <c r="J540" i="16"/>
  <c r="J625" i="16"/>
  <c r="J502" i="16"/>
  <c r="J674" i="16"/>
  <c r="J393" i="16"/>
  <c r="J398" i="16"/>
  <c r="J396" i="16"/>
  <c r="J281" i="16"/>
  <c r="J230" i="16"/>
  <c r="J307" i="16"/>
  <c r="J206" i="16"/>
  <c r="J242" i="16"/>
  <c r="J320" i="16"/>
  <c r="J183" i="16"/>
  <c r="J617" i="16"/>
  <c r="J629" i="16"/>
  <c r="J521" i="16"/>
  <c r="J659" i="16"/>
  <c r="J485" i="16"/>
  <c r="J635" i="16"/>
  <c r="J623" i="16"/>
  <c r="J500" i="16"/>
  <c r="J197" i="16"/>
  <c r="J387" i="16"/>
  <c r="J395" i="16"/>
  <c r="J374" i="16"/>
  <c r="J272" i="16"/>
  <c r="J266" i="16"/>
  <c r="J414" i="16"/>
  <c r="J399" i="16"/>
  <c r="J421" i="16"/>
  <c r="J241" i="16"/>
  <c r="J319" i="16"/>
  <c r="J311" i="16"/>
  <c r="J275" i="16"/>
  <c r="J237" i="16"/>
  <c r="J339" i="16"/>
  <c r="J295" i="16"/>
  <c r="J204" i="16"/>
  <c r="J303" i="16"/>
  <c r="J328" i="16"/>
  <c r="J504" i="16"/>
  <c r="J489" i="16"/>
  <c r="J539" i="16"/>
  <c r="J624" i="16"/>
  <c r="J618" i="16"/>
  <c r="J460" i="16"/>
  <c r="J445" i="16"/>
  <c r="J503" i="16"/>
  <c r="J653" i="16"/>
  <c r="J639" i="16"/>
  <c r="J633" i="16"/>
  <c r="J513" i="16"/>
  <c r="J487" i="16"/>
  <c r="J258" i="16"/>
  <c r="J290" i="16"/>
  <c r="J201" i="16"/>
  <c r="J409" i="16"/>
  <c r="J397" i="16"/>
  <c r="J424" i="16"/>
  <c r="J273" i="16"/>
  <c r="J187" i="16"/>
  <c r="J416" i="16"/>
  <c r="J401" i="16"/>
  <c r="J291" i="16"/>
  <c r="J264" i="16"/>
  <c r="J226" i="16"/>
  <c r="J338" i="16"/>
  <c r="J234" i="16"/>
  <c r="J379" i="16"/>
  <c r="J306" i="16"/>
  <c r="J205" i="16"/>
  <c r="J212" i="16"/>
  <c r="J225" i="16"/>
  <c r="J337" i="16"/>
  <c r="J233" i="16"/>
  <c r="J331" i="16"/>
  <c r="J427" i="16"/>
  <c r="J223" i="16"/>
  <c r="J301" i="16"/>
  <c r="J631" i="16"/>
  <c r="J613" i="16"/>
  <c r="J457" i="16"/>
  <c r="J430" i="16"/>
  <c r="J447" i="16"/>
  <c r="J490" i="16"/>
  <c r="J622" i="16"/>
  <c r="J637" i="16"/>
  <c r="J505" i="16"/>
  <c r="J511" i="16"/>
  <c r="J658" i="16"/>
  <c r="J484" i="16"/>
  <c r="J483" i="16"/>
  <c r="J344" i="16"/>
  <c r="J475" i="16"/>
  <c r="J169" i="16"/>
  <c r="J601" i="16"/>
  <c r="J554" i="16"/>
  <c r="J611" i="16"/>
  <c r="J17" i="16"/>
  <c r="J360" i="16"/>
  <c r="J576" i="16"/>
  <c r="J309" i="16"/>
  <c r="J588" i="16"/>
  <c r="J371" i="16"/>
  <c r="J340" i="16"/>
  <c r="J602" i="16"/>
  <c r="J541" i="16"/>
  <c r="J671" i="16"/>
  <c r="J22" i="16"/>
  <c r="J9" i="16"/>
  <c r="J596" i="16"/>
  <c r="J173" i="16"/>
  <c r="J357" i="16"/>
  <c r="J587" i="16"/>
  <c r="J5" i="16"/>
  <c r="J607" i="16"/>
  <c r="J21" i="16"/>
  <c r="J178" i="16"/>
  <c r="J464" i="16"/>
  <c r="J366" i="16"/>
  <c r="J167" i="16"/>
  <c r="J462" i="16"/>
  <c r="J470" i="16"/>
  <c r="J595" i="16"/>
  <c r="J156" i="16"/>
  <c r="J343" i="16"/>
  <c r="J573" i="16"/>
  <c r="J164" i="16"/>
  <c r="J552" i="16"/>
  <c r="J610" i="16"/>
  <c r="J159" i="16"/>
  <c r="J356" i="16"/>
  <c r="J550" i="16"/>
  <c r="J177" i="16"/>
  <c r="J668" i="16"/>
  <c r="J166" i="16"/>
  <c r="J636" i="16"/>
  <c r="J672" i="16"/>
  <c r="J560" i="16"/>
  <c r="J4" i="16"/>
  <c r="J565" i="16"/>
  <c r="J559" i="16"/>
  <c r="J558" i="16"/>
  <c r="J612" i="16"/>
  <c r="J571" i="16"/>
  <c r="J160" i="16"/>
  <c r="J341" i="16"/>
  <c r="J20" i="16"/>
  <c r="J466" i="16"/>
  <c r="J172" i="16"/>
  <c r="J16" i="16"/>
  <c r="J168" i="16"/>
  <c r="J486" i="16"/>
  <c r="J581" i="16"/>
  <c r="J465" i="16"/>
  <c r="J582" i="16"/>
  <c r="J463" i="16"/>
  <c r="J364" i="16"/>
  <c r="J574" i="16"/>
  <c r="J332" i="16"/>
  <c r="J345" i="16"/>
  <c r="J600" i="16"/>
  <c r="J217" i="16"/>
  <c r="J158" i="16"/>
  <c r="J15" i="16"/>
  <c r="J562" i="16"/>
  <c r="J472" i="16"/>
  <c r="J673" i="16"/>
  <c r="J351" i="16"/>
  <c r="J564" i="16"/>
  <c r="J584" i="16"/>
  <c r="J597" i="16"/>
  <c r="J586" i="16"/>
  <c r="J557" i="16"/>
  <c r="J551" i="16"/>
  <c r="J572" i="16"/>
  <c r="J660" i="16"/>
  <c r="J10" i="16"/>
  <c r="J362" i="16"/>
  <c r="J519" i="16"/>
  <c r="J469" i="16"/>
  <c r="J566" i="16"/>
  <c r="J286" i="16"/>
  <c r="J348" i="16"/>
  <c r="J497" i="16"/>
  <c r="J467" i="16"/>
  <c r="J628" i="16"/>
  <c r="J359" i="16"/>
  <c r="J620" i="16"/>
  <c r="J358" i="16"/>
  <c r="J11" i="16"/>
  <c r="J170" i="16"/>
  <c r="J352" i="16"/>
  <c r="J355" i="16"/>
  <c r="J592" i="16"/>
  <c r="J561" i="16"/>
  <c r="J372" i="16"/>
  <c r="J468" i="16"/>
  <c r="J365" i="16"/>
  <c r="J644" i="16"/>
  <c r="J361" i="16"/>
  <c r="J606" i="16"/>
  <c r="J354" i="16"/>
  <c r="J605" i="16"/>
  <c r="J353" i="16"/>
  <c r="J252" i="16"/>
  <c r="J593" i="16"/>
  <c r="J583" i="16"/>
  <c r="J585" i="16"/>
  <c r="J555" i="16"/>
  <c r="J369" i="16"/>
  <c r="J589" i="16"/>
  <c r="J603" i="16"/>
  <c r="J652" i="16"/>
  <c r="J407" i="16"/>
  <c r="J669" i="16"/>
  <c r="J608" i="16"/>
  <c r="J349" i="16"/>
  <c r="J194" i="16"/>
  <c r="J347" i="16"/>
  <c r="J12" i="16"/>
  <c r="J171" i="16"/>
  <c r="J346" i="16"/>
  <c r="J174" i="16"/>
  <c r="J569" i="16"/>
  <c r="J556" i="16"/>
  <c r="J508" i="16"/>
  <c r="J575" i="16"/>
  <c r="J604" i="16"/>
  <c r="J598" i="16"/>
  <c r="J568" i="16"/>
  <c r="J13" i="16"/>
  <c r="J670" i="16"/>
  <c r="J609" i="16"/>
  <c r="J350" i="16"/>
  <c r="J240" i="16"/>
  <c r="J373" i="16"/>
  <c r="J7" i="16"/>
  <c r="J163" i="16"/>
  <c r="J368" i="16"/>
  <c r="J6" i="16"/>
  <c r="J162" i="16"/>
  <c r="J363" i="16"/>
  <c r="J530" i="16"/>
  <c r="J553" i="16"/>
  <c r="J590" i="16"/>
  <c r="J599" i="16"/>
  <c r="J570" i="16"/>
  <c r="J591" i="16"/>
  <c r="J263" i="16"/>
  <c r="J342" i="16"/>
  <c r="J8" i="16"/>
  <c r="J165" i="16"/>
  <c r="J370" i="16"/>
  <c r="J19" i="16"/>
  <c r="J176" i="16"/>
  <c r="J594" i="16"/>
  <c r="J18" i="16"/>
  <c r="J175" i="16"/>
  <c r="J567" i="16"/>
  <c r="J471" i="16"/>
  <c r="J563" i="16"/>
  <c r="M5" i="15"/>
  <c r="N4" i="15"/>
  <c r="N5" i="15" l="1"/>
  <c r="M6" i="15"/>
  <c r="N6" i="15" l="1"/>
  <c r="O6" i="15" s="1"/>
  <c r="I68" i="16"/>
  <c r="I553" i="16"/>
  <c r="I229" i="16"/>
  <c r="I554" i="16"/>
  <c r="I388" i="16"/>
  <c r="I367" i="16"/>
  <c r="I459" i="16"/>
  <c r="I352" i="16"/>
  <c r="I622" i="16"/>
  <c r="I196" i="16"/>
  <c r="I631" i="16"/>
  <c r="I289" i="16"/>
  <c r="I93" i="16"/>
  <c r="I349" i="16"/>
  <c r="I235" i="16"/>
  <c r="I207" i="16"/>
  <c r="I286" i="16"/>
  <c r="I107" i="16"/>
  <c r="I264" i="16"/>
  <c r="I629" i="16"/>
  <c r="I341" i="16"/>
  <c r="I409" i="16"/>
  <c r="I6" i="16"/>
  <c r="I559" i="16"/>
  <c r="I490" i="16"/>
  <c r="I558" i="16"/>
  <c r="I514" i="16"/>
  <c r="I478" i="16"/>
  <c r="I562" i="16"/>
  <c r="I405" i="16"/>
  <c r="I61" i="16"/>
  <c r="I216" i="16"/>
  <c r="I538" i="16"/>
  <c r="I265" i="16"/>
  <c r="I373" i="16"/>
  <c r="I587" i="16"/>
  <c r="I181" i="16"/>
  <c r="I106" i="16"/>
  <c r="I43" i="16"/>
  <c r="I499" i="16"/>
  <c r="I317" i="16"/>
  <c r="I139" i="16"/>
  <c r="I368" i="16"/>
  <c r="I440" i="16"/>
  <c r="I31" i="16"/>
  <c r="I22" i="16"/>
  <c r="I183" i="16"/>
  <c r="I502" i="16"/>
  <c r="I228" i="16"/>
  <c r="I292" i="16"/>
  <c r="I638" i="16"/>
  <c r="I25" i="16"/>
  <c r="I521" i="16"/>
  <c r="I16" i="16"/>
  <c r="I526" i="16"/>
  <c r="I648" i="16"/>
  <c r="I408" i="16"/>
  <c r="I83" i="16"/>
  <c r="I412" i="16"/>
  <c r="I564" i="16"/>
  <c r="I343" i="16"/>
  <c r="I91" i="16"/>
  <c r="I131" i="16"/>
  <c r="I447" i="16"/>
  <c r="I628" i="16"/>
  <c r="I283" i="16"/>
  <c r="I387" i="16"/>
  <c r="I531" i="16"/>
  <c r="I596" i="16"/>
  <c r="I17" i="16"/>
  <c r="I441" i="16"/>
  <c r="I287" i="16"/>
  <c r="I433" i="16"/>
  <c r="I654" i="16"/>
  <c r="I641" i="16"/>
  <c r="I428" i="16"/>
  <c r="I545" i="16"/>
  <c r="I625" i="16"/>
  <c r="I617" i="16"/>
  <c r="I494" i="16"/>
  <c r="I427" i="16"/>
  <c r="I527" i="16"/>
  <c r="I340" i="16"/>
  <c r="I7" i="16"/>
  <c r="I546" i="16"/>
  <c r="I350" i="16"/>
  <c r="I645" i="16"/>
  <c r="I519" i="16"/>
  <c r="I383" i="16"/>
  <c r="I523" i="16"/>
  <c r="I130" i="16"/>
  <c r="I662" i="16"/>
  <c r="I109" i="16"/>
  <c r="I242" i="16"/>
  <c r="I667" i="16"/>
  <c r="I20" i="16"/>
  <c r="I324" i="16"/>
  <c r="I657" i="16"/>
  <c r="I76" i="16"/>
  <c r="I470" i="16"/>
  <c r="I304" i="16"/>
  <c r="I112" i="16"/>
  <c r="I116" i="16"/>
  <c r="I411" i="16"/>
  <c r="I414" i="16"/>
  <c r="I205" i="16"/>
  <c r="I496" i="16"/>
  <c r="I551" i="16"/>
  <c r="I159" i="16"/>
  <c r="I263" i="16"/>
  <c r="I297" i="16"/>
  <c r="I378" i="16"/>
  <c r="I86" i="16"/>
  <c r="I575" i="16"/>
  <c r="I67" i="16"/>
  <c r="I543" i="16"/>
  <c r="I601" i="16"/>
  <c r="I630" i="16"/>
  <c r="I671" i="16"/>
  <c r="I672" i="16"/>
  <c r="I660" i="16"/>
  <c r="I591" i="16"/>
  <c r="I452" i="16"/>
  <c r="I248" i="16"/>
  <c r="I415" i="16"/>
  <c r="I100" i="16"/>
  <c r="I177" i="16"/>
  <c r="I174" i="16"/>
  <c r="I663" i="16"/>
  <c r="I14" i="16"/>
  <c r="I300" i="16"/>
  <c r="I585" i="16"/>
  <c r="I58" i="16"/>
  <c r="I122" i="16"/>
  <c r="I537" i="16"/>
  <c r="I605" i="16"/>
  <c r="I334" i="16"/>
  <c r="I370" i="16"/>
  <c r="I231" i="16"/>
  <c r="I219" i="16"/>
  <c r="I493" i="16"/>
  <c r="I164" i="16"/>
  <c r="I267" i="16"/>
  <c r="I674" i="16"/>
  <c r="I376" i="16"/>
  <c r="I424" i="16"/>
  <c r="I658" i="16"/>
  <c r="I480" i="16"/>
  <c r="I402" i="16"/>
  <c r="I533" i="16"/>
  <c r="I579" i="16"/>
  <c r="I221" i="16"/>
  <c r="I211" i="16"/>
  <c r="I351" i="16"/>
  <c r="I125" i="16"/>
  <c r="I333" i="16"/>
  <c r="I509" i="16"/>
  <c r="I277" i="16"/>
  <c r="I438" i="16"/>
  <c r="I154" i="16"/>
  <c r="I431" i="16"/>
  <c r="I150" i="16"/>
  <c r="I73" i="16"/>
  <c r="I385" i="16"/>
  <c r="I212" i="16"/>
  <c r="I483" i="16"/>
  <c r="I232" i="16"/>
  <c r="I640" i="16"/>
  <c r="I401" i="16"/>
  <c r="I254" i="16"/>
  <c r="I140" i="16"/>
  <c r="I643" i="16"/>
  <c r="I614" i="16"/>
  <c r="I377" i="16"/>
  <c r="I157" i="16"/>
  <c r="I249" i="16"/>
  <c r="I133" i="16"/>
  <c r="I226" i="16"/>
  <c r="I111" i="16"/>
  <c r="I275" i="16"/>
  <c r="I337" i="16"/>
  <c r="I32" i="16"/>
  <c r="I198" i="16"/>
  <c r="I492" i="16"/>
  <c r="I53" i="16"/>
  <c r="I381" i="16"/>
  <c r="I589" i="16"/>
  <c r="I520" i="16"/>
  <c r="I244" i="16"/>
  <c r="I195" i="16"/>
  <c r="I374" i="16"/>
  <c r="I44" i="16"/>
  <c r="I446" i="16"/>
  <c r="I218" i="16"/>
  <c r="I284" i="16"/>
  <c r="I129" i="16"/>
  <c r="I87" i="16"/>
  <c r="I146" i="16"/>
  <c r="I486" i="16"/>
  <c r="I547" i="16"/>
  <c r="I19" i="16"/>
  <c r="I646" i="16"/>
  <c r="I435" i="16"/>
  <c r="I124" i="16"/>
  <c r="I673" i="16"/>
  <c r="I461" i="16"/>
  <c r="I642" i="16"/>
  <c r="I485" i="16"/>
  <c r="I117" i="16"/>
  <c r="I462" i="16"/>
  <c r="I464" i="16"/>
  <c r="I504" i="16"/>
  <c r="I655" i="16"/>
  <c r="I84" i="16"/>
  <c r="I141" i="16"/>
  <c r="I237" i="16"/>
  <c r="I338" i="16"/>
  <c r="I539" i="16"/>
  <c r="I33" i="16"/>
  <c r="I561" i="16"/>
  <c r="I79" i="16"/>
  <c r="I145" i="16"/>
  <c r="I258" i="16"/>
  <c r="I81" i="16"/>
  <c r="I609" i="16"/>
  <c r="I121" i="16"/>
  <c r="I11" i="16"/>
  <c r="I23" i="16"/>
  <c r="I180" i="16"/>
  <c r="I389" i="16"/>
  <c r="I160" i="16"/>
  <c r="I488" i="16"/>
  <c r="I506" i="16"/>
  <c r="I356" i="16"/>
  <c r="I155" i="16"/>
  <c r="I158" i="16"/>
  <c r="I556" i="16"/>
  <c r="I392" i="16"/>
  <c r="I413" i="16"/>
  <c r="I416" i="16"/>
  <c r="I215" i="16"/>
  <c r="I63" i="16"/>
  <c r="I136" i="16"/>
  <c r="I240" i="16"/>
  <c r="I96" i="16"/>
  <c r="I481" i="16"/>
  <c r="I458" i="16"/>
  <c r="I327" i="16"/>
  <c r="I178" i="16"/>
  <c r="I71" i="16"/>
  <c r="I384" i="16"/>
  <c r="I406" i="16"/>
  <c r="I179" i="16"/>
  <c r="I206" i="16"/>
  <c r="I194" i="16"/>
  <c r="I518" i="16"/>
  <c r="I400" i="16"/>
  <c r="I88" i="16"/>
  <c r="I541" i="16"/>
  <c r="I323" i="16"/>
  <c r="I203" i="16"/>
  <c r="I399" i="16"/>
  <c r="I501" i="16"/>
  <c r="I618" i="16"/>
  <c r="I425" i="16"/>
  <c r="I54" i="16"/>
  <c r="I40" i="16"/>
  <c r="I251" i="16"/>
  <c r="I574" i="16"/>
  <c r="I507" i="16"/>
  <c r="I269" i="16"/>
  <c r="I636" i="16"/>
  <c r="I634" i="16"/>
  <c r="I191" i="16"/>
  <c r="I144" i="16"/>
  <c r="I128" i="16"/>
  <c r="I26" i="16"/>
  <c r="I407" i="16"/>
  <c r="I450" i="16"/>
  <c r="I279" i="16"/>
  <c r="I75" i="16"/>
  <c r="I610" i="16"/>
  <c r="I137" i="16"/>
  <c r="I305" i="16"/>
  <c r="I288" i="16"/>
  <c r="I453" i="16"/>
  <c r="I171" i="16"/>
  <c r="I335" i="16"/>
  <c r="I666" i="16"/>
  <c r="I126" i="16"/>
  <c r="I379" i="16"/>
  <c r="I451" i="16"/>
  <c r="I346" i="16"/>
  <c r="I394" i="16"/>
  <c r="I123" i="16"/>
  <c r="I208" i="16"/>
  <c r="I38" i="16"/>
  <c r="I619" i="16"/>
  <c r="I321" i="16"/>
  <c r="I197" i="16"/>
  <c r="I173" i="16"/>
  <c r="I511" i="16"/>
  <c r="I60" i="16"/>
  <c r="I649" i="16"/>
  <c r="I608" i="16"/>
  <c r="I39" i="16"/>
  <c r="I525" i="16"/>
  <c r="I620" i="16"/>
  <c r="I471" i="16"/>
  <c r="I463" i="16"/>
  <c r="I176" i="16"/>
  <c r="I592" i="16"/>
  <c r="I72" i="16"/>
  <c r="I281" i="16"/>
  <c r="I282" i="16"/>
  <c r="I434" i="16"/>
  <c r="I234" i="16"/>
  <c r="I257" i="16"/>
  <c r="I473" i="16"/>
  <c r="I512" i="16"/>
  <c r="I247" i="16"/>
  <c r="I312" i="16"/>
  <c r="I165" i="16"/>
  <c r="I627" i="16"/>
  <c r="I633" i="16"/>
  <c r="I573" i="16"/>
  <c r="I590" i="16"/>
  <c r="I644" i="16"/>
  <c r="I325" i="16"/>
  <c r="I151" i="16"/>
  <c r="I314" i="16"/>
  <c r="I104" i="16"/>
  <c r="I167" i="16"/>
  <c r="I600" i="16"/>
  <c r="I201" i="16"/>
  <c r="I495" i="16"/>
  <c r="I217" i="16"/>
  <c r="I163" i="16"/>
  <c r="I189" i="16"/>
  <c r="I339" i="16"/>
  <c r="I85" i="16"/>
  <c r="I391" i="16"/>
  <c r="I602" i="16"/>
  <c r="I653" i="16"/>
  <c r="I50" i="16"/>
  <c r="I330" i="16"/>
  <c r="I460" i="16"/>
  <c r="I567" i="16"/>
  <c r="I572" i="16"/>
  <c r="I209" i="16"/>
  <c r="I13" i="16"/>
  <c r="I454" i="16"/>
  <c r="I611" i="16"/>
  <c r="I59" i="16"/>
  <c r="I626" i="16"/>
  <c r="I315" i="16"/>
  <c r="I233" i="16"/>
  <c r="I256" i="16"/>
  <c r="I202" i="16"/>
  <c r="I299" i="16"/>
  <c r="I439" i="16"/>
  <c r="I342" i="16"/>
  <c r="I444" i="16"/>
  <c r="I552" i="16"/>
  <c r="I187" i="16"/>
  <c r="I669" i="16"/>
  <c r="I532" i="16"/>
  <c r="I295" i="16"/>
  <c r="I503" i="16"/>
  <c r="I303" i="16"/>
  <c r="I348" i="16"/>
  <c r="I364" i="16"/>
  <c r="I161" i="16"/>
  <c r="I307" i="16"/>
  <c r="I78" i="16"/>
  <c r="I113" i="16"/>
  <c r="I318" i="16"/>
  <c r="I105" i="16"/>
  <c r="I430" i="16"/>
  <c r="I213" i="16"/>
  <c r="I115" i="16"/>
  <c r="I166" i="16"/>
  <c r="I432" i="16"/>
  <c r="I185" i="16"/>
  <c r="I192" i="16"/>
  <c r="I548" i="16"/>
  <c r="I588" i="16"/>
  <c r="I555" i="16"/>
  <c r="I149" i="16"/>
  <c r="I80" i="16"/>
  <c r="I108" i="16"/>
  <c r="I522" i="16"/>
  <c r="I568" i="16"/>
  <c r="I152" i="16"/>
  <c r="I355" i="16"/>
  <c r="I344" i="16"/>
  <c r="I92" i="16"/>
  <c r="I345" i="16"/>
  <c r="I193" i="16"/>
  <c r="I612" i="16"/>
  <c r="I227" i="16"/>
  <c r="I153" i="16"/>
  <c r="I260" i="16"/>
  <c r="I74" i="16"/>
  <c r="I274" i="16"/>
  <c r="I487" i="16"/>
  <c r="I603" i="16"/>
  <c r="I250" i="16"/>
  <c r="I110" i="16"/>
  <c r="I41" i="16"/>
  <c r="I142" i="16"/>
  <c r="I500" i="16"/>
  <c r="I604" i="16"/>
  <c r="I477" i="16"/>
  <c r="I354" i="16"/>
  <c r="I4" i="16"/>
  <c r="I308" i="16"/>
  <c r="I316" i="16"/>
  <c r="I491" i="16"/>
  <c r="I542" i="16"/>
  <c r="I220" i="16"/>
  <c r="I57" i="16"/>
  <c r="I650" i="16"/>
  <c r="I668" i="16"/>
  <c r="I606" i="16"/>
  <c r="I360" i="16"/>
  <c r="I35" i="16"/>
  <c r="I310" i="16"/>
  <c r="I172" i="16"/>
  <c r="I528" i="16"/>
  <c r="I236" i="16"/>
  <c r="I66" i="16"/>
  <c r="I359" i="16"/>
  <c r="I404" i="16"/>
  <c r="I362" i="16"/>
  <c r="I199" i="16"/>
  <c r="I239" i="16"/>
  <c r="I9" i="16"/>
  <c r="I24" i="16"/>
  <c r="I280" i="16"/>
  <c r="I5" i="16"/>
  <c r="I510" i="16"/>
  <c r="I615" i="16"/>
  <c r="I120" i="16"/>
  <c r="I423" i="16"/>
  <c r="I410" i="16"/>
  <c r="I62" i="16"/>
  <c r="I571" i="16"/>
  <c r="I101" i="16"/>
  <c r="I632" i="16"/>
  <c r="I273" i="16"/>
  <c r="I375" i="16"/>
  <c r="I418" i="16"/>
  <c r="I474" i="16"/>
  <c r="I651" i="16"/>
  <c r="I403" i="16"/>
  <c r="I536" i="16"/>
  <c r="I320" i="16"/>
  <c r="I468" i="16"/>
  <c r="I225" i="16"/>
  <c r="I313" i="16"/>
  <c r="I89" i="16"/>
  <c r="I639" i="16"/>
  <c r="I578" i="16"/>
  <c r="I64" i="16"/>
  <c r="I309" i="16"/>
  <c r="I306" i="16"/>
  <c r="I549" i="16"/>
  <c r="I484" i="16"/>
  <c r="I147" i="16"/>
  <c r="I10" i="16"/>
  <c r="I21" i="16"/>
  <c r="I278" i="16"/>
  <c r="I517" i="16"/>
  <c r="I77" i="16"/>
  <c r="I607" i="16"/>
  <c r="I529" i="16"/>
  <c r="I190" i="16"/>
  <c r="I516" i="16"/>
  <c r="I436" i="16"/>
  <c r="I245" i="16"/>
  <c r="I47" i="16"/>
  <c r="I569" i="16"/>
  <c r="I670" i="16"/>
  <c r="I442" i="16"/>
  <c r="I565" i="16"/>
  <c r="I255" i="16"/>
  <c r="I326" i="16"/>
  <c r="I18" i="16"/>
  <c r="I46" i="16"/>
  <c r="I540" i="16"/>
  <c r="I426" i="16"/>
  <c r="I593" i="16"/>
  <c r="I252" i="16"/>
  <c r="I94" i="16"/>
  <c r="I285" i="16"/>
  <c r="I396" i="16"/>
  <c r="I366" i="16"/>
  <c r="I29" i="16"/>
  <c r="I515" i="16"/>
  <c r="I37" i="16"/>
  <c r="I637" i="16"/>
  <c r="I371" i="16"/>
  <c r="I659" i="16"/>
  <c r="I347" i="16"/>
  <c r="I296" i="16"/>
  <c r="I319" i="16"/>
  <c r="I665" i="16"/>
  <c r="I222" i="16"/>
  <c r="I508" i="16"/>
  <c r="I184" i="16"/>
  <c r="I188" i="16"/>
  <c r="I135" i="16"/>
  <c r="I422" i="16"/>
  <c r="I127" i="16"/>
  <c r="I469" i="16"/>
  <c r="I294" i="16"/>
  <c r="I372" i="16"/>
  <c r="I97" i="16"/>
  <c r="I358" i="16"/>
  <c r="I466" i="16"/>
  <c r="I535" i="16"/>
  <c r="I15" i="16"/>
  <c r="I302" i="16"/>
  <c r="I268" i="16"/>
  <c r="I357" i="16"/>
  <c r="I70" i="16"/>
  <c r="I332" i="16"/>
  <c r="I393" i="16"/>
  <c r="I497" i="16"/>
  <c r="I513" i="16"/>
  <c r="I90" i="16"/>
  <c r="I395" i="16"/>
  <c r="I489" i="16"/>
  <c r="I82" i="16"/>
  <c r="I448" i="16"/>
  <c r="I530" i="16"/>
  <c r="I52" i="16"/>
  <c r="I328" i="16"/>
  <c r="I143" i="16"/>
  <c r="I476" i="16"/>
  <c r="I369" i="16"/>
  <c r="I65" i="16"/>
  <c r="I246" i="16"/>
  <c r="I623" i="16"/>
  <c r="I544" i="16"/>
  <c r="I30" i="16"/>
  <c r="I353" i="16"/>
  <c r="I223" i="16"/>
  <c r="I449" i="16"/>
  <c r="I27" i="16"/>
  <c r="I570" i="16"/>
  <c r="I583" i="16"/>
  <c r="I380" i="16"/>
  <c r="I472" i="16"/>
  <c r="I582" i="16"/>
  <c r="I475" i="16"/>
  <c r="I28" i="16"/>
  <c r="I168" i="16"/>
  <c r="I429" i="16"/>
  <c r="I624" i="16"/>
  <c r="I437" i="16"/>
  <c r="I56" i="16"/>
  <c r="I95" i="16"/>
  <c r="I594" i="16"/>
  <c r="I524" i="16"/>
  <c r="I118" i="16"/>
  <c r="I479" i="16"/>
  <c r="I563" i="16"/>
  <c r="I417" i="16"/>
  <c r="I457" i="16"/>
  <c r="I200" i="16"/>
  <c r="I48" i="16"/>
  <c r="I557" i="16"/>
  <c r="I186" i="16"/>
  <c r="I271" i="16"/>
  <c r="I298" i="16"/>
  <c r="I99" i="16"/>
  <c r="I635" i="16"/>
  <c r="I595" i="16"/>
  <c r="I664" i="16"/>
  <c r="I301" i="16"/>
  <c r="I293" i="16"/>
  <c r="I329" i="16"/>
  <c r="I36" i="16"/>
  <c r="I69" i="16"/>
  <c r="I613" i="16"/>
  <c r="I261" i="16"/>
  <c r="I598" i="16"/>
  <c r="I138" i="16"/>
  <c r="I656" i="16"/>
  <c r="I134" i="16"/>
  <c r="I224" i="16"/>
  <c r="I505" i="16"/>
  <c r="I272" i="16"/>
  <c r="I584" i="16"/>
  <c r="I386" i="16"/>
  <c r="I259" i="16"/>
  <c r="I336" i="16"/>
  <c r="I119" i="16"/>
  <c r="I162" i="16"/>
  <c r="I182" i="16"/>
  <c r="I420" i="16"/>
  <c r="I238" i="16"/>
  <c r="I42" i="16"/>
  <c r="I49" i="16"/>
  <c r="I421" i="16"/>
  <c r="I170" i="16"/>
  <c r="I175" i="16"/>
  <c r="I397" i="16"/>
  <c r="I455" i="16"/>
  <c r="I45" i="16"/>
  <c r="I322" i="16"/>
  <c r="I550" i="16"/>
  <c r="I210" i="16"/>
  <c r="I443" i="16"/>
  <c r="I114" i="16"/>
  <c r="I456" i="16"/>
  <c r="I652" i="16"/>
  <c r="I214" i="16"/>
  <c r="I148" i="16"/>
  <c r="I55" i="16"/>
  <c r="I241" i="16"/>
  <c r="I270" i="16"/>
  <c r="I276" i="16"/>
  <c r="I156" i="16"/>
  <c r="I566" i="16"/>
  <c r="I597" i="16"/>
  <c r="I266" i="16"/>
  <c r="I586" i="16"/>
  <c r="I12" i="16"/>
  <c r="I390" i="16"/>
  <c r="I253" i="16"/>
  <c r="I467" i="16"/>
  <c r="I621" i="16"/>
  <c r="I311" i="16"/>
  <c r="I204" i="16"/>
  <c r="I291" i="16"/>
  <c r="I581" i="16"/>
  <c r="I243" i="16"/>
  <c r="I8" i="16"/>
  <c r="I102" i="16"/>
  <c r="I577" i="16"/>
  <c r="I363" i="16"/>
  <c r="I34" i="16"/>
  <c r="I290" i="16"/>
  <c r="I599" i="16"/>
  <c r="I482" i="16"/>
  <c r="I498" i="16"/>
  <c r="I230" i="16"/>
  <c r="I365" i="16"/>
  <c r="I534" i="16"/>
  <c r="I576" i="16"/>
  <c r="I647" i="16"/>
  <c r="I445" i="16"/>
  <c r="I465" i="16"/>
  <c r="I331" i="16"/>
  <c r="I580" i="16"/>
  <c r="I419" i="16"/>
  <c r="I616" i="16"/>
  <c r="I169" i="16"/>
  <c r="I382" i="16"/>
  <c r="I398" i="16"/>
  <c r="I132" i="16"/>
  <c r="I98" i="16"/>
  <c r="I560" i="16"/>
  <c r="I661" i="16"/>
  <c r="I361" i="16"/>
  <c r="I51" i="16"/>
  <c r="I262" i="16"/>
  <c r="I103" i="16"/>
  <c r="C5" i="8" l="1"/>
  <c r="D5" i="8" s="1"/>
  <c r="C6" i="8"/>
  <c r="D6" i="8" s="1"/>
  <c r="C7" i="8"/>
  <c r="D7" i="8" s="1"/>
  <c r="C8" i="8"/>
  <c r="D8" i="8" s="1"/>
  <c r="C9" i="8"/>
  <c r="D9" i="8" s="1"/>
  <c r="C10" i="8"/>
  <c r="D10" i="8" s="1"/>
  <c r="C11" i="8"/>
  <c r="D11" i="8" s="1"/>
  <c r="C12" i="8"/>
  <c r="D12" i="8" s="1"/>
  <c r="P18" i="10" l="1"/>
  <c r="E43" i="10" s="1"/>
  <c r="O18" i="10"/>
  <c r="L43" i="10"/>
  <c r="I43" i="10"/>
  <c r="H43" i="10"/>
  <c r="J43" i="10"/>
  <c r="M43" i="10"/>
  <c r="G43" i="10"/>
  <c r="K43" i="10"/>
  <c r="B43" i="10"/>
  <c r="C4" i="8" l="1"/>
  <c r="D4" i="8" s="1"/>
  <c r="E269" i="15"/>
  <c r="E268" i="15"/>
  <c r="E254" i="15"/>
  <c r="E253" i="15"/>
  <c r="E252" i="15"/>
  <c r="E265" i="15"/>
  <c r="E267" i="15"/>
  <c r="E266" i="15"/>
  <c r="E264" i="15"/>
  <c r="E263" i="15"/>
  <c r="E256" i="15"/>
  <c r="E255" i="15"/>
  <c r="E262" i="15"/>
  <c r="E261" i="15"/>
  <c r="E260" i="15"/>
  <c r="E259" i="15"/>
  <c r="E258" i="15"/>
  <c r="E257" i="15"/>
  <c r="E251" i="15"/>
  <c r="E245" i="15"/>
  <c r="E250" i="15"/>
  <c r="E249" i="15"/>
  <c r="E248" i="15"/>
  <c r="E247" i="15"/>
  <c r="E246" i="15"/>
  <c r="E244" i="15"/>
  <c r="E243" i="15"/>
  <c r="E230" i="15"/>
  <c r="E229" i="15"/>
  <c r="E242" i="15"/>
  <c r="E241" i="15"/>
  <c r="E240" i="15"/>
  <c r="E239" i="15"/>
  <c r="E238" i="15"/>
  <c r="E232" i="15"/>
  <c r="E231" i="15"/>
  <c r="E237" i="15"/>
  <c r="E236" i="15"/>
  <c r="E235" i="15"/>
  <c r="E234" i="15"/>
  <c r="E233" i="15"/>
  <c r="E228" i="15"/>
  <c r="E227" i="15"/>
  <c r="E223" i="15"/>
  <c r="E222" i="15"/>
  <c r="E221" i="15"/>
  <c r="E220" i="15"/>
  <c r="E219" i="15"/>
  <c r="E218" i="15"/>
  <c r="E226" i="15"/>
  <c r="E225" i="15"/>
  <c r="E224" i="15"/>
  <c r="E217" i="15"/>
  <c r="E206" i="15"/>
  <c r="E216" i="15"/>
  <c r="E215" i="15"/>
  <c r="E214" i="15"/>
  <c r="E213" i="15"/>
  <c r="E212" i="15"/>
  <c r="E211" i="15"/>
  <c r="E210" i="15"/>
  <c r="E209" i="15"/>
  <c r="E208" i="15"/>
  <c r="E207" i="15"/>
  <c r="E205" i="15"/>
  <c r="E204" i="15"/>
  <c r="E203" i="15"/>
  <c r="E189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8" i="15"/>
  <c r="E185" i="15"/>
  <c r="E184" i="15"/>
  <c r="E183" i="15"/>
  <c r="E187" i="15"/>
  <c r="E186" i="15"/>
  <c r="E178" i="15"/>
  <c r="E180" i="15"/>
  <c r="E179" i="15"/>
  <c r="E177" i="15"/>
  <c r="E176" i="15"/>
  <c r="E182" i="15"/>
  <c r="E181" i="15"/>
  <c r="E175" i="15"/>
  <c r="E174" i="15"/>
  <c r="E168" i="15"/>
  <c r="E167" i="15"/>
  <c r="E173" i="15"/>
  <c r="E172" i="15"/>
  <c r="E171" i="15"/>
  <c r="E170" i="15"/>
  <c r="E169" i="15"/>
  <c r="E165" i="15"/>
  <c r="E166" i="15"/>
  <c r="E157" i="15"/>
  <c r="E156" i="15"/>
  <c r="E155" i="15"/>
  <c r="E154" i="15"/>
  <c r="E153" i="15"/>
  <c r="E164" i="15"/>
  <c r="E163" i="15"/>
  <c r="E162" i="15"/>
  <c r="E161" i="15"/>
  <c r="E160" i="15"/>
  <c r="E159" i="15"/>
  <c r="E152" i="15"/>
  <c r="E158" i="15"/>
  <c r="E151" i="15"/>
  <c r="E150" i="15"/>
  <c r="E149" i="15"/>
  <c r="E146" i="15"/>
  <c r="E148" i="15"/>
  <c r="E147" i="15"/>
  <c r="E131" i="15"/>
  <c r="E142" i="15"/>
  <c r="E141" i="15"/>
  <c r="E140" i="15"/>
  <c r="E139" i="15"/>
  <c r="E138" i="15"/>
  <c r="E137" i="15"/>
  <c r="E136" i="15"/>
  <c r="E145" i="15"/>
  <c r="E144" i="15"/>
  <c r="E143" i="15"/>
  <c r="E135" i="15"/>
  <c r="E134" i="15"/>
  <c r="E133" i="15"/>
  <c r="E132" i="15"/>
  <c r="E114" i="15"/>
  <c r="E127" i="15"/>
  <c r="E126" i="15"/>
  <c r="E125" i="15"/>
  <c r="E124" i="15"/>
  <c r="E123" i="15"/>
  <c r="E122" i="15"/>
  <c r="E121" i="15"/>
  <c r="E120" i="15"/>
  <c r="E119" i="15"/>
  <c r="E130" i="15"/>
  <c r="E129" i="15"/>
  <c r="E128" i="15"/>
  <c r="E118" i="15"/>
  <c r="E117" i="15"/>
  <c r="E116" i="15"/>
  <c r="E115" i="15"/>
  <c r="E111" i="15"/>
  <c r="E110" i="15"/>
  <c r="E101" i="15"/>
  <c r="E109" i="15"/>
  <c r="E108" i="15"/>
  <c r="E107" i="15"/>
  <c r="E106" i="15"/>
  <c r="E113" i="15"/>
  <c r="E112" i="15"/>
  <c r="E105" i="15"/>
  <c r="E104" i="15"/>
  <c r="E103" i="15"/>
  <c r="E102" i="15"/>
  <c r="E95" i="15"/>
  <c r="E94" i="15"/>
  <c r="E100" i="15"/>
  <c r="E99" i="15"/>
  <c r="E98" i="15"/>
  <c r="E97" i="15"/>
  <c r="E96" i="15"/>
  <c r="E93" i="15"/>
  <c r="E92" i="15"/>
  <c r="E91" i="15"/>
  <c r="E81" i="15"/>
  <c r="E80" i="15"/>
  <c r="E79" i="15"/>
  <c r="E78" i="15"/>
  <c r="E77" i="15"/>
  <c r="E90" i="15"/>
  <c r="E89" i="15"/>
  <c r="E88" i="15"/>
  <c r="E87" i="15"/>
  <c r="E86" i="15"/>
  <c r="E85" i="15"/>
  <c r="E84" i="15"/>
  <c r="E83" i="15"/>
  <c r="E82" i="15"/>
  <c r="E66" i="15"/>
  <c r="E75" i="15"/>
  <c r="E74" i="15"/>
  <c r="E73" i="15"/>
  <c r="E65" i="15"/>
  <c r="E64" i="15"/>
  <c r="E72" i="15"/>
  <c r="E71" i="15"/>
  <c r="E70" i="15"/>
  <c r="E69" i="15"/>
  <c r="E68" i="15"/>
  <c r="E67" i="15"/>
  <c r="E63" i="15"/>
  <c r="E62" i="15"/>
  <c r="E61" i="15"/>
  <c r="E60" i="15"/>
  <c r="E59" i="15"/>
  <c r="E76" i="15"/>
  <c r="E58" i="15"/>
  <c r="E57" i="15"/>
  <c r="E56" i="15"/>
  <c r="E55" i="15"/>
  <c r="E54" i="15"/>
  <c r="E53" i="15"/>
  <c r="E52" i="15"/>
  <c r="E50" i="15"/>
  <c r="E49" i="15"/>
  <c r="E48" i="15"/>
  <c r="E47" i="15"/>
  <c r="E46" i="15"/>
  <c r="E45" i="15"/>
  <c r="E44" i="15"/>
  <c r="E43" i="15"/>
  <c r="E42" i="15"/>
  <c r="E41" i="15"/>
  <c r="E40" i="15"/>
  <c r="E51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3" i="15"/>
  <c r="E24" i="15"/>
  <c r="E22" i="15"/>
  <c r="E19" i="15"/>
  <c r="E21" i="15"/>
  <c r="E20" i="15"/>
  <c r="E18" i="15"/>
  <c r="E17" i="15"/>
  <c r="E16" i="15"/>
  <c r="E13" i="15"/>
  <c r="E15" i="15"/>
  <c r="E14" i="15"/>
  <c r="E10" i="15"/>
  <c r="E12" i="15"/>
  <c r="E11" i="15"/>
  <c r="E9" i="15"/>
  <c r="E8" i="15"/>
  <c r="E7" i="15"/>
  <c r="E6" i="15"/>
  <c r="E5" i="15"/>
  <c r="E4" i="15"/>
  <c r="F43" i="10"/>
  <c r="C43" i="10"/>
  <c r="G52" i="16" l="1"/>
  <c r="G71" i="16"/>
  <c r="G14" i="16"/>
  <c r="G578" i="16"/>
  <c r="G579" i="16"/>
  <c r="G580" i="16"/>
  <c r="G147" i="16"/>
  <c r="G577" i="16"/>
  <c r="G128" i="16"/>
  <c r="G413" i="16"/>
  <c r="G33" i="16"/>
  <c r="G109" i="16"/>
  <c r="G455" i="16"/>
  <c r="G90" i="16"/>
  <c r="G367" i="16"/>
  <c r="G92" i="16"/>
  <c r="G85" i="16"/>
  <c r="G103" i="16"/>
  <c r="G86" i="16"/>
  <c r="G93" i="16"/>
  <c r="G98" i="16"/>
  <c r="G108" i="16"/>
  <c r="G26" i="16"/>
  <c r="G79" i="16"/>
  <c r="G154" i="16"/>
  <c r="G38" i="16"/>
  <c r="G151" i="16"/>
  <c r="G138" i="16"/>
  <c r="G91" i="16"/>
  <c r="G112" i="16"/>
  <c r="G111" i="16"/>
  <c r="G63" i="16"/>
  <c r="G61" i="16"/>
  <c r="G129" i="16"/>
  <c r="G60" i="16"/>
  <c r="G124" i="16"/>
  <c r="G114" i="16"/>
  <c r="G67" i="16"/>
  <c r="G130" i="16"/>
  <c r="G44" i="16"/>
  <c r="G113" i="16"/>
  <c r="G102" i="16"/>
  <c r="G49" i="16"/>
  <c r="G75" i="16"/>
  <c r="G73" i="16"/>
  <c r="G101" i="16"/>
  <c r="G135" i="16"/>
  <c r="G78" i="16"/>
  <c r="G117" i="16"/>
  <c r="G70" i="16"/>
  <c r="G155" i="16"/>
  <c r="G57" i="16"/>
  <c r="G94" i="16"/>
  <c r="G24" i="16"/>
  <c r="G28" i="16"/>
  <c r="G118" i="16"/>
  <c r="G88" i="16"/>
  <c r="G82" i="16"/>
  <c r="G87" i="16"/>
  <c r="G81" i="16"/>
  <c r="G143" i="16"/>
  <c r="G66" i="16"/>
  <c r="G139" i="16"/>
  <c r="G153" i="16"/>
  <c r="G56" i="16"/>
  <c r="G72" i="16"/>
  <c r="G62" i="16"/>
  <c r="G131" i="16"/>
  <c r="G120" i="16"/>
  <c r="G126" i="16"/>
  <c r="G110" i="16"/>
  <c r="G116" i="16"/>
  <c r="G69" i="16"/>
  <c r="G97" i="16"/>
  <c r="G132" i="16"/>
  <c r="G121" i="16"/>
  <c r="G115" i="16"/>
  <c r="G104" i="16"/>
  <c r="G51" i="16"/>
  <c r="G50" i="16"/>
  <c r="G48" i="16"/>
  <c r="G141" i="16"/>
  <c r="G25" i="16"/>
  <c r="G58" i="16"/>
  <c r="G152" i="16"/>
  <c r="G37" i="16"/>
  <c r="G150" i="16"/>
  <c r="G54" i="16"/>
  <c r="G53" i="16"/>
  <c r="G55" i="16"/>
  <c r="G43" i="16"/>
  <c r="G76" i="16"/>
  <c r="G149" i="16"/>
  <c r="G125" i="16"/>
  <c r="G31" i="16"/>
  <c r="G27" i="16"/>
  <c r="G45" i="16"/>
  <c r="G99" i="16"/>
  <c r="G107" i="16"/>
  <c r="G127" i="16"/>
  <c r="G146" i="16"/>
  <c r="G89" i="16"/>
  <c r="G105" i="16"/>
  <c r="G95" i="16"/>
  <c r="G137" i="16"/>
  <c r="G42" i="16"/>
  <c r="G100" i="16"/>
  <c r="G106" i="16"/>
  <c r="G29" i="16"/>
  <c r="G142" i="16"/>
  <c r="G65" i="16"/>
  <c r="G140" i="16"/>
  <c r="G59" i="16"/>
  <c r="G39" i="16"/>
  <c r="G148" i="16"/>
  <c r="G83" i="16"/>
  <c r="G84" i="16"/>
  <c r="G144" i="16"/>
  <c r="G119" i="16"/>
  <c r="G68" i="16"/>
  <c r="G133" i="16"/>
  <c r="G122" i="16"/>
  <c r="G35" i="16"/>
  <c r="G41" i="16"/>
  <c r="G30" i="16"/>
  <c r="G74" i="16"/>
  <c r="G23" i="16"/>
  <c r="G134" i="16"/>
  <c r="G123" i="16"/>
  <c r="G40" i="16"/>
  <c r="G32" i="16"/>
  <c r="G46" i="16"/>
  <c r="G64" i="16"/>
  <c r="G36" i="16"/>
  <c r="G96" i="16"/>
  <c r="G34" i="16"/>
  <c r="G145" i="16"/>
  <c r="G80" i="16"/>
  <c r="G47" i="16"/>
  <c r="G136" i="16"/>
  <c r="G77" i="16"/>
  <c r="G317" i="16"/>
  <c r="G161" i="16"/>
  <c r="G443" i="16"/>
  <c r="G664" i="16"/>
  <c r="G214" i="16"/>
  <c r="G385" i="16"/>
  <c r="G459" i="16"/>
  <c r="G202" i="16"/>
  <c r="G181" i="16"/>
  <c r="G313" i="16"/>
  <c r="G277" i="16"/>
  <c r="G526" i="16"/>
  <c r="G521" i="16"/>
  <c r="G461" i="16"/>
  <c r="G649" i="16"/>
  <c r="G268" i="16"/>
  <c r="G261" i="16"/>
  <c r="G200" i="16"/>
  <c r="G275" i="16"/>
  <c r="G327" i="16"/>
  <c r="G432" i="16"/>
  <c r="G485" i="16"/>
  <c r="G242" i="16"/>
  <c r="G183" i="16"/>
  <c r="G319" i="16"/>
  <c r="G157" i="16"/>
  <c r="G441" i="16"/>
  <c r="G615" i="16"/>
  <c r="G663" i="16"/>
  <c r="G397" i="16"/>
  <c r="G613" i="16"/>
  <c r="G247" i="16"/>
  <c r="G166" i="16"/>
  <c r="G309" i="16"/>
  <c r="G475" i="16"/>
  <c r="G469" i="16"/>
  <c r="G270" i="16"/>
  <c r="G325" i="16"/>
  <c r="G434" i="16"/>
  <c r="G627" i="16"/>
  <c r="G235" i="16"/>
  <c r="G389" i="16"/>
  <c r="G444" i="16"/>
  <c r="G231" i="16"/>
  <c r="G416" i="16"/>
  <c r="G436" i="16"/>
  <c r="G646" i="16"/>
  <c r="G446" i="16"/>
  <c r="G241" i="16"/>
  <c r="G540" i="16"/>
  <c r="G513" i="16"/>
  <c r="G226" i="16"/>
  <c r="G427" i="16"/>
  <c r="G244" i="16"/>
  <c r="G306" i="16"/>
  <c r="G273" i="16"/>
  <c r="G481" i="16"/>
  <c r="G433" i="16"/>
  <c r="G420" i="16"/>
  <c r="G379" i="16"/>
  <c r="G303" i="16"/>
  <c r="G294" i="16"/>
  <c r="G666" i="16"/>
  <c r="G453" i="16"/>
  <c r="G516" i="16"/>
  <c r="G260" i="16"/>
  <c r="G293" i="16"/>
  <c r="G300" i="16"/>
  <c r="G621" i="16"/>
  <c r="G525" i="16"/>
  <c r="G264" i="16"/>
  <c r="G386" i="16"/>
  <c r="G417" i="16"/>
  <c r="G179" i="16"/>
  <c r="G451" i="16"/>
  <c r="G206" i="16"/>
  <c r="G384" i="16"/>
  <c r="G203" i="16"/>
  <c r="G655" i="16"/>
  <c r="G534" i="16"/>
  <c r="G337" i="16"/>
  <c r="G324" i="16"/>
  <c r="G499" i="16"/>
  <c r="G401" i="16"/>
  <c r="G314" i="16"/>
  <c r="G280" i="16"/>
  <c r="G209" i="16"/>
  <c r="G193" i="16"/>
  <c r="G428" i="16"/>
  <c r="G496" i="16"/>
  <c r="G535" i="16"/>
  <c r="G298" i="16"/>
  <c r="G312" i="16"/>
  <c r="G278" i="16"/>
  <c r="G411" i="16"/>
  <c r="G543" i="16"/>
  <c r="G549" i="16"/>
  <c r="G647" i="16"/>
  <c r="G320" i="16"/>
  <c r="G190" i="16"/>
  <c r="G511" i="16"/>
  <c r="G642" i="16"/>
  <c r="G450" i="16"/>
  <c r="G237" i="16"/>
  <c r="G292" i="16"/>
  <c r="G640" i="16"/>
  <c r="G542" i="16"/>
  <c r="G415" i="16"/>
  <c r="G216" i="16"/>
  <c r="G243" i="16"/>
  <c r="G394" i="16"/>
  <c r="G402" i="16"/>
  <c r="G220" i="16"/>
  <c r="G439" i="16"/>
  <c r="G490" i="16"/>
  <c r="G212" i="16"/>
  <c r="G296" i="16"/>
  <c r="G258" i="16"/>
  <c r="G458" i="16"/>
  <c r="G493" i="16"/>
  <c r="G672" i="16"/>
  <c r="G240" i="16"/>
  <c r="G168" i="16"/>
  <c r="G20" i="16"/>
  <c r="G170" i="16"/>
  <c r="G340" i="16"/>
  <c r="G162" i="16"/>
  <c r="G17" i="16"/>
  <c r="G163" i="16"/>
  <c r="G471" i="16"/>
  <c r="G19" i="16"/>
  <c r="G11" i="16"/>
  <c r="G16" i="16"/>
  <c r="G581" i="16"/>
  <c r="G332" i="16"/>
  <c r="G644" i="16"/>
  <c r="G164" i="16"/>
  <c r="G345" i="16"/>
  <c r="G369" i="16"/>
  <c r="G341" i="16"/>
  <c r="G370" i="16"/>
  <c r="G612" i="16"/>
  <c r="G462" i="16"/>
  <c r="G343" i="16"/>
  <c r="G607" i="16"/>
  <c r="G399" i="16"/>
  <c r="G315" i="16"/>
  <c r="G438" i="16"/>
  <c r="G650" i="16"/>
  <c r="G375" i="16"/>
  <c r="G266" i="16"/>
  <c r="G624" i="16"/>
  <c r="G426" i="16"/>
  <c r="G380" i="16"/>
  <c r="G307" i="16"/>
  <c r="G614" i="16"/>
  <c r="G482" i="16"/>
  <c r="G674" i="16"/>
  <c r="G265" i="16"/>
  <c r="G230" i="16"/>
  <c r="G537" i="16"/>
  <c r="G500" i="16"/>
  <c r="G665" i="16"/>
  <c r="G257" i="16"/>
  <c r="G205" i="16"/>
  <c r="G657" i="16"/>
  <c r="G224" i="16"/>
  <c r="G449" i="16"/>
  <c r="G538" i="16"/>
  <c r="G400" i="16"/>
  <c r="G412" i="16"/>
  <c r="G623" i="16"/>
  <c r="G489" i="16"/>
  <c r="G531" i="16"/>
  <c r="G249" i="16"/>
  <c r="G377" i="16"/>
  <c r="G291" i="16"/>
  <c r="G633" i="16"/>
  <c r="G512" i="16"/>
  <c r="G322" i="16"/>
  <c r="G398" i="16"/>
  <c r="G219" i="16"/>
  <c r="G185" i="16"/>
  <c r="G662" i="16"/>
  <c r="G529" i="16"/>
  <c r="G514" i="16"/>
  <c r="G610" i="16"/>
  <c r="G174" i="16"/>
  <c r="G360" i="16"/>
  <c r="G156" i="16"/>
  <c r="G172" i="16"/>
  <c r="G467" i="16"/>
  <c r="G620" i="16"/>
  <c r="G331" i="16"/>
  <c r="G392" i="16"/>
  <c r="G232" i="16"/>
  <c r="G290" i="16"/>
  <c r="G635" i="16"/>
  <c r="G250" i="16"/>
  <c r="G229" i="16"/>
  <c r="G522" i="16"/>
  <c r="G406" i="16"/>
  <c r="G211" i="16"/>
  <c r="G637" i="16"/>
  <c r="G374" i="16"/>
  <c r="G236" i="16"/>
  <c r="G251" i="16"/>
  <c r="G501" i="16"/>
  <c r="G333" i="16"/>
  <c r="G391" i="16"/>
  <c r="G210" i="16"/>
  <c r="G323" i="16"/>
  <c r="G456" i="16"/>
  <c r="G262" i="16"/>
  <c r="G382" i="16"/>
  <c r="G208" i="16"/>
  <c r="G305" i="16"/>
  <c r="G197" i="16"/>
  <c r="G495" i="16"/>
  <c r="G431" i="16"/>
  <c r="G533" i="16"/>
  <c r="G248" i="16"/>
  <c r="G376" i="16"/>
  <c r="G198" i="16"/>
  <c r="G641" i="16"/>
  <c r="G487" i="16"/>
  <c r="G390" i="16"/>
  <c r="G267" i="16"/>
  <c r="G188" i="16"/>
  <c r="G638" i="16"/>
  <c r="G507" i="16"/>
  <c r="G396" i="16"/>
  <c r="G515" i="16"/>
  <c r="G316" i="16"/>
  <c r="G271" i="16"/>
  <c r="G639" i="16"/>
  <c r="G334" i="16"/>
  <c r="G414" i="16"/>
  <c r="G480" i="16"/>
  <c r="G651" i="16"/>
  <c r="G378" i="16"/>
  <c r="G308" i="16"/>
  <c r="G239" i="16"/>
  <c r="G460" i="16"/>
  <c r="G478" i="16"/>
  <c r="G338" i="16"/>
  <c r="G418" i="16"/>
  <c r="G494" i="16"/>
  <c r="G518" i="16"/>
  <c r="G448" i="16"/>
  <c r="G255" i="16"/>
  <c r="G227" i="16"/>
  <c r="G281" i="16"/>
  <c r="G656" i="16"/>
  <c r="G483" i="16"/>
  <c r="G536" i="16"/>
  <c r="G546" i="16"/>
  <c r="G424" i="16"/>
  <c r="G295" i="16"/>
  <c r="G302" i="16"/>
  <c r="G658" i="16"/>
  <c r="G523" i="16"/>
  <c r="G544" i="16"/>
  <c r="G408" i="16"/>
  <c r="G223" i="16"/>
  <c r="G330" i="16"/>
  <c r="G510" i="16"/>
  <c r="G618" i="16"/>
  <c r="G233" i="16"/>
  <c r="G221" i="16"/>
  <c r="G187" i="16"/>
  <c r="G282" i="16"/>
  <c r="G643" i="16"/>
  <c r="G189" i="16"/>
  <c r="G201" i="16"/>
  <c r="G492" i="16"/>
  <c r="G410" i="16"/>
  <c r="G184" i="16"/>
  <c r="G648" i="16"/>
  <c r="G474" i="16"/>
  <c r="G213" i="16"/>
  <c r="G335" i="16"/>
  <c r="G272" i="16"/>
  <c r="G423" i="16"/>
  <c r="G199" i="16"/>
  <c r="G445" i="16"/>
  <c r="G625" i="16"/>
  <c r="G617" i="16"/>
  <c r="G488" i="16"/>
  <c r="G403" i="16"/>
  <c r="G393" i="16"/>
  <c r="G311" i="16"/>
  <c r="G207" i="16"/>
  <c r="G498" i="16"/>
  <c r="G421" i="16"/>
  <c r="G388" i="16"/>
  <c r="G387" i="16"/>
  <c r="G310" i="16"/>
  <c r="G299" i="16"/>
  <c r="G506" i="16"/>
  <c r="G619" i="16"/>
  <c r="G225" i="16"/>
  <c r="G326" i="16"/>
  <c r="G274" i="16"/>
  <c r="G653" i="16"/>
  <c r="G484" i="16"/>
  <c r="G186" i="16"/>
  <c r="G429" i="16"/>
  <c r="G285" i="16"/>
  <c r="G654" i="16"/>
  <c r="G532" i="16"/>
  <c r="G404" i="16"/>
  <c r="G304" i="16"/>
  <c r="G283" i="16"/>
  <c r="G524" i="16"/>
  <c r="G547" i="16"/>
  <c r="G457" i="16"/>
  <c r="G477" i="16"/>
  <c r="G530" i="16"/>
  <c r="G562" i="16"/>
  <c r="G167" i="16"/>
  <c r="G371" i="16"/>
  <c r="G158" i="16"/>
  <c r="G176" i="16"/>
  <c r="G541" i="16"/>
  <c r="G351" i="16"/>
  <c r="G611" i="16"/>
  <c r="G9" i="16"/>
  <c r="G669" i="16"/>
  <c r="G470" i="16"/>
  <c r="G350" i="16"/>
  <c r="G252" i="16"/>
  <c r="G660" i="16"/>
  <c r="G344" i="16"/>
  <c r="G286" i="16"/>
  <c r="G177" i="16"/>
  <c r="G352" i="16"/>
  <c r="G169" i="16"/>
  <c r="G15" i="16"/>
  <c r="G486" i="16"/>
  <c r="G407" i="16"/>
  <c r="G348" i="16"/>
  <c r="G354" i="16"/>
  <c r="G180" i="16"/>
  <c r="G435" i="16"/>
  <c r="G191" i="16"/>
  <c r="G539" i="16"/>
  <c r="G215" i="16"/>
  <c r="G629" i="16"/>
  <c r="G634" i="16"/>
  <c r="G616" i="16"/>
  <c r="G218" i="16"/>
  <c r="G182" i="16"/>
  <c r="G8" i="16"/>
  <c r="G362" i="16"/>
  <c r="G465" i="16"/>
  <c r="G6" i="16"/>
  <c r="G468" i="16"/>
  <c r="G287" i="16"/>
  <c r="G279" i="16"/>
  <c r="G452" i="16"/>
  <c r="G339" i="16"/>
  <c r="G329" i="16"/>
  <c r="G630" i="16"/>
  <c r="G548" i="16"/>
  <c r="G269" i="16"/>
  <c r="G245" i="16"/>
  <c r="G238" i="16"/>
  <c r="G447" i="16"/>
  <c r="G502" i="16"/>
  <c r="G667" i="16"/>
  <c r="G246" i="16"/>
  <c r="G318" i="16"/>
  <c r="G259" i="16"/>
  <c r="G454" i="16"/>
  <c r="G659" i="16"/>
  <c r="G405" i="16"/>
  <c r="G395" i="16"/>
  <c r="G192" i="16"/>
  <c r="G195" i="16"/>
  <c r="G505" i="16"/>
  <c r="G631" i="16"/>
  <c r="G504" i="16"/>
  <c r="G520" i="16"/>
  <c r="G256" i="16"/>
  <c r="G409" i="16"/>
  <c r="G204" i="16"/>
  <c r="G509" i="16"/>
  <c r="G491" i="16"/>
  <c r="G661" i="16"/>
  <c r="G517" i="16"/>
  <c r="G301" i="16"/>
  <c r="G222" i="16"/>
  <c r="G284" i="16"/>
  <c r="G645" i="16"/>
  <c r="G437" i="16"/>
  <c r="G503" i="16"/>
  <c r="G321" i="16"/>
  <c r="G276" i="16"/>
  <c r="G288" i="16"/>
  <c r="G440" i="16"/>
  <c r="G476" i="16"/>
  <c r="G527" i="16"/>
  <c r="G336" i="16"/>
  <c r="G381" i="16"/>
  <c r="G442" i="16"/>
  <c r="G353" i="16"/>
  <c r="G671" i="16"/>
  <c r="G5" i="16"/>
  <c r="G652" i="16"/>
  <c r="G13" i="16"/>
  <c r="G4" i="16"/>
  <c r="G234" i="16"/>
  <c r="G383" i="16"/>
  <c r="G328" i="16"/>
  <c r="G545" i="16"/>
  <c r="G422" i="16"/>
  <c r="G173" i="16"/>
  <c r="G22" i="16"/>
  <c r="G194" i="16"/>
  <c r="G608" i="16"/>
  <c r="G466" i="16"/>
  <c r="G363" i="16"/>
  <c r="G253" i="16"/>
  <c r="G419" i="16"/>
  <c r="G479" i="16"/>
  <c r="G217" i="16"/>
  <c r="G165" i="16"/>
  <c r="G21" i="16"/>
  <c r="G175" i="16"/>
  <c r="G358" i="16"/>
  <c r="G160" i="16"/>
  <c r="G425" i="16"/>
  <c r="G289" i="16"/>
  <c r="G473" i="16"/>
  <c r="G606" i="16"/>
  <c r="G159" i="16"/>
  <c r="G361" i="16"/>
  <c r="G528" i="16"/>
  <c r="G626" i="16"/>
  <c r="G472" i="16"/>
  <c r="G254" i="16"/>
  <c r="G263" i="16"/>
  <c r="G346" i="16"/>
  <c r="G574" i="16"/>
  <c r="G368" i="16"/>
  <c r="G18" i="16"/>
  <c r="G347" i="16"/>
  <c r="G628" i="16"/>
  <c r="G519" i="16"/>
  <c r="G357" i="16"/>
  <c r="G196" i="16"/>
  <c r="G464" i="16"/>
  <c r="G228" i="16"/>
  <c r="G349" i="16"/>
  <c r="G673" i="16"/>
  <c r="G366" i="16"/>
  <c r="G508" i="16"/>
  <c r="G359" i="16"/>
  <c r="G497" i="16"/>
  <c r="G297" i="16"/>
  <c r="G430" i="16"/>
  <c r="G463" i="16"/>
  <c r="G670" i="16"/>
  <c r="G605" i="16"/>
  <c r="G622" i="16"/>
  <c r="G609" i="16"/>
  <c r="G178" i="16"/>
  <c r="G342" i="16"/>
  <c r="G356" i="16"/>
  <c r="G563" i="16"/>
  <c r="G364" i="16"/>
  <c r="G582" i="16"/>
  <c r="G372" i="16"/>
  <c r="G12" i="16"/>
  <c r="G632" i="16"/>
  <c r="G171" i="16"/>
  <c r="G365" i="16"/>
  <c r="G7" i="16"/>
  <c r="G373" i="16"/>
  <c r="G355" i="16"/>
  <c r="G569" i="16"/>
  <c r="G10" i="16"/>
  <c r="G668" i="16"/>
  <c r="G636" i="16"/>
  <c r="G561" i="16"/>
  <c r="G586" i="16"/>
  <c r="G552" i="16"/>
  <c r="G558" i="16"/>
  <c r="G570" i="16"/>
  <c r="G590" i="16"/>
  <c r="G595" i="16"/>
  <c r="G592" i="16"/>
  <c r="G567" i="16"/>
  <c r="G602" i="16"/>
  <c r="G560" i="16"/>
  <c r="G571" i="16"/>
  <c r="G599" i="16"/>
  <c r="G596" i="16"/>
  <c r="G594" i="16"/>
  <c r="G557" i="16"/>
  <c r="G598" i="16"/>
  <c r="G591" i="16"/>
  <c r="G575" i="16"/>
  <c r="G566" i="16"/>
  <c r="G585" i="16"/>
  <c r="G572" i="16"/>
  <c r="G583" i="16"/>
  <c r="G559" i="16"/>
  <c r="G576" i="16"/>
  <c r="G550" i="16"/>
  <c r="G603" i="16"/>
  <c r="G564" i="16"/>
  <c r="G565" i="16"/>
  <c r="G584" i="16"/>
  <c r="G556" i="16"/>
  <c r="G601" i="16"/>
  <c r="G588" i="16"/>
  <c r="G554" i="16"/>
  <c r="G604" i="16"/>
  <c r="G589" i="16"/>
  <c r="G568" i="16"/>
  <c r="G600" i="16"/>
  <c r="G593" i="16"/>
  <c r="G573" i="16"/>
  <c r="G553" i="16"/>
  <c r="G597" i="16"/>
  <c r="G555" i="16"/>
  <c r="G551" i="16"/>
  <c r="G587" i="16"/>
  <c r="B45" i="10"/>
  <c r="L367" i="16" l="1"/>
  <c r="M367" i="16"/>
  <c r="N367" i="16"/>
  <c r="L90" i="16"/>
  <c r="N90" i="16"/>
  <c r="M90" i="16"/>
  <c r="L455" i="16"/>
  <c r="N455" i="16"/>
  <c r="M455" i="16"/>
  <c r="L109" i="16"/>
  <c r="N109" i="16"/>
  <c r="M109" i="16"/>
  <c r="L33" i="16"/>
  <c r="M33" i="16"/>
  <c r="N33" i="16"/>
  <c r="L413" i="16"/>
  <c r="M413" i="16"/>
  <c r="N413" i="16"/>
  <c r="L128" i="16"/>
  <c r="N128" i="16"/>
  <c r="M128" i="16"/>
  <c r="L577" i="16"/>
  <c r="M577" i="16"/>
  <c r="N577" i="16"/>
  <c r="L147" i="16"/>
  <c r="M147" i="16"/>
  <c r="N147" i="16"/>
  <c r="L580" i="16"/>
  <c r="M580" i="16"/>
  <c r="N580" i="16"/>
  <c r="L579" i="16"/>
  <c r="M579" i="16"/>
  <c r="N579" i="16"/>
  <c r="L578" i="16"/>
  <c r="N578" i="16"/>
  <c r="M578" i="16"/>
  <c r="L14" i="16"/>
  <c r="N14" i="16"/>
  <c r="M14" i="16"/>
  <c r="L71" i="16"/>
  <c r="M71" i="16"/>
  <c r="N71" i="16"/>
  <c r="L52" i="16"/>
  <c r="N52" i="16"/>
  <c r="M52" i="16"/>
  <c r="L570" i="16"/>
  <c r="M570" i="16"/>
  <c r="L448" i="16"/>
  <c r="M448" i="16"/>
  <c r="L514" i="16"/>
  <c r="M514" i="16"/>
  <c r="L471" i="16"/>
  <c r="M471" i="16"/>
  <c r="L433" i="16"/>
  <c r="M433" i="16"/>
  <c r="L161" i="16"/>
  <c r="M161" i="16"/>
  <c r="L31" i="16"/>
  <c r="M31" i="16"/>
  <c r="L110" i="16"/>
  <c r="M110" i="16"/>
  <c r="L551" i="16"/>
  <c r="M551" i="16"/>
  <c r="L605" i="16"/>
  <c r="M605" i="16"/>
  <c r="L5" i="16"/>
  <c r="M5" i="16"/>
  <c r="L182" i="16"/>
  <c r="M182" i="16"/>
  <c r="L387" i="16"/>
  <c r="M387" i="16"/>
  <c r="L488" i="16"/>
  <c r="M488" i="16"/>
  <c r="L213" i="16"/>
  <c r="M213" i="16"/>
  <c r="L643" i="16"/>
  <c r="M643" i="16"/>
  <c r="L223" i="16"/>
  <c r="M223" i="16"/>
  <c r="L546" i="16"/>
  <c r="M546" i="16"/>
  <c r="L518" i="16"/>
  <c r="M518" i="16"/>
  <c r="L378" i="16"/>
  <c r="M378" i="16"/>
  <c r="L515" i="16"/>
  <c r="M515" i="16"/>
  <c r="L641" i="16"/>
  <c r="M641" i="16"/>
  <c r="L305" i="16"/>
  <c r="M305" i="16"/>
  <c r="L333" i="16"/>
  <c r="M333" i="16"/>
  <c r="L522" i="16"/>
  <c r="M522" i="16"/>
  <c r="L620" i="16"/>
  <c r="M620" i="16"/>
  <c r="L529" i="16"/>
  <c r="M529" i="16"/>
  <c r="L291" i="16"/>
  <c r="M291" i="16"/>
  <c r="L538" i="16"/>
  <c r="M538" i="16"/>
  <c r="L537" i="16"/>
  <c r="M537" i="16"/>
  <c r="L426" i="16"/>
  <c r="M426" i="16"/>
  <c r="L607" i="16"/>
  <c r="M607" i="16"/>
  <c r="L164" i="16"/>
  <c r="M164" i="16"/>
  <c r="L163" i="16"/>
  <c r="M163" i="16"/>
  <c r="L672" i="16"/>
  <c r="M672" i="16"/>
  <c r="L220" i="16"/>
  <c r="M220" i="16"/>
  <c r="L292" i="16"/>
  <c r="M292" i="16"/>
  <c r="L549" i="16"/>
  <c r="M549" i="16"/>
  <c r="L428" i="16"/>
  <c r="M428" i="16"/>
  <c r="L337" i="16"/>
  <c r="M337" i="16"/>
  <c r="L417" i="16"/>
  <c r="M417" i="16"/>
  <c r="L516" i="16"/>
  <c r="M516" i="16"/>
  <c r="L481" i="16"/>
  <c r="M481" i="16"/>
  <c r="L241" i="16"/>
  <c r="M241" i="16"/>
  <c r="L235" i="16"/>
  <c r="M235" i="16"/>
  <c r="L166" i="16"/>
  <c r="M166" i="16"/>
  <c r="L319" i="16"/>
  <c r="M319" i="16"/>
  <c r="L261" i="16"/>
  <c r="M261" i="16"/>
  <c r="L181" i="16"/>
  <c r="M181" i="16"/>
  <c r="L317" i="16"/>
  <c r="M317" i="16"/>
  <c r="L36" i="16"/>
  <c r="M36" i="16"/>
  <c r="L74" i="16"/>
  <c r="M74" i="16"/>
  <c r="L144" i="16"/>
  <c r="M144" i="16"/>
  <c r="L142" i="16"/>
  <c r="M142" i="16"/>
  <c r="L89" i="16"/>
  <c r="M89" i="16"/>
  <c r="L125" i="16"/>
  <c r="M125" i="16"/>
  <c r="L37" i="16"/>
  <c r="M37" i="16"/>
  <c r="L104" i="16"/>
  <c r="M104" i="16"/>
  <c r="L126" i="16"/>
  <c r="M126" i="16"/>
  <c r="L66" i="16"/>
  <c r="M66" i="16"/>
  <c r="L24" i="16"/>
  <c r="M24" i="16"/>
  <c r="L101" i="16"/>
  <c r="M101" i="16"/>
  <c r="L67" i="16"/>
  <c r="M67" i="16"/>
  <c r="L112" i="16"/>
  <c r="M112" i="16"/>
  <c r="L108" i="16"/>
  <c r="M108" i="16"/>
  <c r="L585" i="16"/>
  <c r="M585" i="16"/>
  <c r="L519" i="16"/>
  <c r="M519" i="16"/>
  <c r="L476" i="16"/>
  <c r="M476" i="16"/>
  <c r="L8" i="16"/>
  <c r="M8" i="16"/>
  <c r="L484" i="16"/>
  <c r="M484" i="16"/>
  <c r="L330" i="16"/>
  <c r="M330" i="16"/>
  <c r="L197" i="16"/>
  <c r="M197" i="16"/>
  <c r="L380" i="16"/>
  <c r="M380" i="16"/>
  <c r="L640" i="16"/>
  <c r="M640" i="16"/>
  <c r="L540" i="16"/>
  <c r="M540" i="16"/>
  <c r="L23" i="16"/>
  <c r="M23" i="16"/>
  <c r="L51" i="16"/>
  <c r="M51" i="16"/>
  <c r="L139" i="16"/>
  <c r="M139" i="16"/>
  <c r="L589" i="16"/>
  <c r="M589" i="16"/>
  <c r="L355" i="16"/>
  <c r="M355" i="16"/>
  <c r="L419" i="16"/>
  <c r="M419" i="16"/>
  <c r="L447" i="16"/>
  <c r="M447" i="16"/>
  <c r="L653" i="16"/>
  <c r="M653" i="16"/>
  <c r="L552" i="16"/>
  <c r="M552" i="16"/>
  <c r="L673" i="16"/>
  <c r="M673" i="16"/>
  <c r="L347" i="16"/>
  <c r="M347" i="16"/>
  <c r="L626" i="16"/>
  <c r="M626" i="16"/>
  <c r="L160" i="16"/>
  <c r="M160" i="16"/>
  <c r="L253" i="16"/>
  <c r="M253" i="16"/>
  <c r="L545" i="16"/>
  <c r="M545" i="16"/>
  <c r="L671" i="16"/>
  <c r="M671" i="16"/>
  <c r="L288" i="16"/>
  <c r="M288" i="16"/>
  <c r="L301" i="16"/>
  <c r="M301" i="16"/>
  <c r="L520" i="16"/>
  <c r="M520" i="16"/>
  <c r="L659" i="16"/>
  <c r="M659" i="16"/>
  <c r="L238" i="16"/>
  <c r="M238" i="16"/>
  <c r="L279" i="16"/>
  <c r="M279" i="16"/>
  <c r="L218" i="16"/>
  <c r="M218" i="16"/>
  <c r="L180" i="16"/>
  <c r="M180" i="16"/>
  <c r="L177" i="16"/>
  <c r="M177" i="16"/>
  <c r="L9" i="16"/>
  <c r="M9" i="16"/>
  <c r="L562" i="16"/>
  <c r="M562" i="16"/>
  <c r="L404" i="16"/>
  <c r="M404" i="16"/>
  <c r="L274" i="16"/>
  <c r="M274" i="16"/>
  <c r="L388" i="16"/>
  <c r="M388" i="16"/>
  <c r="L617" i="16"/>
  <c r="M617" i="16"/>
  <c r="L474" i="16"/>
  <c r="M474" i="16"/>
  <c r="L282" i="16"/>
  <c r="M282" i="16"/>
  <c r="L408" i="16"/>
  <c r="M408" i="16"/>
  <c r="L536" i="16"/>
  <c r="M536" i="16"/>
  <c r="L494" i="16"/>
  <c r="M494" i="16"/>
  <c r="L651" i="16"/>
  <c r="M651" i="16"/>
  <c r="L396" i="16"/>
  <c r="M396" i="16"/>
  <c r="L198" i="16"/>
  <c r="M198" i="16"/>
  <c r="L208" i="16"/>
  <c r="M208" i="16"/>
  <c r="L501" i="16"/>
  <c r="M501" i="16"/>
  <c r="L229" i="16"/>
  <c r="M229" i="16"/>
  <c r="L467" i="16"/>
  <c r="M467" i="16"/>
  <c r="L662" i="16"/>
  <c r="M662" i="16"/>
  <c r="L377" i="16"/>
  <c r="M377" i="16"/>
  <c r="L449" i="16"/>
  <c r="M449" i="16"/>
  <c r="L230" i="16"/>
  <c r="M230" i="16"/>
  <c r="L624" i="16"/>
  <c r="M624" i="16"/>
  <c r="L343" i="16"/>
  <c r="M343" i="16"/>
  <c r="L644" i="16"/>
  <c r="M644" i="16"/>
  <c r="L17" i="16"/>
  <c r="M17" i="16"/>
  <c r="L493" i="16"/>
  <c r="M493" i="16"/>
  <c r="L402" i="16"/>
  <c r="M402" i="16"/>
  <c r="L237" i="16"/>
  <c r="M237" i="16"/>
  <c r="L543" i="16"/>
  <c r="M543" i="16"/>
  <c r="L193" i="16"/>
  <c r="M193" i="16"/>
  <c r="L534" i="16"/>
  <c r="M534" i="16"/>
  <c r="L386" i="16"/>
  <c r="M386" i="16"/>
  <c r="L453" i="16"/>
  <c r="M453" i="16"/>
  <c r="L273" i="16"/>
  <c r="M273" i="16"/>
  <c r="L446" i="16"/>
  <c r="M446" i="16"/>
  <c r="L627" i="16"/>
  <c r="M627" i="16"/>
  <c r="L247" i="16"/>
  <c r="M247" i="16"/>
  <c r="L183" i="16"/>
  <c r="M183" i="16"/>
  <c r="L268" i="16"/>
  <c r="M268" i="16"/>
  <c r="L202" i="16"/>
  <c r="M202" i="16"/>
  <c r="L77" i="16"/>
  <c r="M77" i="16"/>
  <c r="L64" i="16"/>
  <c r="M64" i="16"/>
  <c r="L30" i="16"/>
  <c r="M30" i="16"/>
  <c r="L84" i="16"/>
  <c r="M84" i="16"/>
  <c r="L29" i="16"/>
  <c r="M29" i="16"/>
  <c r="L146" i="16"/>
  <c r="M146" i="16"/>
  <c r="L149" i="16"/>
  <c r="M149" i="16"/>
  <c r="L152" i="16"/>
  <c r="M152" i="16"/>
  <c r="L115" i="16"/>
  <c r="M115" i="16"/>
  <c r="L120" i="16"/>
  <c r="M120" i="16"/>
  <c r="L143" i="16"/>
  <c r="M143" i="16"/>
  <c r="L94" i="16"/>
  <c r="M94" i="16"/>
  <c r="L73" i="16"/>
  <c r="M73" i="16"/>
  <c r="L114" i="16"/>
  <c r="M114" i="16"/>
  <c r="L91" i="16"/>
  <c r="M91" i="16"/>
  <c r="L98" i="16"/>
  <c r="M98" i="16"/>
  <c r="L565" i="16"/>
  <c r="M565" i="16"/>
  <c r="L508" i="16"/>
  <c r="M508" i="16"/>
  <c r="L652" i="16"/>
  <c r="M652" i="16"/>
  <c r="L339" i="16"/>
  <c r="M339" i="16"/>
  <c r="L283" i="16"/>
  <c r="M283" i="16"/>
  <c r="L424" i="16"/>
  <c r="M424" i="16"/>
  <c r="L391" i="16"/>
  <c r="M391" i="16"/>
  <c r="L500" i="16"/>
  <c r="M500" i="16"/>
  <c r="L647" i="16"/>
  <c r="M647" i="16"/>
  <c r="L389" i="16"/>
  <c r="M389" i="16"/>
  <c r="L96" i="16"/>
  <c r="M96" i="16"/>
  <c r="L150" i="16"/>
  <c r="M150" i="16"/>
  <c r="L26" i="16"/>
  <c r="M26" i="16"/>
  <c r="L582" i="16"/>
  <c r="M582" i="16"/>
  <c r="L422" i="16"/>
  <c r="M422" i="16"/>
  <c r="L452" i="16"/>
  <c r="M452" i="16"/>
  <c r="L304" i="16"/>
  <c r="M304" i="16"/>
  <c r="L528" i="16"/>
  <c r="M528" i="16"/>
  <c r="L328" i="16"/>
  <c r="M328" i="16"/>
  <c r="L353" i="16"/>
  <c r="M353" i="16"/>
  <c r="L276" i="16"/>
  <c r="M276" i="16"/>
  <c r="L517" i="16"/>
  <c r="M517" i="16"/>
  <c r="L504" i="16"/>
  <c r="M504" i="16"/>
  <c r="L454" i="16"/>
  <c r="M454" i="16"/>
  <c r="L245" i="16"/>
  <c r="M245" i="16"/>
  <c r="L287" i="16"/>
  <c r="M287" i="16"/>
  <c r="L616" i="16"/>
  <c r="M616" i="16"/>
  <c r="L354" i="16"/>
  <c r="M354" i="16"/>
  <c r="L286" i="16"/>
  <c r="M286" i="16"/>
  <c r="L611" i="16"/>
  <c r="M611" i="16"/>
  <c r="L530" i="16"/>
  <c r="M530" i="16"/>
  <c r="L532" i="16"/>
  <c r="M532" i="16"/>
  <c r="L326" i="16"/>
  <c r="M326" i="16"/>
  <c r="L421" i="16"/>
  <c r="M421" i="16"/>
  <c r="L625" i="16"/>
  <c r="M625" i="16"/>
  <c r="L648" i="16"/>
  <c r="M648" i="16"/>
  <c r="L187" i="16"/>
  <c r="M187" i="16"/>
  <c r="L544" i="16"/>
  <c r="M544" i="16"/>
  <c r="L483" i="16"/>
  <c r="M483" i="16"/>
  <c r="L418" i="16"/>
  <c r="M418" i="16"/>
  <c r="L480" i="16"/>
  <c r="M480" i="16"/>
  <c r="L507" i="16"/>
  <c r="M507" i="16"/>
  <c r="L376" i="16"/>
  <c r="M376" i="16"/>
  <c r="L382" i="16"/>
  <c r="M382" i="16"/>
  <c r="L251" i="16"/>
  <c r="M251" i="16"/>
  <c r="L250" i="16"/>
  <c r="M250" i="16"/>
  <c r="L172" i="16"/>
  <c r="M172" i="16"/>
  <c r="L185" i="16"/>
  <c r="M185" i="16"/>
  <c r="L249" i="16"/>
  <c r="M249" i="16"/>
  <c r="L224" i="16"/>
  <c r="M224" i="16"/>
  <c r="L265" i="16"/>
  <c r="M265" i="16"/>
  <c r="L266" i="16"/>
  <c r="M266" i="16"/>
  <c r="L462" i="16"/>
  <c r="M462" i="16"/>
  <c r="L332" i="16"/>
  <c r="M332" i="16"/>
  <c r="L162" i="16"/>
  <c r="M162" i="16"/>
  <c r="L458" i="16"/>
  <c r="M458" i="16"/>
  <c r="L394" i="16"/>
  <c r="M394" i="16"/>
  <c r="L450" i="16"/>
  <c r="M450" i="16"/>
  <c r="L411" i="16"/>
  <c r="M411" i="16"/>
  <c r="L209" i="16"/>
  <c r="M209" i="16"/>
  <c r="L655" i="16"/>
  <c r="M655" i="16"/>
  <c r="L264" i="16"/>
  <c r="M264" i="16"/>
  <c r="L666" i="16"/>
  <c r="M666" i="16"/>
  <c r="L306" i="16"/>
  <c r="M306" i="16"/>
  <c r="L646" i="16"/>
  <c r="M646" i="16"/>
  <c r="L434" i="16"/>
  <c r="M434" i="16"/>
  <c r="L613" i="16"/>
  <c r="M613" i="16"/>
  <c r="L242" i="16"/>
  <c r="M242" i="16"/>
  <c r="L649" i="16"/>
  <c r="M649" i="16"/>
  <c r="L459" i="16"/>
  <c r="M459" i="16"/>
  <c r="L136" i="16"/>
  <c r="M136" i="16"/>
  <c r="L46" i="16"/>
  <c r="M46" i="16"/>
  <c r="L41" i="16"/>
  <c r="M41" i="16"/>
  <c r="L83" i="16"/>
  <c r="M83" i="16"/>
  <c r="L106" i="16"/>
  <c r="M106" i="16"/>
  <c r="L127" i="16"/>
  <c r="M127" i="16"/>
  <c r="L76" i="16"/>
  <c r="M76" i="16"/>
  <c r="L58" i="16"/>
  <c r="M58" i="16"/>
  <c r="L121" i="16"/>
  <c r="M121" i="16"/>
  <c r="L131" i="16"/>
  <c r="M131" i="16"/>
  <c r="L81" i="16"/>
  <c r="M81" i="16"/>
  <c r="L57" i="16"/>
  <c r="M57" i="16"/>
  <c r="L75" i="16"/>
  <c r="M75" i="16"/>
  <c r="L124" i="16"/>
  <c r="M124" i="16"/>
  <c r="L138" i="16"/>
  <c r="M138" i="16"/>
  <c r="L93" i="16"/>
  <c r="M93" i="16"/>
  <c r="L587" i="16"/>
  <c r="M587" i="16"/>
  <c r="L622" i="16"/>
  <c r="M622" i="16"/>
  <c r="L173" i="16"/>
  <c r="M173" i="16"/>
  <c r="L502" i="16"/>
  <c r="M502" i="16"/>
  <c r="L169" i="16"/>
  <c r="M169" i="16"/>
  <c r="L403" i="16"/>
  <c r="M403" i="16"/>
  <c r="L316" i="16"/>
  <c r="M316" i="16"/>
  <c r="L633" i="16"/>
  <c r="M633" i="16"/>
  <c r="L439" i="16"/>
  <c r="M439" i="16"/>
  <c r="L260" i="16"/>
  <c r="M260" i="16"/>
  <c r="L200" i="16"/>
  <c r="M200" i="16"/>
  <c r="L65" i="16"/>
  <c r="M65" i="16"/>
  <c r="L135" i="16"/>
  <c r="M135" i="16"/>
  <c r="L564" i="16"/>
  <c r="M564" i="16"/>
  <c r="L628" i="16"/>
  <c r="M628" i="16"/>
  <c r="L222" i="16"/>
  <c r="M222" i="16"/>
  <c r="L435" i="16"/>
  <c r="M435" i="16"/>
  <c r="L555" i="16"/>
  <c r="M555" i="16"/>
  <c r="L560" i="16"/>
  <c r="M560" i="16"/>
  <c r="L364" i="16"/>
  <c r="M364" i="16"/>
  <c r="L550" i="16"/>
  <c r="M550" i="16"/>
  <c r="L586" i="16"/>
  <c r="M586" i="16"/>
  <c r="L18" i="16"/>
  <c r="M18" i="16"/>
  <c r="L588" i="16"/>
  <c r="M588" i="16"/>
  <c r="L567" i="16"/>
  <c r="M567" i="16"/>
  <c r="L430" i="16"/>
  <c r="M430" i="16"/>
  <c r="L361" i="16"/>
  <c r="M361" i="16"/>
  <c r="L383" i="16"/>
  <c r="M383" i="16"/>
  <c r="L321" i="16"/>
  <c r="M321" i="16"/>
  <c r="L631" i="16"/>
  <c r="M631" i="16"/>
  <c r="L269" i="16"/>
  <c r="M269" i="16"/>
  <c r="L634" i="16"/>
  <c r="M634" i="16"/>
  <c r="L348" i="16"/>
  <c r="M348" i="16"/>
  <c r="L344" i="16"/>
  <c r="M344" i="16"/>
  <c r="L351" i="16"/>
  <c r="M351" i="16"/>
  <c r="L477" i="16"/>
  <c r="M477" i="16"/>
  <c r="L654" i="16"/>
  <c r="M654" i="16"/>
  <c r="L225" i="16"/>
  <c r="M225" i="16"/>
  <c r="L498" i="16"/>
  <c r="M498" i="16"/>
  <c r="L445" i="16"/>
  <c r="M445" i="16"/>
  <c r="L184" i="16"/>
  <c r="M184" i="16"/>
  <c r="L221" i="16"/>
  <c r="M221" i="16"/>
  <c r="L523" i="16"/>
  <c r="M523" i="16"/>
  <c r="L656" i="16"/>
  <c r="M656" i="16"/>
  <c r="L338" i="16"/>
  <c r="M338" i="16"/>
  <c r="L414" i="16"/>
  <c r="M414" i="16"/>
  <c r="L638" i="16"/>
  <c r="M638" i="16"/>
  <c r="L248" i="16"/>
  <c r="M248" i="16"/>
  <c r="L262" i="16"/>
  <c r="M262" i="16"/>
  <c r="L236" i="16"/>
  <c r="M236" i="16"/>
  <c r="L635" i="16"/>
  <c r="M635" i="16"/>
  <c r="L156" i="16"/>
  <c r="M156" i="16"/>
  <c r="L219" i="16"/>
  <c r="M219" i="16"/>
  <c r="L531" i="16"/>
  <c r="M531" i="16"/>
  <c r="L657" i="16"/>
  <c r="M657" i="16"/>
  <c r="L674" i="16"/>
  <c r="M674" i="16"/>
  <c r="L375" i="16"/>
  <c r="M375" i="16"/>
  <c r="L612" i="16"/>
  <c r="M612" i="16"/>
  <c r="L581" i="16"/>
  <c r="M581" i="16"/>
  <c r="L340" i="16"/>
  <c r="M340" i="16"/>
  <c r="L258" i="16"/>
  <c r="M258" i="16"/>
  <c r="L243" i="16"/>
  <c r="M243" i="16"/>
  <c r="L642" i="16"/>
  <c r="M642" i="16"/>
  <c r="L278" i="16"/>
  <c r="M278" i="16"/>
  <c r="L280" i="16"/>
  <c r="M280" i="16"/>
  <c r="L203" i="16"/>
  <c r="M203" i="16"/>
  <c r="L525" i="16"/>
  <c r="M525" i="16"/>
  <c r="L294" i="16"/>
  <c r="M294" i="16"/>
  <c r="L244" i="16"/>
  <c r="M244" i="16"/>
  <c r="L436" i="16"/>
  <c r="M436" i="16"/>
  <c r="L325" i="16"/>
  <c r="M325" i="16"/>
  <c r="L397" i="16"/>
  <c r="M397" i="16"/>
  <c r="L485" i="16"/>
  <c r="M485" i="16"/>
  <c r="L461" i="16"/>
  <c r="M461" i="16"/>
  <c r="L385" i="16"/>
  <c r="M385" i="16"/>
  <c r="L47" i="16"/>
  <c r="M47" i="16"/>
  <c r="L32" i="16"/>
  <c r="M32" i="16"/>
  <c r="L35" i="16"/>
  <c r="M35" i="16"/>
  <c r="L148" i="16"/>
  <c r="M148" i="16"/>
  <c r="L100" i="16"/>
  <c r="M100" i="16"/>
  <c r="L107" i="16"/>
  <c r="M107" i="16"/>
  <c r="L43" i="16"/>
  <c r="M43" i="16"/>
  <c r="L25" i="16"/>
  <c r="M25" i="16"/>
  <c r="L132" i="16"/>
  <c r="M132" i="16"/>
  <c r="L62" i="16"/>
  <c r="M62" i="16"/>
  <c r="L87" i="16"/>
  <c r="M87" i="16"/>
  <c r="L155" i="16"/>
  <c r="M155" i="16"/>
  <c r="L49" i="16"/>
  <c r="M49" i="16"/>
  <c r="L60" i="16"/>
  <c r="M60" i="16"/>
  <c r="L151" i="16"/>
  <c r="M151" i="16"/>
  <c r="L86" i="16"/>
  <c r="M86" i="16"/>
  <c r="L569" i="16"/>
  <c r="M569" i="16"/>
  <c r="L289" i="16"/>
  <c r="M289" i="16"/>
  <c r="L409" i="16"/>
  <c r="M409" i="16"/>
  <c r="L371" i="16"/>
  <c r="M371" i="16"/>
  <c r="L189" i="16"/>
  <c r="M189" i="16"/>
  <c r="L406" i="16"/>
  <c r="M406" i="16"/>
  <c r="L399" i="16"/>
  <c r="M399" i="16"/>
  <c r="L496" i="16"/>
  <c r="M496" i="16"/>
  <c r="L313" i="16"/>
  <c r="M313" i="16"/>
  <c r="L28" i="16"/>
  <c r="M28" i="16"/>
  <c r="L571" i="16"/>
  <c r="M571" i="16"/>
  <c r="L425" i="16"/>
  <c r="M425" i="16"/>
  <c r="L405" i="16"/>
  <c r="M405" i="16"/>
  <c r="L167" i="16"/>
  <c r="M167" i="16"/>
  <c r="L603" i="16"/>
  <c r="M603" i="16"/>
  <c r="L597" i="16"/>
  <c r="M597" i="16"/>
  <c r="L602" i="16"/>
  <c r="M602" i="16"/>
  <c r="L463" i="16"/>
  <c r="M463" i="16"/>
  <c r="L358" i="16"/>
  <c r="M358" i="16"/>
  <c r="L576" i="16"/>
  <c r="M576" i="16"/>
  <c r="L365" i="16"/>
  <c r="M365" i="16"/>
  <c r="L228" i="16"/>
  <c r="M228" i="16"/>
  <c r="L175" i="16"/>
  <c r="M175" i="16"/>
  <c r="L466" i="16"/>
  <c r="M466" i="16"/>
  <c r="L442" i="16"/>
  <c r="M442" i="16"/>
  <c r="L661" i="16"/>
  <c r="M661" i="16"/>
  <c r="L259" i="16"/>
  <c r="M259" i="16"/>
  <c r="L468" i="16"/>
  <c r="M468" i="16"/>
  <c r="L573" i="16"/>
  <c r="M573" i="16"/>
  <c r="L601" i="16"/>
  <c r="M601" i="16"/>
  <c r="L559" i="16"/>
  <c r="M559" i="16"/>
  <c r="L557" i="16"/>
  <c r="M557" i="16"/>
  <c r="L592" i="16"/>
  <c r="M592" i="16"/>
  <c r="L636" i="16"/>
  <c r="M636" i="16"/>
  <c r="L171" i="16"/>
  <c r="M171" i="16"/>
  <c r="L342" i="16"/>
  <c r="M342" i="16"/>
  <c r="L297" i="16"/>
  <c r="M297" i="16"/>
  <c r="L464" i="16"/>
  <c r="M464" i="16"/>
  <c r="L574" i="16"/>
  <c r="M574" i="16"/>
  <c r="L159" i="16"/>
  <c r="M159" i="16"/>
  <c r="L21" i="16"/>
  <c r="M21" i="16"/>
  <c r="L608" i="16"/>
  <c r="M608" i="16"/>
  <c r="L234" i="16"/>
  <c r="M234" i="16"/>
  <c r="L381" i="16"/>
  <c r="M381" i="16"/>
  <c r="L503" i="16"/>
  <c r="M503" i="16"/>
  <c r="L491" i="16"/>
  <c r="M491" i="16"/>
  <c r="L505" i="16"/>
  <c r="M505" i="16"/>
  <c r="L318" i="16"/>
  <c r="M318" i="16"/>
  <c r="L548" i="16"/>
  <c r="M548" i="16"/>
  <c r="L6" i="16"/>
  <c r="M6" i="16"/>
  <c r="L629" i="16"/>
  <c r="M629" i="16"/>
  <c r="L407" i="16"/>
  <c r="M407" i="16"/>
  <c r="L660" i="16"/>
  <c r="M660" i="16"/>
  <c r="L541" i="16"/>
  <c r="M541" i="16"/>
  <c r="L457" i="16"/>
  <c r="M457" i="16"/>
  <c r="L285" i="16"/>
  <c r="M285" i="16"/>
  <c r="L619" i="16"/>
  <c r="M619" i="16"/>
  <c r="L207" i="16"/>
  <c r="M207" i="16"/>
  <c r="L199" i="16"/>
  <c r="M199" i="16"/>
  <c r="L410" i="16"/>
  <c r="M410" i="16"/>
  <c r="L233" i="16"/>
  <c r="M233" i="16"/>
  <c r="L658" i="16"/>
  <c r="M658" i="16"/>
  <c r="L281" i="16"/>
  <c r="M281" i="16"/>
  <c r="L478" i="16"/>
  <c r="M478" i="16"/>
  <c r="L334" i="16"/>
  <c r="M334" i="16"/>
  <c r="L188" i="16"/>
  <c r="M188" i="16"/>
  <c r="L533" i="16"/>
  <c r="M533" i="16"/>
  <c r="L456" i="16"/>
  <c r="M456" i="16"/>
  <c r="L374" i="16"/>
  <c r="M374" i="16"/>
  <c r="L290" i="16"/>
  <c r="M290" i="16"/>
  <c r="L360" i="16"/>
  <c r="M360" i="16"/>
  <c r="L398" i="16"/>
  <c r="M398" i="16"/>
  <c r="L489" i="16"/>
  <c r="M489" i="16"/>
  <c r="L205" i="16"/>
  <c r="M205" i="16"/>
  <c r="L482" i="16"/>
  <c r="M482" i="16"/>
  <c r="L650" i="16"/>
  <c r="M650" i="16"/>
  <c r="L370" i="16"/>
  <c r="M370" i="16"/>
  <c r="L16" i="16"/>
  <c r="M16" i="16"/>
  <c r="L170" i="16"/>
  <c r="M170" i="16"/>
  <c r="L296" i="16"/>
  <c r="M296" i="16"/>
  <c r="L216" i="16"/>
  <c r="M216" i="16"/>
  <c r="L511" i="16"/>
  <c r="M511" i="16"/>
  <c r="L312" i="16"/>
  <c r="M312" i="16"/>
  <c r="L314" i="16"/>
  <c r="M314" i="16"/>
  <c r="L384" i="16"/>
  <c r="M384" i="16"/>
  <c r="L621" i="16"/>
  <c r="M621" i="16"/>
  <c r="L303" i="16"/>
  <c r="M303" i="16"/>
  <c r="L427" i="16"/>
  <c r="M427" i="16"/>
  <c r="L416" i="16"/>
  <c r="M416" i="16"/>
  <c r="L270" i="16"/>
  <c r="M270" i="16"/>
  <c r="L663" i="16"/>
  <c r="M663" i="16"/>
  <c r="L432" i="16"/>
  <c r="M432" i="16"/>
  <c r="L521" i="16"/>
  <c r="M521" i="16"/>
  <c r="L214" i="16"/>
  <c r="M214" i="16"/>
  <c r="L80" i="16"/>
  <c r="M80" i="16"/>
  <c r="L40" i="16"/>
  <c r="M40" i="16"/>
  <c r="L122" i="16"/>
  <c r="M122" i="16"/>
  <c r="L39" i="16"/>
  <c r="M39" i="16"/>
  <c r="L42" i="16"/>
  <c r="M42" i="16"/>
  <c r="L99" i="16"/>
  <c r="M99" i="16"/>
  <c r="L55" i="16"/>
  <c r="M55" i="16"/>
  <c r="L141" i="16"/>
  <c r="M141" i="16"/>
  <c r="L97" i="16"/>
  <c r="M97" i="16"/>
  <c r="L72" i="16"/>
  <c r="M72" i="16"/>
  <c r="L82" i="16"/>
  <c r="M82" i="16"/>
  <c r="L70" i="16"/>
  <c r="M70" i="16"/>
  <c r="L102" i="16"/>
  <c r="M102" i="16"/>
  <c r="L129" i="16"/>
  <c r="M129" i="16"/>
  <c r="L38" i="16"/>
  <c r="M38" i="16"/>
  <c r="L103" i="16"/>
  <c r="M103" i="16"/>
  <c r="L599" i="16"/>
  <c r="M599" i="16"/>
  <c r="L254" i="16"/>
  <c r="M254" i="16"/>
  <c r="L284" i="16"/>
  <c r="M284" i="16"/>
  <c r="L191" i="16"/>
  <c r="M191" i="16"/>
  <c r="L310" i="16"/>
  <c r="M310" i="16"/>
  <c r="L308" i="16"/>
  <c r="M308" i="16"/>
  <c r="L331" i="16"/>
  <c r="M331" i="16"/>
  <c r="L345" i="16"/>
  <c r="M345" i="16"/>
  <c r="L324" i="16"/>
  <c r="M324" i="16"/>
  <c r="L157" i="16"/>
  <c r="M157" i="16"/>
  <c r="L105" i="16"/>
  <c r="M105" i="16"/>
  <c r="L111" i="16"/>
  <c r="M111" i="16"/>
  <c r="L558" i="16"/>
  <c r="M558" i="16"/>
  <c r="L472" i="16"/>
  <c r="M472" i="16"/>
  <c r="L256" i="16"/>
  <c r="M256" i="16"/>
  <c r="L669" i="16"/>
  <c r="M669" i="16"/>
  <c r="L575" i="16"/>
  <c r="M575" i="16"/>
  <c r="L373" i="16"/>
  <c r="M373" i="16"/>
  <c r="L554" i="16"/>
  <c r="M554" i="16"/>
  <c r="L563" i="16"/>
  <c r="M563" i="16"/>
  <c r="L363" i="16"/>
  <c r="M363" i="16"/>
  <c r="L598" i="16"/>
  <c r="M598" i="16"/>
  <c r="L356" i="16"/>
  <c r="M356" i="16"/>
  <c r="L593" i="16"/>
  <c r="M593" i="16"/>
  <c r="L556" i="16"/>
  <c r="M556" i="16"/>
  <c r="L583" i="16"/>
  <c r="M583" i="16"/>
  <c r="L594" i="16"/>
  <c r="M594" i="16"/>
  <c r="L595" i="16"/>
  <c r="M595" i="16"/>
  <c r="L668" i="16"/>
  <c r="M668" i="16"/>
  <c r="L632" i="16"/>
  <c r="M632" i="16"/>
  <c r="L178" i="16"/>
  <c r="M178" i="16"/>
  <c r="L497" i="16"/>
  <c r="M497" i="16"/>
  <c r="L196" i="16"/>
  <c r="M196" i="16"/>
  <c r="L346" i="16"/>
  <c r="M346" i="16"/>
  <c r="L606" i="16"/>
  <c r="M606" i="16"/>
  <c r="L165" i="16"/>
  <c r="M165" i="16"/>
  <c r="L194" i="16"/>
  <c r="M194" i="16"/>
  <c r="L4" i="16"/>
  <c r="M4" i="16"/>
  <c r="L336" i="16"/>
  <c r="M336" i="16"/>
  <c r="L437" i="16"/>
  <c r="M437" i="16"/>
  <c r="L509" i="16"/>
  <c r="M509" i="16"/>
  <c r="L195" i="16"/>
  <c r="M195" i="16"/>
  <c r="L246" i="16"/>
  <c r="M246" i="16"/>
  <c r="L630" i="16"/>
  <c r="M630" i="16"/>
  <c r="L465" i="16"/>
  <c r="M465" i="16"/>
  <c r="L215" i="16"/>
  <c r="M215" i="16"/>
  <c r="L486" i="16"/>
  <c r="M486" i="16"/>
  <c r="L252" i="16"/>
  <c r="M252" i="16"/>
  <c r="L176" i="16"/>
  <c r="M176" i="16"/>
  <c r="L547" i="16"/>
  <c r="M547" i="16"/>
  <c r="L429" i="16"/>
  <c r="M429" i="16"/>
  <c r="L506" i="16"/>
  <c r="M506" i="16"/>
  <c r="L311" i="16"/>
  <c r="M311" i="16"/>
  <c r="L423" i="16"/>
  <c r="M423" i="16"/>
  <c r="L492" i="16"/>
  <c r="M492" i="16"/>
  <c r="L618" i="16"/>
  <c r="M618" i="16"/>
  <c r="L302" i="16"/>
  <c r="M302" i="16"/>
  <c r="L227" i="16"/>
  <c r="M227" i="16"/>
  <c r="L460" i="16"/>
  <c r="M460" i="16"/>
  <c r="L639" i="16"/>
  <c r="M639" i="16"/>
  <c r="L267" i="16"/>
  <c r="M267" i="16"/>
  <c r="L431" i="16"/>
  <c r="M431" i="16"/>
  <c r="L323" i="16"/>
  <c r="M323" i="16"/>
  <c r="L637" i="16"/>
  <c r="M637" i="16"/>
  <c r="L232" i="16"/>
  <c r="M232" i="16"/>
  <c r="L174" i="16"/>
  <c r="M174" i="16"/>
  <c r="L322" i="16"/>
  <c r="M322" i="16"/>
  <c r="L623" i="16"/>
  <c r="M623" i="16"/>
  <c r="L257" i="16"/>
  <c r="M257" i="16"/>
  <c r="L614" i="16"/>
  <c r="M614" i="16"/>
  <c r="L438" i="16"/>
  <c r="M438" i="16"/>
  <c r="L341" i="16"/>
  <c r="M341" i="16"/>
  <c r="L11" i="16"/>
  <c r="M11" i="16"/>
  <c r="L20" i="16"/>
  <c r="M20" i="16"/>
  <c r="L212" i="16"/>
  <c r="M212" i="16"/>
  <c r="L415" i="16"/>
  <c r="M415" i="16"/>
  <c r="L190" i="16"/>
  <c r="M190" i="16"/>
  <c r="L298" i="16"/>
  <c r="M298" i="16"/>
  <c r="L401" i="16"/>
  <c r="M401" i="16"/>
  <c r="L206" i="16"/>
  <c r="M206" i="16"/>
  <c r="L300" i="16"/>
  <c r="M300" i="16"/>
  <c r="L379" i="16"/>
  <c r="M379" i="16"/>
  <c r="L226" i="16"/>
  <c r="M226" i="16"/>
  <c r="L231" i="16"/>
  <c r="M231" i="16"/>
  <c r="L469" i="16"/>
  <c r="M469" i="16"/>
  <c r="L615" i="16"/>
  <c r="M615" i="16"/>
  <c r="L327" i="16"/>
  <c r="M327" i="16"/>
  <c r="L526" i="16"/>
  <c r="M526" i="16"/>
  <c r="L664" i="16"/>
  <c r="M664" i="16"/>
  <c r="L145" i="16"/>
  <c r="M145" i="16"/>
  <c r="L123" i="16"/>
  <c r="M123" i="16"/>
  <c r="L133" i="16"/>
  <c r="M133" i="16"/>
  <c r="L59" i="16"/>
  <c r="M59" i="16"/>
  <c r="L137" i="16"/>
  <c r="M137" i="16"/>
  <c r="L45" i="16"/>
  <c r="M45" i="16"/>
  <c r="L53" i="16"/>
  <c r="M53" i="16"/>
  <c r="L48" i="16"/>
  <c r="M48" i="16"/>
  <c r="L69" i="16"/>
  <c r="M69" i="16"/>
  <c r="L56" i="16"/>
  <c r="M56" i="16"/>
  <c r="L88" i="16"/>
  <c r="M88" i="16"/>
  <c r="L117" i="16"/>
  <c r="M117" i="16"/>
  <c r="L113" i="16"/>
  <c r="M113" i="16"/>
  <c r="L61" i="16"/>
  <c r="M61" i="16"/>
  <c r="L154" i="16"/>
  <c r="M154" i="16"/>
  <c r="L85" i="16"/>
  <c r="M85" i="16"/>
  <c r="L568" i="16"/>
  <c r="M568" i="16"/>
  <c r="L372" i="16"/>
  <c r="M372" i="16"/>
  <c r="L479" i="16"/>
  <c r="M479" i="16"/>
  <c r="L395" i="16"/>
  <c r="M395" i="16"/>
  <c r="L470" i="16"/>
  <c r="M470" i="16"/>
  <c r="L335" i="16"/>
  <c r="M335" i="16"/>
  <c r="L487" i="16"/>
  <c r="M487" i="16"/>
  <c r="L400" i="16"/>
  <c r="M400" i="16"/>
  <c r="L240" i="16"/>
  <c r="M240" i="16"/>
  <c r="L179" i="16"/>
  <c r="M179" i="16"/>
  <c r="L309" i="16"/>
  <c r="M309" i="16"/>
  <c r="L119" i="16"/>
  <c r="M119" i="16"/>
  <c r="L130" i="16"/>
  <c r="M130" i="16"/>
  <c r="L566" i="16"/>
  <c r="M566" i="16"/>
  <c r="L366" i="16"/>
  <c r="M366" i="16"/>
  <c r="L440" i="16"/>
  <c r="M440" i="16"/>
  <c r="L352" i="16"/>
  <c r="M352" i="16"/>
  <c r="L604" i="16"/>
  <c r="M604" i="16"/>
  <c r="L670" i="16"/>
  <c r="M670" i="16"/>
  <c r="L591" i="16"/>
  <c r="M591" i="16"/>
  <c r="L7" i="16"/>
  <c r="M7" i="16"/>
  <c r="L349" i="16"/>
  <c r="M349" i="16"/>
  <c r="L553" i="16"/>
  <c r="M553" i="16"/>
  <c r="L561" i="16"/>
  <c r="M561" i="16"/>
  <c r="L368" i="16"/>
  <c r="M368" i="16"/>
  <c r="L600" i="16"/>
  <c r="M600" i="16"/>
  <c r="L584" i="16"/>
  <c r="M584" i="16"/>
  <c r="L572" i="16"/>
  <c r="M572" i="16"/>
  <c r="L596" i="16"/>
  <c r="M596" i="16"/>
  <c r="L590" i="16"/>
  <c r="M590" i="16"/>
  <c r="L10" i="16"/>
  <c r="M10" i="16"/>
  <c r="L12" i="16"/>
  <c r="M12" i="16"/>
  <c r="L609" i="16"/>
  <c r="M609" i="16"/>
  <c r="L359" i="16"/>
  <c r="M359" i="16"/>
  <c r="L357" i="16"/>
  <c r="M357" i="16"/>
  <c r="L263" i="16"/>
  <c r="M263" i="16"/>
  <c r="L473" i="16"/>
  <c r="M473" i="16"/>
  <c r="L217" i="16"/>
  <c r="M217" i="16"/>
  <c r="L22" i="16"/>
  <c r="M22" i="16"/>
  <c r="L13" i="16"/>
  <c r="M13" i="16"/>
  <c r="L527" i="16"/>
  <c r="M527" i="16"/>
  <c r="L645" i="16"/>
  <c r="M645" i="16"/>
  <c r="L204" i="16"/>
  <c r="M204" i="16"/>
  <c r="L192" i="16"/>
  <c r="M192" i="16"/>
  <c r="L667" i="16"/>
  <c r="M667" i="16"/>
  <c r="L329" i="16"/>
  <c r="M329" i="16"/>
  <c r="L362" i="16"/>
  <c r="M362" i="16"/>
  <c r="L539" i="16"/>
  <c r="M539" i="16"/>
  <c r="L15" i="16"/>
  <c r="M15" i="16"/>
  <c r="L350" i="16"/>
  <c r="M350" i="16"/>
  <c r="L158" i="16"/>
  <c r="M158" i="16"/>
  <c r="L524" i="16"/>
  <c r="M524" i="16"/>
  <c r="L186" i="16"/>
  <c r="M186" i="16"/>
  <c r="L299" i="16"/>
  <c r="M299" i="16"/>
  <c r="L393" i="16"/>
  <c r="M393" i="16"/>
  <c r="L272" i="16"/>
  <c r="M272" i="16"/>
  <c r="L201" i="16"/>
  <c r="M201" i="16"/>
  <c r="L510" i="16"/>
  <c r="M510" i="16"/>
  <c r="L295" i="16"/>
  <c r="M295" i="16"/>
  <c r="L255" i="16"/>
  <c r="M255" i="16"/>
  <c r="L239" i="16"/>
  <c r="M239" i="16"/>
  <c r="L271" i="16"/>
  <c r="M271" i="16"/>
  <c r="L390" i="16"/>
  <c r="M390" i="16"/>
  <c r="L495" i="16"/>
  <c r="M495" i="16"/>
  <c r="L210" i="16"/>
  <c r="M210" i="16"/>
  <c r="L211" i="16"/>
  <c r="M211" i="16"/>
  <c r="L392" i="16"/>
  <c r="M392" i="16"/>
  <c r="L610" i="16"/>
  <c r="M610" i="16"/>
  <c r="L512" i="16"/>
  <c r="M512" i="16"/>
  <c r="L412" i="16"/>
  <c r="M412" i="16"/>
  <c r="L665" i="16"/>
  <c r="M665" i="16"/>
  <c r="L307" i="16"/>
  <c r="M307" i="16"/>
  <c r="L315" i="16"/>
  <c r="M315" i="16"/>
  <c r="L369" i="16"/>
  <c r="M369" i="16"/>
  <c r="L19" i="16"/>
  <c r="M19" i="16"/>
  <c r="L168" i="16"/>
  <c r="M168" i="16"/>
  <c r="L490" i="16"/>
  <c r="M490" i="16"/>
  <c r="L542" i="16"/>
  <c r="M542" i="16"/>
  <c r="L320" i="16"/>
  <c r="M320" i="16"/>
  <c r="L535" i="16"/>
  <c r="M535" i="16"/>
  <c r="L499" i="16"/>
  <c r="M499" i="16"/>
  <c r="L451" i="16"/>
  <c r="M451" i="16"/>
  <c r="L293" i="16"/>
  <c r="M293" i="16"/>
  <c r="L420" i="16"/>
  <c r="M420" i="16"/>
  <c r="L513" i="16"/>
  <c r="M513" i="16"/>
  <c r="L444" i="16"/>
  <c r="M444" i="16"/>
  <c r="L475" i="16"/>
  <c r="M475" i="16"/>
  <c r="L441" i="16"/>
  <c r="M441" i="16"/>
  <c r="L275" i="16"/>
  <c r="M275" i="16"/>
  <c r="L277" i="16"/>
  <c r="M277" i="16"/>
  <c r="L443" i="16"/>
  <c r="M443" i="16"/>
  <c r="L34" i="16"/>
  <c r="M34" i="16"/>
  <c r="L134" i="16"/>
  <c r="M134" i="16"/>
  <c r="L68" i="16"/>
  <c r="M68" i="16"/>
  <c r="L140" i="16"/>
  <c r="M140" i="16"/>
  <c r="L95" i="16"/>
  <c r="M95" i="16"/>
  <c r="L27" i="16"/>
  <c r="M27" i="16"/>
  <c r="L54" i="16"/>
  <c r="M54" i="16"/>
  <c r="L50" i="16"/>
  <c r="M50" i="16"/>
  <c r="L116" i="16"/>
  <c r="M116" i="16"/>
  <c r="L153" i="16"/>
  <c r="M153" i="16"/>
  <c r="L118" i="16"/>
  <c r="M118" i="16"/>
  <c r="L78" i="16"/>
  <c r="M78" i="16"/>
  <c r="L44" i="16"/>
  <c r="M44" i="16"/>
  <c r="L63" i="16"/>
  <c r="M63" i="16"/>
  <c r="L79" i="16"/>
  <c r="M79" i="16"/>
  <c r="L92" i="16"/>
  <c r="M92" i="16"/>
  <c r="N569" i="16"/>
  <c r="N372" i="16"/>
  <c r="N622" i="16"/>
  <c r="N508" i="16"/>
  <c r="N519" i="16"/>
  <c r="N254" i="16"/>
  <c r="N289" i="16"/>
  <c r="N479" i="16"/>
  <c r="N173" i="16"/>
  <c r="N652" i="16"/>
  <c r="N476" i="16"/>
  <c r="N284" i="16"/>
  <c r="N409" i="16"/>
  <c r="N395" i="16"/>
  <c r="N502" i="16"/>
  <c r="N339" i="16"/>
  <c r="N8" i="16"/>
  <c r="N191" i="16"/>
  <c r="N169" i="16"/>
  <c r="N470" i="16"/>
  <c r="N371" i="16"/>
  <c r="N283" i="16"/>
  <c r="N484" i="16"/>
  <c r="N310" i="16"/>
  <c r="N403" i="16"/>
  <c r="N335" i="16"/>
  <c r="N189" i="16"/>
  <c r="N330" i="16"/>
  <c r="N424" i="16"/>
  <c r="N448" i="16"/>
  <c r="N308" i="16"/>
  <c r="N316" i="16"/>
  <c r="N487" i="16"/>
  <c r="N197" i="16"/>
  <c r="N391" i="16"/>
  <c r="N406" i="16"/>
  <c r="N331" i="16"/>
  <c r="N514" i="16"/>
  <c r="N633" i="16"/>
  <c r="N400" i="16"/>
  <c r="N500" i="16"/>
  <c r="N380" i="16"/>
  <c r="N399" i="16"/>
  <c r="N345" i="16"/>
  <c r="N471" i="16"/>
  <c r="N240" i="16"/>
  <c r="N439" i="16"/>
  <c r="N640" i="16"/>
  <c r="N647" i="16"/>
  <c r="N496" i="16"/>
  <c r="N324" i="16"/>
  <c r="N179" i="16"/>
  <c r="N260" i="16"/>
  <c r="N433" i="16"/>
  <c r="N540" i="16"/>
  <c r="N389" i="16"/>
  <c r="N309" i="16"/>
  <c r="N157" i="16"/>
  <c r="N200" i="16"/>
  <c r="N313" i="16"/>
  <c r="N161" i="16"/>
  <c r="N96" i="16"/>
  <c r="N23" i="16"/>
  <c r="N119" i="16"/>
  <c r="N65" i="16"/>
  <c r="N105" i="16"/>
  <c r="N31" i="16"/>
  <c r="N150" i="16"/>
  <c r="N51" i="16"/>
  <c r="N110" i="16"/>
  <c r="N139" i="16"/>
  <c r="N28" i="16"/>
  <c r="N135" i="16"/>
  <c r="N130" i="16"/>
  <c r="N111" i="16"/>
  <c r="N26" i="16"/>
  <c r="N12" i="16"/>
  <c r="N355" i="16"/>
  <c r="N582" i="16"/>
  <c r="N605" i="16"/>
  <c r="N366" i="16"/>
  <c r="N628" i="16"/>
  <c r="N472" i="16"/>
  <c r="N425" i="16"/>
  <c r="N419" i="16"/>
  <c r="N422" i="16"/>
  <c r="N5" i="16"/>
  <c r="N440" i="16"/>
  <c r="N222" i="16"/>
  <c r="N256" i="16"/>
  <c r="N405" i="16"/>
  <c r="N447" i="16"/>
  <c r="N452" i="16"/>
  <c r="N182" i="16"/>
  <c r="N435" i="16"/>
  <c r="N352" i="16"/>
  <c r="N669" i="16"/>
  <c r="N167" i="16"/>
  <c r="N304" i="16"/>
  <c r="N653" i="16"/>
  <c r="N387" i="16"/>
  <c r="N488" i="16"/>
  <c r="N213" i="16"/>
  <c r="N643" i="16"/>
  <c r="N223" i="16"/>
  <c r="N546" i="16"/>
  <c r="N518" i="16"/>
  <c r="N378" i="16"/>
  <c r="N515" i="16"/>
  <c r="N641" i="16"/>
  <c r="N305" i="16"/>
  <c r="N333" i="16"/>
  <c r="N522" i="16"/>
  <c r="N620" i="16"/>
  <c r="N529" i="16"/>
  <c r="N291" i="16"/>
  <c r="N538" i="16"/>
  <c r="N537" i="16"/>
  <c r="N426" i="16"/>
  <c r="N607" i="16"/>
  <c r="N164" i="16"/>
  <c r="N163" i="16"/>
  <c r="N672" i="16"/>
  <c r="N220" i="16"/>
  <c r="N292" i="16"/>
  <c r="N549" i="16"/>
  <c r="N428" i="16"/>
  <c r="N337" i="16"/>
  <c r="N417" i="16"/>
  <c r="N516" i="16"/>
  <c r="N481" i="16"/>
  <c r="N241" i="16"/>
  <c r="N235" i="16"/>
  <c r="N166" i="16"/>
  <c r="N319" i="16"/>
  <c r="N261" i="16"/>
  <c r="N181" i="16"/>
  <c r="N317" i="16"/>
  <c r="N36" i="16"/>
  <c r="N74" i="16"/>
  <c r="N144" i="16"/>
  <c r="N142" i="16"/>
  <c r="N89" i="16"/>
  <c r="N125" i="16"/>
  <c r="N37" i="16"/>
  <c r="N104" i="16"/>
  <c r="N126" i="16"/>
  <c r="N66" i="16"/>
  <c r="N24" i="16"/>
  <c r="N101" i="16"/>
  <c r="N67" i="16"/>
  <c r="N112" i="16"/>
  <c r="N108" i="16"/>
  <c r="N373" i="16"/>
  <c r="N364" i="16"/>
  <c r="N670" i="16"/>
  <c r="N673" i="16"/>
  <c r="N347" i="16"/>
  <c r="N626" i="16"/>
  <c r="N160" i="16"/>
  <c r="N253" i="16"/>
  <c r="N545" i="16"/>
  <c r="N671" i="16"/>
  <c r="N288" i="16"/>
  <c r="N301" i="16"/>
  <c r="N520" i="16"/>
  <c r="N659" i="16"/>
  <c r="N238" i="16"/>
  <c r="N279" i="16"/>
  <c r="N218" i="16"/>
  <c r="N180" i="16"/>
  <c r="N177" i="16"/>
  <c r="N9" i="16"/>
  <c r="N562" i="16"/>
  <c r="N404" i="16"/>
  <c r="N274" i="16"/>
  <c r="N388" i="16"/>
  <c r="N617" i="16"/>
  <c r="N474" i="16"/>
  <c r="N282" i="16"/>
  <c r="N408" i="16"/>
  <c r="N536" i="16"/>
  <c r="N494" i="16"/>
  <c r="N651" i="16"/>
  <c r="N396" i="16"/>
  <c r="N198" i="16"/>
  <c r="N208" i="16"/>
  <c r="N501" i="16"/>
  <c r="N229" i="16"/>
  <c r="N467" i="16"/>
  <c r="N662" i="16"/>
  <c r="N377" i="16"/>
  <c r="N449" i="16"/>
  <c r="N230" i="16"/>
  <c r="N624" i="16"/>
  <c r="N343" i="16"/>
  <c r="N644" i="16"/>
  <c r="N17" i="16"/>
  <c r="N493" i="16"/>
  <c r="N402" i="16"/>
  <c r="N237" i="16"/>
  <c r="N543" i="16"/>
  <c r="N193" i="16"/>
  <c r="N534" i="16"/>
  <c r="N386" i="16"/>
  <c r="N453" i="16"/>
  <c r="N273" i="16"/>
  <c r="N446" i="16"/>
  <c r="N627" i="16"/>
  <c r="N247" i="16"/>
  <c r="N183" i="16"/>
  <c r="N268" i="16"/>
  <c r="N202" i="16"/>
  <c r="N77" i="16"/>
  <c r="N64" i="16"/>
  <c r="N30" i="16"/>
  <c r="N84" i="16"/>
  <c r="N29" i="16"/>
  <c r="N146" i="16"/>
  <c r="N149" i="16"/>
  <c r="N152" i="16"/>
  <c r="N115" i="16"/>
  <c r="N120" i="16"/>
  <c r="N143" i="16"/>
  <c r="N94" i="16"/>
  <c r="N73" i="16"/>
  <c r="N114" i="16"/>
  <c r="N91" i="16"/>
  <c r="N98" i="16"/>
  <c r="N636" i="16"/>
  <c r="N609" i="16"/>
  <c r="N7" i="16"/>
  <c r="N563" i="16"/>
  <c r="N463" i="16"/>
  <c r="N349" i="16"/>
  <c r="N18" i="16"/>
  <c r="N528" i="16"/>
  <c r="N358" i="16"/>
  <c r="N363" i="16"/>
  <c r="N328" i="16"/>
  <c r="N353" i="16"/>
  <c r="N276" i="16"/>
  <c r="N517" i="16"/>
  <c r="N504" i="16"/>
  <c r="N454" i="16"/>
  <c r="N245" i="16"/>
  <c r="N287" i="16"/>
  <c r="N616" i="16"/>
  <c r="N354" i="16"/>
  <c r="N286" i="16"/>
  <c r="N611" i="16"/>
  <c r="N530" i="16"/>
  <c r="N532" i="16"/>
  <c r="N326" i="16"/>
  <c r="N421" i="16"/>
  <c r="N625" i="16"/>
  <c r="N648" i="16"/>
  <c r="N187" i="16"/>
  <c r="N544" i="16"/>
  <c r="N483" i="16"/>
  <c r="N418" i="16"/>
  <c r="N480" i="16"/>
  <c r="N507" i="16"/>
  <c r="N376" i="16"/>
  <c r="N382" i="16"/>
  <c r="N251" i="16"/>
  <c r="N250" i="16"/>
  <c r="N172" i="16"/>
  <c r="N185" i="16"/>
  <c r="N249" i="16"/>
  <c r="N224" i="16"/>
  <c r="N265" i="16"/>
  <c r="N266" i="16"/>
  <c r="N462" i="16"/>
  <c r="N332" i="16"/>
  <c r="N162" i="16"/>
  <c r="N458" i="16"/>
  <c r="N394" i="16"/>
  <c r="N450" i="16"/>
  <c r="N411" i="16"/>
  <c r="N209" i="16"/>
  <c r="N655" i="16"/>
  <c r="N264" i="16"/>
  <c r="N666" i="16"/>
  <c r="N306" i="16"/>
  <c r="N646" i="16"/>
  <c r="N434" i="16"/>
  <c r="N613" i="16"/>
  <c r="N242" i="16"/>
  <c r="N649" i="16"/>
  <c r="N459" i="16"/>
  <c r="N136" i="16"/>
  <c r="N46" i="16"/>
  <c r="N41" i="16"/>
  <c r="N83" i="16"/>
  <c r="N106" i="16"/>
  <c r="N127" i="16"/>
  <c r="N76" i="16"/>
  <c r="N58" i="16"/>
  <c r="N121" i="16"/>
  <c r="N131" i="16"/>
  <c r="N81" i="16"/>
  <c r="N57" i="16"/>
  <c r="N75" i="16"/>
  <c r="N124" i="16"/>
  <c r="N138" i="16"/>
  <c r="N93" i="16"/>
  <c r="N365" i="16"/>
  <c r="N356" i="16"/>
  <c r="N430" i="16"/>
  <c r="N228" i="16"/>
  <c r="N368" i="16"/>
  <c r="N361" i="16"/>
  <c r="N175" i="16"/>
  <c r="N466" i="16"/>
  <c r="N383" i="16"/>
  <c r="N442" i="16"/>
  <c r="N321" i="16"/>
  <c r="N661" i="16"/>
  <c r="N631" i="16"/>
  <c r="N259" i="16"/>
  <c r="N269" i="16"/>
  <c r="N468" i="16"/>
  <c r="N634" i="16"/>
  <c r="N348" i="16"/>
  <c r="N344" i="16"/>
  <c r="N351" i="16"/>
  <c r="N477" i="16"/>
  <c r="N654" i="16"/>
  <c r="N225" i="16"/>
  <c r="N498" i="16"/>
  <c r="N445" i="16"/>
  <c r="N184" i="16"/>
  <c r="N221" i="16"/>
  <c r="N523" i="16"/>
  <c r="N656" i="16"/>
  <c r="N338" i="16"/>
  <c r="N414" i="16"/>
  <c r="N638" i="16"/>
  <c r="N248" i="16"/>
  <c r="N262" i="16"/>
  <c r="N236" i="16"/>
  <c r="N635" i="16"/>
  <c r="N156" i="16"/>
  <c r="N219" i="16"/>
  <c r="N531" i="16"/>
  <c r="N657" i="16"/>
  <c r="N674" i="16"/>
  <c r="N375" i="16"/>
  <c r="N612" i="16"/>
  <c r="N581" i="16"/>
  <c r="N340" i="16"/>
  <c r="N258" i="16"/>
  <c r="N243" i="16"/>
  <c r="N642" i="16"/>
  <c r="N278" i="16"/>
  <c r="N280" i="16"/>
  <c r="N203" i="16"/>
  <c r="N525" i="16"/>
  <c r="N294" i="16"/>
  <c r="N244" i="16"/>
  <c r="N436" i="16"/>
  <c r="N325" i="16"/>
  <c r="N397" i="16"/>
  <c r="N485" i="16"/>
  <c r="N461" i="16"/>
  <c r="N385" i="16"/>
  <c r="N47" i="16"/>
  <c r="N32" i="16"/>
  <c r="N35" i="16"/>
  <c r="N148" i="16"/>
  <c r="N100" i="16"/>
  <c r="N107" i="16"/>
  <c r="N43" i="16"/>
  <c r="N25" i="16"/>
  <c r="N132" i="16"/>
  <c r="N62" i="16"/>
  <c r="N87" i="16"/>
  <c r="N155" i="16"/>
  <c r="N49" i="16"/>
  <c r="N60" i="16"/>
  <c r="N151" i="16"/>
  <c r="N86" i="16"/>
  <c r="N171" i="16"/>
  <c r="N342" i="16"/>
  <c r="N297" i="16"/>
  <c r="N464" i="16"/>
  <c r="N574" i="16"/>
  <c r="N159" i="16"/>
  <c r="N21" i="16"/>
  <c r="N608" i="16"/>
  <c r="N234" i="16"/>
  <c r="N381" i="16"/>
  <c r="N503" i="16"/>
  <c r="N491" i="16"/>
  <c r="N505" i="16"/>
  <c r="N318" i="16"/>
  <c r="N548" i="16"/>
  <c r="N6" i="16"/>
  <c r="N629" i="16"/>
  <c r="N407" i="16"/>
  <c r="N660" i="16"/>
  <c r="N541" i="16"/>
  <c r="N457" i="16"/>
  <c r="N285" i="16"/>
  <c r="N619" i="16"/>
  <c r="N207" i="16"/>
  <c r="N199" i="16"/>
  <c r="N410" i="16"/>
  <c r="N233" i="16"/>
  <c r="N658" i="16"/>
  <c r="N281" i="16"/>
  <c r="N478" i="16"/>
  <c r="N334" i="16"/>
  <c r="N188" i="16"/>
  <c r="N533" i="16"/>
  <c r="N456" i="16"/>
  <c r="N374" i="16"/>
  <c r="N290" i="16"/>
  <c r="N360" i="16"/>
  <c r="N398" i="16"/>
  <c r="N489" i="16"/>
  <c r="N205" i="16"/>
  <c r="N482" i="16"/>
  <c r="N650" i="16"/>
  <c r="N370" i="16"/>
  <c r="N16" i="16"/>
  <c r="N170" i="16"/>
  <c r="N296" i="16"/>
  <c r="N216" i="16"/>
  <c r="N511" i="16"/>
  <c r="N312" i="16"/>
  <c r="N314" i="16"/>
  <c r="N384" i="16"/>
  <c r="N621" i="16"/>
  <c r="N303" i="16"/>
  <c r="N427" i="16"/>
  <c r="N416" i="16"/>
  <c r="N270" i="16"/>
  <c r="N663" i="16"/>
  <c r="N432" i="16"/>
  <c r="N521" i="16"/>
  <c r="N214" i="16"/>
  <c r="N80" i="16"/>
  <c r="N40" i="16"/>
  <c r="N122" i="16"/>
  <c r="N39" i="16"/>
  <c r="N42" i="16"/>
  <c r="N99" i="16"/>
  <c r="N55" i="16"/>
  <c r="N141" i="16"/>
  <c r="N97" i="16"/>
  <c r="N72" i="16"/>
  <c r="N82" i="16"/>
  <c r="N70" i="16"/>
  <c r="N102" i="16"/>
  <c r="N129" i="16"/>
  <c r="N38" i="16"/>
  <c r="N103" i="16"/>
  <c r="N668" i="16"/>
  <c r="N632" i="16"/>
  <c r="N178" i="16"/>
  <c r="N497" i="16"/>
  <c r="N196" i="16"/>
  <c r="N346" i="16"/>
  <c r="N606" i="16"/>
  <c r="N165" i="16"/>
  <c r="N194" i="16"/>
  <c r="N4" i="16"/>
  <c r="N336" i="16"/>
  <c r="N437" i="16"/>
  <c r="N509" i="16"/>
  <c r="N195" i="16"/>
  <c r="N246" i="16"/>
  <c r="N630" i="16"/>
  <c r="N465" i="16"/>
  <c r="N215" i="16"/>
  <c r="N486" i="16"/>
  <c r="N252" i="16"/>
  <c r="N176" i="16"/>
  <c r="N547" i="16"/>
  <c r="N429" i="16"/>
  <c r="N506" i="16"/>
  <c r="N311" i="16"/>
  <c r="N423" i="16"/>
  <c r="N492" i="16"/>
  <c r="N618" i="16"/>
  <c r="N302" i="16"/>
  <c r="N227" i="16"/>
  <c r="N460" i="16"/>
  <c r="N639" i="16"/>
  <c r="N267" i="16"/>
  <c r="N431" i="16"/>
  <c r="N323" i="16"/>
  <c r="N637" i="16"/>
  <c r="N232" i="16"/>
  <c r="N174" i="16"/>
  <c r="N322" i="16"/>
  <c r="N623" i="16"/>
  <c r="N257" i="16"/>
  <c r="N614" i="16"/>
  <c r="N438" i="16"/>
  <c r="N341" i="16"/>
  <c r="N11" i="16"/>
  <c r="N20" i="16"/>
  <c r="N212" i="16"/>
  <c r="N415" i="16"/>
  <c r="N190" i="16"/>
  <c r="N298" i="16"/>
  <c r="N401" i="16"/>
  <c r="N206" i="16"/>
  <c r="N300" i="16"/>
  <c r="N379" i="16"/>
  <c r="N226" i="16"/>
  <c r="N231" i="16"/>
  <c r="N469" i="16"/>
  <c r="N615" i="16"/>
  <c r="N327" i="16"/>
  <c r="N526" i="16"/>
  <c r="N664" i="16"/>
  <c r="N145" i="16"/>
  <c r="N123" i="16"/>
  <c r="N133" i="16"/>
  <c r="N59" i="16"/>
  <c r="N137" i="16"/>
  <c r="N45" i="16"/>
  <c r="N53" i="16"/>
  <c r="N48" i="16"/>
  <c r="N69" i="16"/>
  <c r="N56" i="16"/>
  <c r="N88" i="16"/>
  <c r="N117" i="16"/>
  <c r="N113" i="16"/>
  <c r="N61" i="16"/>
  <c r="N154" i="16"/>
  <c r="N85" i="16"/>
  <c r="N10" i="16"/>
  <c r="N359" i="16"/>
  <c r="N357" i="16"/>
  <c r="N263" i="16"/>
  <c r="N473" i="16"/>
  <c r="N217" i="16"/>
  <c r="N22" i="16"/>
  <c r="N13" i="16"/>
  <c r="N527" i="16"/>
  <c r="N645" i="16"/>
  <c r="N204" i="16"/>
  <c r="N192" i="16"/>
  <c r="N667" i="16"/>
  <c r="N329" i="16"/>
  <c r="N362" i="16"/>
  <c r="N539" i="16"/>
  <c r="N15" i="16"/>
  <c r="N350" i="16"/>
  <c r="N158" i="16"/>
  <c r="N524" i="16"/>
  <c r="N186" i="16"/>
  <c r="N299" i="16"/>
  <c r="N393" i="16"/>
  <c r="N272" i="16"/>
  <c r="N201" i="16"/>
  <c r="N510" i="16"/>
  <c r="N295" i="16"/>
  <c r="N255" i="16"/>
  <c r="N239" i="16"/>
  <c r="N271" i="16"/>
  <c r="N390" i="16"/>
  <c r="N495" i="16"/>
  <c r="N210" i="16"/>
  <c r="N211" i="16"/>
  <c r="N392" i="16"/>
  <c r="N610" i="16"/>
  <c r="N512" i="16"/>
  <c r="N412" i="16"/>
  <c r="N665" i="16"/>
  <c r="N307" i="16"/>
  <c r="N315" i="16"/>
  <c r="N369" i="16"/>
  <c r="N19" i="16"/>
  <c r="N168" i="16"/>
  <c r="N490" i="16"/>
  <c r="N542" i="16"/>
  <c r="N320" i="16"/>
  <c r="N535" i="16"/>
  <c r="N499" i="16"/>
  <c r="N451" i="16"/>
  <c r="N293" i="16"/>
  <c r="N420" i="16"/>
  <c r="N513" i="16"/>
  <c r="N444" i="16"/>
  <c r="N475" i="16"/>
  <c r="N441" i="16"/>
  <c r="N275" i="16"/>
  <c r="N277" i="16"/>
  <c r="N443" i="16"/>
  <c r="N34" i="16"/>
  <c r="N134" i="16"/>
  <c r="N68" i="16"/>
  <c r="N140" i="16"/>
  <c r="N95" i="16"/>
  <c r="N27" i="16"/>
  <c r="N54" i="16"/>
  <c r="N50" i="16"/>
  <c r="N116" i="16"/>
  <c r="N153" i="16"/>
  <c r="N118" i="16"/>
  <c r="N78" i="16"/>
  <c r="N44" i="16"/>
  <c r="N63" i="16"/>
  <c r="N79" i="16"/>
  <c r="N92" i="16"/>
  <c r="N573" i="16"/>
  <c r="N556" i="16"/>
  <c r="N594" i="16"/>
  <c r="N584" i="16"/>
  <c r="N572" i="16"/>
  <c r="N596" i="16"/>
  <c r="N590" i="16"/>
  <c r="N601" i="16"/>
  <c r="N593" i="16"/>
  <c r="N583" i="16"/>
  <c r="N595" i="16"/>
  <c r="N600" i="16"/>
  <c r="N587" i="16"/>
  <c r="N568" i="16"/>
  <c r="N565" i="16"/>
  <c r="N585" i="16"/>
  <c r="N599" i="16"/>
  <c r="N570" i="16"/>
  <c r="N557" i="16"/>
  <c r="N589" i="16"/>
  <c r="N564" i="16"/>
  <c r="N566" i="16"/>
  <c r="N571" i="16"/>
  <c r="N558" i="16"/>
  <c r="N551" i="16"/>
  <c r="N555" i="16"/>
  <c r="N604" i="16"/>
  <c r="N603" i="16"/>
  <c r="N575" i="16"/>
  <c r="N560" i="16"/>
  <c r="N552" i="16"/>
  <c r="N559" i="16"/>
  <c r="N597" i="16"/>
  <c r="N554" i="16"/>
  <c r="N550" i="16"/>
  <c r="N591" i="16"/>
  <c r="N602" i="16"/>
  <c r="N586" i="16"/>
  <c r="N592" i="16"/>
  <c r="N553" i="16"/>
  <c r="N588" i="16"/>
  <c r="N576" i="16"/>
  <c r="N598" i="16"/>
  <c r="N567" i="16"/>
  <c r="N561" i="16"/>
  <c r="H17" i="8" l="1"/>
  <c r="P17" i="8"/>
  <c r="O18" i="8"/>
  <c r="N19" i="8"/>
  <c r="M20" i="8"/>
  <c r="L21" i="8"/>
  <c r="K22" i="8"/>
  <c r="J23" i="8"/>
  <c r="I17" i="8"/>
  <c r="P18" i="8"/>
  <c r="O19" i="8"/>
  <c r="N20" i="8"/>
  <c r="M21" i="8"/>
  <c r="K23" i="8"/>
  <c r="I22" i="8"/>
  <c r="M19" i="8"/>
  <c r="H18" i="8"/>
  <c r="L22" i="8"/>
  <c r="O17" i="8"/>
  <c r="J22" i="8"/>
  <c r="J17" i="8"/>
  <c r="I18" i="8"/>
  <c r="H19" i="8"/>
  <c r="P19" i="8"/>
  <c r="O20" i="8"/>
  <c r="N21" i="8"/>
  <c r="M22" i="8"/>
  <c r="L23" i="8"/>
  <c r="K17" i="8"/>
  <c r="J18" i="8"/>
  <c r="I19" i="8"/>
  <c r="H20" i="8"/>
  <c r="P20" i="8"/>
  <c r="O21" i="8"/>
  <c r="N22" i="8"/>
  <c r="M23" i="8"/>
  <c r="I21" i="8"/>
  <c r="P22" i="8"/>
  <c r="O23" i="8"/>
  <c r="M18" i="8"/>
  <c r="J21" i="8"/>
  <c r="N18" i="8"/>
  <c r="I23" i="8"/>
  <c r="L17" i="8"/>
  <c r="K18" i="8"/>
  <c r="J19" i="8"/>
  <c r="I20" i="8"/>
  <c r="H21" i="8"/>
  <c r="P21" i="8"/>
  <c r="O22" i="8"/>
  <c r="N23" i="8"/>
  <c r="M17" i="8"/>
  <c r="K19" i="8"/>
  <c r="J20" i="8"/>
  <c r="H22" i="8"/>
  <c r="N17" i="8"/>
  <c r="K20" i="8"/>
  <c r="H23" i="8"/>
  <c r="K21" i="8"/>
  <c r="L18" i="8"/>
  <c r="L19" i="8"/>
  <c r="P23" i="8"/>
  <c r="L20" i="8"/>
  <c r="P16" i="8"/>
  <c r="O16" i="8"/>
  <c r="N16" i="8"/>
  <c r="M16" i="8"/>
  <c r="L16" i="8"/>
  <c r="K16" i="8"/>
  <c r="J16" i="8"/>
  <c r="I16" i="8"/>
  <c r="H16" i="8"/>
  <c r="E38" i="3" l="1"/>
  <c r="E45" i="3" l="1"/>
  <c r="E44" i="3"/>
  <c r="C14" i="12" l="1"/>
  <c r="E40" i="3" l="1"/>
  <c r="E37" i="3"/>
  <c r="E39" i="3"/>
  <c r="C13" i="12"/>
  <c r="M7" i="15" l="1"/>
  <c r="N7" i="15" l="1"/>
  <c r="O7" i="15" s="1"/>
  <c r="M8" i="15" l="1"/>
  <c r="M9" i="15" s="1"/>
  <c r="N9" i="15" l="1"/>
  <c r="N8" i="15"/>
  <c r="O8" i="15" s="1"/>
  <c r="M10" i="15"/>
  <c r="M11" i="15" s="1"/>
  <c r="N10" i="15" l="1"/>
  <c r="O10" i="15" s="1"/>
  <c r="M12" i="15"/>
  <c r="N11" i="15"/>
  <c r="O11" i="15" s="1"/>
  <c r="N12" i="15" l="1"/>
  <c r="O12" i="15" s="1"/>
  <c r="M13" i="15"/>
  <c r="M14" i="15" l="1"/>
  <c r="N13" i="15"/>
  <c r="O13" i="15" s="1"/>
  <c r="N14" i="15" l="1"/>
  <c r="O14" i="15" s="1"/>
  <c r="M15" i="15"/>
  <c r="N15" i="15" l="1"/>
  <c r="O15" i="15" s="1"/>
  <c r="M16" i="15"/>
  <c r="N16" i="15" l="1"/>
  <c r="O16" i="15" s="1"/>
  <c r="M17" i="15"/>
  <c r="N17" i="15" l="1"/>
  <c r="O17" i="15" s="1"/>
  <c r="M18" i="15"/>
  <c r="M19" i="15" l="1"/>
  <c r="N18" i="15"/>
  <c r="O18" i="15" s="1"/>
  <c r="N19" i="15" l="1"/>
  <c r="O19" i="15" s="1"/>
  <c r="M20" i="15"/>
  <c r="N20" i="15" l="1"/>
  <c r="O20" i="15" s="1"/>
  <c r="M21" i="15"/>
  <c r="N21" i="15" l="1"/>
  <c r="O21" i="15" s="1"/>
  <c r="M22" i="15"/>
  <c r="N22" i="15" l="1"/>
  <c r="M23" i="15"/>
  <c r="M24" i="15" l="1"/>
  <c r="N23" i="15"/>
  <c r="O23" i="15" s="1"/>
  <c r="M25" i="15" l="1"/>
  <c r="N24" i="15"/>
  <c r="O24" i="15" s="1"/>
  <c r="M26" i="15" l="1"/>
  <c r="N25" i="15"/>
  <c r="M27" i="15" l="1"/>
  <c r="N26" i="15"/>
  <c r="O26" i="15" s="1"/>
  <c r="N27" i="15" l="1"/>
  <c r="M28" i="15"/>
  <c r="M29" i="15" l="1"/>
  <c r="N28" i="15"/>
  <c r="N29" i="15" l="1"/>
  <c r="O29" i="15" s="1"/>
  <c r="M30" i="15"/>
  <c r="N30" i="15" l="1"/>
  <c r="O30" i="15" s="1"/>
  <c r="M31" i="15"/>
  <c r="M32" i="15" l="1"/>
  <c r="N31" i="15"/>
  <c r="O31" i="15" s="1"/>
  <c r="M33" i="15" l="1"/>
  <c r="N32" i="15"/>
  <c r="O32" i="15" s="1"/>
  <c r="M34" i="15" l="1"/>
  <c r="N33" i="15"/>
  <c r="O33" i="15" s="1"/>
  <c r="M35" i="15" l="1"/>
  <c r="N34" i="15"/>
  <c r="O34" i="15" s="1"/>
  <c r="M36" i="15" l="1"/>
  <c r="N35" i="15"/>
  <c r="O35" i="15" s="1"/>
  <c r="M37" i="15" l="1"/>
  <c r="N36" i="15"/>
  <c r="O36" i="15" s="1"/>
  <c r="M38" i="15" l="1"/>
  <c r="N37" i="15"/>
  <c r="O37" i="15" s="1"/>
  <c r="N38" i="15" l="1"/>
  <c r="M39" i="15"/>
  <c r="N39" i="15" l="1"/>
  <c r="M40" i="15"/>
  <c r="M41" i="15" l="1"/>
  <c r="N40" i="15"/>
  <c r="M42" i="15" l="1"/>
  <c r="N41" i="15"/>
  <c r="O41" i="15" s="1"/>
  <c r="M43" i="15" l="1"/>
  <c r="N42" i="15"/>
  <c r="O42" i="15" s="1"/>
  <c r="M44" i="15" l="1"/>
  <c r="N43" i="15"/>
  <c r="O43" i="15" s="1"/>
  <c r="M45" i="15" l="1"/>
  <c r="N44" i="15"/>
  <c r="O44" i="15" s="1"/>
  <c r="N45" i="15" l="1"/>
  <c r="O45" i="15" s="1"/>
  <c r="M46" i="15"/>
  <c r="M47" i="15" l="1"/>
  <c r="N46" i="15"/>
  <c r="O46" i="15" s="1"/>
  <c r="N47" i="15" l="1"/>
  <c r="O47" i="15" s="1"/>
  <c r="M48" i="15"/>
  <c r="M49" i="15" l="1"/>
  <c r="N48" i="15"/>
  <c r="O48" i="15" s="1"/>
  <c r="M50" i="15" l="1"/>
  <c r="N49" i="15"/>
  <c r="O49" i="15" s="1"/>
  <c r="M51" i="15" l="1"/>
  <c r="N50" i="15"/>
  <c r="O50" i="15" s="1"/>
  <c r="N51" i="15" l="1"/>
  <c r="O51" i="15" s="1"/>
  <c r="M52" i="15"/>
  <c r="M53" i="15" l="1"/>
  <c r="N52" i="15"/>
  <c r="M54" i="15" l="1"/>
  <c r="N53" i="15"/>
  <c r="O53" i="15" s="1"/>
  <c r="M55" i="15" l="1"/>
  <c r="N54" i="15"/>
  <c r="O54" i="15" s="1"/>
  <c r="M56" i="15" l="1"/>
  <c r="N55" i="15"/>
  <c r="O55" i="15" s="1"/>
  <c r="N56" i="15" l="1"/>
  <c r="O56" i="15" s="1"/>
  <c r="M57" i="15"/>
  <c r="M58" i="15" l="1"/>
  <c r="N57" i="15"/>
  <c r="O57" i="15" s="1"/>
  <c r="M59" i="15" l="1"/>
  <c r="N58" i="15"/>
  <c r="O58" i="15" s="1"/>
  <c r="M60" i="15" l="1"/>
  <c r="N59" i="15"/>
  <c r="O59" i="15" s="1"/>
  <c r="N60" i="15" l="1"/>
  <c r="O60" i="15" s="1"/>
  <c r="M61" i="15"/>
  <c r="M62" i="15" l="1"/>
  <c r="N61" i="15"/>
  <c r="O61" i="15" s="1"/>
  <c r="N62" i="15" l="1"/>
  <c r="O62" i="15" s="1"/>
  <c r="M63" i="15"/>
  <c r="N63" i="15" l="1"/>
  <c r="O63" i="15" s="1"/>
  <c r="M64" i="15"/>
  <c r="N64" i="15" l="1"/>
  <c r="O64" i="15" s="1"/>
  <c r="M65" i="15"/>
  <c r="M66" i="15" l="1"/>
  <c r="N65" i="15"/>
  <c r="O65" i="15" s="1"/>
  <c r="N66" i="15" l="1"/>
  <c r="O66" i="15" s="1"/>
  <c r="M67" i="15"/>
  <c r="N67" i="15" l="1"/>
  <c r="O67" i="15" s="1"/>
  <c r="M68" i="15"/>
  <c r="M69" i="15" l="1"/>
  <c r="N68" i="15"/>
  <c r="O68" i="15" s="1"/>
  <c r="M70" i="15" l="1"/>
  <c r="N69" i="15"/>
  <c r="O69" i="15" s="1"/>
  <c r="N70" i="15" l="1"/>
  <c r="O70" i="15" s="1"/>
  <c r="M71" i="15"/>
  <c r="N71" i="15" l="1"/>
  <c r="O71" i="15" s="1"/>
  <c r="M72" i="15"/>
  <c r="M73" i="15" l="1"/>
  <c r="N72" i="15"/>
  <c r="O72" i="15" s="1"/>
  <c r="M74" i="15" l="1"/>
  <c r="N73" i="15"/>
  <c r="O73" i="15" s="1"/>
  <c r="M75" i="15" l="1"/>
  <c r="N74" i="15"/>
  <c r="O74" i="15" s="1"/>
  <c r="M76" i="15" l="1"/>
  <c r="N75" i="15"/>
  <c r="O75" i="15" s="1"/>
  <c r="M77" i="15" l="1"/>
  <c r="N76" i="15"/>
  <c r="O76" i="15" s="1"/>
  <c r="N77" i="15" l="1"/>
  <c r="O77" i="15" s="1"/>
  <c r="M78" i="15"/>
  <c r="M79" i="15" l="1"/>
  <c r="N78" i="15"/>
  <c r="O78" i="15" s="1"/>
  <c r="N79" i="15" l="1"/>
  <c r="O79" i="15" s="1"/>
  <c r="M80" i="15"/>
  <c r="M81" i="15" l="1"/>
  <c r="N80" i="15"/>
  <c r="O80" i="15" s="1"/>
  <c r="M82" i="15" l="1"/>
  <c r="N81" i="15"/>
  <c r="O81" i="15" s="1"/>
  <c r="M83" i="15" l="1"/>
  <c r="N82" i="15"/>
  <c r="N83" i="15" l="1"/>
  <c r="M84" i="15"/>
  <c r="M85" i="15" l="1"/>
  <c r="N84" i="15"/>
  <c r="M86" i="15" l="1"/>
  <c r="N85" i="15"/>
  <c r="N86" i="15" l="1"/>
  <c r="M87" i="15"/>
  <c r="M88" i="15" l="1"/>
  <c r="N87" i="15"/>
  <c r="M89" i="15" l="1"/>
  <c r="N88" i="15"/>
  <c r="O88" i="15" s="1"/>
  <c r="M90" i="15" l="1"/>
  <c r="N89" i="15"/>
  <c r="O89" i="15" s="1"/>
  <c r="N90" i="15" l="1"/>
  <c r="O90" i="15" s="1"/>
  <c r="M91" i="15"/>
  <c r="M92" i="15" l="1"/>
  <c r="N91" i="15"/>
  <c r="O91" i="15" s="1"/>
  <c r="N92" i="15" l="1"/>
  <c r="O92" i="15" s="1"/>
  <c r="M93" i="15"/>
  <c r="M94" i="15" l="1"/>
  <c r="N93" i="15"/>
  <c r="O93" i="15" s="1"/>
  <c r="N94" i="15" l="1"/>
  <c r="O94" i="15" s="1"/>
  <c r="M95" i="15"/>
  <c r="M96" i="15" l="1"/>
  <c r="N95" i="15"/>
  <c r="O95" i="15" s="1"/>
  <c r="M97" i="15" l="1"/>
  <c r="N96" i="15"/>
  <c r="M98" i="15" l="1"/>
  <c r="N97" i="15"/>
  <c r="M99" i="15" l="1"/>
  <c r="N98" i="15"/>
  <c r="O98" i="15" s="1"/>
  <c r="M100" i="15" l="1"/>
  <c r="N99" i="15"/>
  <c r="O99" i="15" s="1"/>
  <c r="M101" i="15" l="1"/>
  <c r="N100" i="15"/>
  <c r="O100" i="15" s="1"/>
  <c r="N101" i="15" l="1"/>
  <c r="O101" i="15" s="1"/>
  <c r="M102" i="15"/>
  <c r="N102" i="15" l="1"/>
  <c r="M103" i="15"/>
  <c r="M104" i="15" l="1"/>
  <c r="N103" i="15"/>
  <c r="M105" i="15" l="1"/>
  <c r="N104" i="15"/>
  <c r="M106" i="15" l="1"/>
  <c r="N105" i="15"/>
  <c r="O105" i="15" s="1"/>
  <c r="N106" i="15" l="1"/>
  <c r="O106" i="15" s="1"/>
  <c r="M107" i="15"/>
  <c r="N107" i="15" l="1"/>
  <c r="O107" i="15" s="1"/>
  <c r="M108" i="15"/>
  <c r="N108" i="15" l="1"/>
  <c r="O108" i="15" s="1"/>
  <c r="M109" i="15"/>
  <c r="M110" i="15" l="1"/>
  <c r="N109" i="15"/>
  <c r="O109" i="15" s="1"/>
  <c r="N110" i="15" l="1"/>
  <c r="O110" i="15" s="1"/>
  <c r="M111" i="15"/>
  <c r="M112" i="15" l="1"/>
  <c r="N111" i="15"/>
  <c r="O111" i="15" s="1"/>
  <c r="M113" i="15" l="1"/>
  <c r="N112" i="15"/>
  <c r="O112" i="15" s="1"/>
  <c r="M114" i="15" l="1"/>
  <c r="N113" i="15"/>
  <c r="O113" i="15" s="1"/>
  <c r="M115" i="15" l="1"/>
  <c r="N114" i="15"/>
  <c r="O114" i="15" s="1"/>
  <c r="M116" i="15" l="1"/>
  <c r="N115" i="15"/>
  <c r="N116" i="15" l="1"/>
  <c r="M117" i="15"/>
  <c r="M118" i="15" l="1"/>
  <c r="N117" i="15"/>
  <c r="M119" i="15" l="1"/>
  <c r="N118" i="15"/>
  <c r="O118" i="15" s="1"/>
  <c r="M120" i="15" l="1"/>
  <c r="N119" i="15"/>
  <c r="O119" i="15" s="1"/>
  <c r="M121" i="15" l="1"/>
  <c r="N120" i="15"/>
  <c r="O120" i="15" s="1"/>
  <c r="M122" i="15" l="1"/>
  <c r="N121" i="15"/>
  <c r="O121" i="15" s="1"/>
  <c r="M123" i="15" l="1"/>
  <c r="N122" i="15"/>
  <c r="O122" i="15" s="1"/>
  <c r="N123" i="15" l="1"/>
  <c r="O123" i="15" s="1"/>
  <c r="M124" i="15"/>
  <c r="M125" i="15" l="1"/>
  <c r="N124" i="15"/>
  <c r="O124" i="15" s="1"/>
  <c r="N125" i="15" l="1"/>
  <c r="O125" i="15" s="1"/>
  <c r="M126" i="15"/>
  <c r="N126" i="15" l="1"/>
  <c r="O126" i="15" s="1"/>
  <c r="M127" i="15"/>
  <c r="N127" i="15" l="1"/>
  <c r="O127" i="15" s="1"/>
  <c r="M128" i="15"/>
  <c r="N128" i="15" l="1"/>
  <c r="O128" i="15" s="1"/>
  <c r="M129" i="15"/>
  <c r="N129" i="15" l="1"/>
  <c r="O129" i="15" s="1"/>
  <c r="M130" i="15"/>
  <c r="M131" i="15" l="1"/>
  <c r="N130" i="15"/>
  <c r="O130" i="15" s="1"/>
  <c r="M132" i="15" l="1"/>
  <c r="N131" i="15"/>
  <c r="O131" i="15" s="1"/>
  <c r="N132" i="15" l="1"/>
  <c r="M133" i="15"/>
  <c r="N133" i="15" l="1"/>
  <c r="M134" i="15"/>
  <c r="N134" i="15" l="1"/>
  <c r="M135" i="15"/>
  <c r="M136" i="15" l="1"/>
  <c r="N135" i="15"/>
  <c r="M137" i="15" l="1"/>
  <c r="N136" i="15"/>
  <c r="O136" i="15" s="1"/>
  <c r="M138" i="15" l="1"/>
  <c r="N137" i="15"/>
  <c r="O137" i="15" s="1"/>
  <c r="M139" i="15" l="1"/>
  <c r="N138" i="15"/>
  <c r="O138" i="15" s="1"/>
  <c r="M140" i="15" l="1"/>
  <c r="N139" i="15"/>
  <c r="O139" i="15" s="1"/>
  <c r="N140" i="15" l="1"/>
  <c r="O140" i="15" s="1"/>
  <c r="M141" i="15"/>
  <c r="M142" i="15" l="1"/>
  <c r="N141" i="15"/>
  <c r="O141" i="15" s="1"/>
  <c r="M143" i="15" l="1"/>
  <c r="N142" i="15"/>
  <c r="O142" i="15" s="1"/>
  <c r="M144" i="15" l="1"/>
  <c r="N143" i="15"/>
  <c r="O143" i="15" s="1"/>
  <c r="N144" i="15" l="1"/>
  <c r="O144" i="15" s="1"/>
  <c r="M145" i="15"/>
  <c r="M146" i="15" l="1"/>
  <c r="N145" i="15"/>
  <c r="O145" i="15" s="1"/>
  <c r="M147" i="15" l="1"/>
  <c r="N146" i="15"/>
  <c r="O146" i="15" s="1"/>
  <c r="M148" i="15" l="1"/>
  <c r="N147" i="15"/>
  <c r="M149" i="15" l="1"/>
  <c r="N148" i="15"/>
  <c r="M150" i="15" l="1"/>
  <c r="N149" i="15"/>
  <c r="O149" i="15" s="1"/>
  <c r="N150" i="15" l="1"/>
  <c r="O150" i="15" s="1"/>
  <c r="M151" i="15"/>
  <c r="N151" i="15" l="1"/>
  <c r="O151" i="15" s="1"/>
  <c r="M152" i="15"/>
  <c r="M153" i="15" l="1"/>
  <c r="N152" i="15"/>
  <c r="O152" i="15" s="1"/>
  <c r="N153" i="15" l="1"/>
  <c r="O153" i="15" s="1"/>
  <c r="M154" i="15"/>
  <c r="N154" i="15" l="1"/>
  <c r="O154" i="15" s="1"/>
  <c r="M155" i="15"/>
  <c r="M156" i="15" l="1"/>
  <c r="N155" i="15"/>
  <c r="O155" i="15" s="1"/>
  <c r="M157" i="15" l="1"/>
  <c r="N156" i="15"/>
  <c r="O156" i="15" s="1"/>
  <c r="N157" i="15" l="1"/>
  <c r="O157" i="15" s="1"/>
  <c r="M158" i="15"/>
  <c r="M159" i="15" l="1"/>
  <c r="N158" i="15"/>
  <c r="M160" i="15" l="1"/>
  <c r="N159" i="15"/>
  <c r="O159" i="15" s="1"/>
  <c r="M161" i="15" l="1"/>
  <c r="N160" i="15"/>
  <c r="O160" i="15" s="1"/>
  <c r="M162" i="15" l="1"/>
  <c r="N161" i="15"/>
  <c r="O161" i="15" s="1"/>
  <c r="M163" i="15" l="1"/>
  <c r="N162" i="15"/>
  <c r="O162" i="15" s="1"/>
  <c r="M164" i="15" l="1"/>
  <c r="N163" i="15"/>
  <c r="O163" i="15" s="1"/>
  <c r="N164" i="15" l="1"/>
  <c r="O164" i="15" s="1"/>
  <c r="M165" i="15"/>
  <c r="N165" i="15" l="1"/>
  <c r="O165" i="15" s="1"/>
  <c r="M166" i="15"/>
  <c r="N166" i="15" l="1"/>
  <c r="O166" i="15" s="1"/>
  <c r="M167" i="15"/>
  <c r="M168" i="15" l="1"/>
  <c r="N167" i="15"/>
  <c r="O167" i="15" s="1"/>
  <c r="M169" i="15" l="1"/>
  <c r="N168" i="15"/>
  <c r="O168" i="15" s="1"/>
  <c r="N169" i="15" l="1"/>
  <c r="M170" i="15"/>
  <c r="M171" i="15" l="1"/>
  <c r="N170" i="15"/>
  <c r="N171" i="15" l="1"/>
  <c r="M172" i="15"/>
  <c r="N172" i="15" l="1"/>
  <c r="M173" i="15"/>
  <c r="M174" i="15" l="1"/>
  <c r="N173" i="15"/>
  <c r="O173" i="15" s="1"/>
  <c r="M175" i="15" l="1"/>
  <c r="N174" i="15"/>
  <c r="O174" i="15" s="1"/>
  <c r="M176" i="15" l="1"/>
  <c r="N175" i="15"/>
  <c r="O175" i="15" s="1"/>
  <c r="N176" i="15" l="1"/>
  <c r="O176" i="15" s="1"/>
  <c r="M177" i="15"/>
  <c r="N177" i="15" l="1"/>
  <c r="O177" i="15" s="1"/>
  <c r="M178" i="15"/>
  <c r="M179" i="15" l="1"/>
  <c r="N178" i="15"/>
  <c r="O178" i="15" s="1"/>
  <c r="M180" i="15" l="1"/>
  <c r="N179" i="15"/>
  <c r="O179" i="15" s="1"/>
  <c r="N180" i="15" l="1"/>
  <c r="O180" i="15" s="1"/>
  <c r="M181" i="15"/>
  <c r="N181" i="15" l="1"/>
  <c r="O181" i="15" s="1"/>
  <c r="M182" i="15"/>
  <c r="M183" i="15" l="1"/>
  <c r="N182" i="15"/>
  <c r="O182" i="15" s="1"/>
  <c r="M184" i="15" l="1"/>
  <c r="N183" i="15"/>
  <c r="O183" i="15" s="1"/>
  <c r="M185" i="15" l="1"/>
  <c r="N184" i="15"/>
  <c r="O184" i="15" s="1"/>
  <c r="M186" i="15" l="1"/>
  <c r="N185" i="15"/>
  <c r="O185" i="15" s="1"/>
  <c r="N186" i="15" l="1"/>
  <c r="M187" i="15"/>
  <c r="N187" i="15" l="1"/>
  <c r="M188" i="15"/>
  <c r="N188" i="15" l="1"/>
  <c r="O188" i="15" s="1"/>
  <c r="M189" i="15"/>
  <c r="M190" i="15" l="1"/>
  <c r="N189" i="15"/>
  <c r="O189" i="15" s="1"/>
  <c r="M191" i="15" l="1"/>
  <c r="N190" i="15"/>
  <c r="N191" i="15" l="1"/>
  <c r="M192" i="15"/>
  <c r="M193" i="15" l="1"/>
  <c r="N192" i="15"/>
  <c r="M194" i="15" l="1"/>
  <c r="N193" i="15"/>
  <c r="O193" i="15" s="1"/>
  <c r="N194" i="15" l="1"/>
  <c r="O194" i="15" s="1"/>
  <c r="M195" i="15"/>
  <c r="M196" i="15" l="1"/>
  <c r="N195" i="15"/>
  <c r="O195" i="15" s="1"/>
  <c r="M197" i="15" l="1"/>
  <c r="N196" i="15"/>
  <c r="O196" i="15" s="1"/>
  <c r="M198" i="15" l="1"/>
  <c r="N197" i="15"/>
  <c r="O197" i="15" s="1"/>
  <c r="N198" i="15" l="1"/>
  <c r="O198" i="15" s="1"/>
  <c r="M199" i="15"/>
  <c r="N199" i="15" l="1"/>
  <c r="O199" i="15" s="1"/>
  <c r="M200" i="15"/>
  <c r="M201" i="15" l="1"/>
  <c r="N200" i="15"/>
  <c r="O200" i="15" s="1"/>
  <c r="M202" i="15" l="1"/>
  <c r="N201" i="15"/>
  <c r="O201" i="15" s="1"/>
  <c r="N202" i="15" l="1"/>
  <c r="O202" i="15" s="1"/>
  <c r="M203" i="15"/>
  <c r="N203" i="15" l="1"/>
  <c r="O203" i="15" s="1"/>
  <c r="M204" i="15"/>
  <c r="N204" i="15" l="1"/>
  <c r="O204" i="15" s="1"/>
  <c r="M205" i="15"/>
  <c r="N205" i="15" l="1"/>
  <c r="O205" i="15" s="1"/>
  <c r="M206" i="15"/>
  <c r="N206" i="15" l="1"/>
  <c r="O206" i="15" s="1"/>
  <c r="M207" i="15"/>
  <c r="N207" i="15" l="1"/>
  <c r="M208" i="15"/>
  <c r="N208" i="15" l="1"/>
  <c r="M209" i="15"/>
  <c r="M210" i="15" l="1"/>
  <c r="N209" i="15"/>
  <c r="N210" i="15" l="1"/>
  <c r="O210" i="15" s="1"/>
  <c r="M211" i="15"/>
  <c r="M212" i="15" l="1"/>
  <c r="N211" i="15"/>
  <c r="O211" i="15" s="1"/>
  <c r="N212" i="15" l="1"/>
  <c r="O212" i="15" s="1"/>
  <c r="M213" i="15"/>
  <c r="N213" i="15" l="1"/>
  <c r="O213" i="15" s="1"/>
  <c r="M214" i="15"/>
  <c r="N214" i="15" l="1"/>
  <c r="O214" i="15" s="1"/>
  <c r="M215" i="15"/>
  <c r="M216" i="15" l="1"/>
  <c r="N215" i="15"/>
  <c r="O215" i="15" s="1"/>
  <c r="N216" i="15" l="1"/>
  <c r="O216" i="15" s="1"/>
  <c r="M217" i="15"/>
  <c r="M218" i="15" l="1"/>
  <c r="N217" i="15"/>
  <c r="O217" i="15" s="1"/>
  <c r="N218" i="15" l="1"/>
  <c r="O218" i="15" s="1"/>
  <c r="M219" i="15"/>
  <c r="N219" i="15" l="1"/>
  <c r="O219" i="15" s="1"/>
  <c r="M220" i="15"/>
  <c r="M221" i="15" l="1"/>
  <c r="N220" i="15"/>
  <c r="O220" i="15" s="1"/>
  <c r="M222" i="15" l="1"/>
  <c r="N221" i="15"/>
  <c r="O221" i="15" s="1"/>
  <c r="M223" i="15" l="1"/>
  <c r="N222" i="15"/>
  <c r="O222" i="15" s="1"/>
  <c r="N223" i="15" l="1"/>
  <c r="O223" i="15" s="1"/>
  <c r="M224" i="15"/>
  <c r="M225" i="15" l="1"/>
  <c r="N224" i="15"/>
  <c r="M226" i="15" l="1"/>
  <c r="N225" i="15"/>
  <c r="M227" i="15" l="1"/>
  <c r="N226" i="15"/>
  <c r="N227" i="15" l="1"/>
  <c r="O227" i="15" s="1"/>
  <c r="M228" i="15"/>
  <c r="N228" i="15" l="1"/>
  <c r="O228" i="15" s="1"/>
  <c r="M229" i="15"/>
  <c r="M230" i="15" l="1"/>
  <c r="N229" i="15"/>
  <c r="O229" i="15" s="1"/>
  <c r="M231" i="15" l="1"/>
  <c r="N230" i="15"/>
  <c r="O230" i="15" s="1"/>
  <c r="M232" i="15" l="1"/>
  <c r="N231" i="15"/>
  <c r="O231" i="15" s="1"/>
  <c r="M233" i="15" l="1"/>
  <c r="N232" i="15"/>
  <c r="O232" i="15" s="1"/>
  <c r="N233" i="15" l="1"/>
  <c r="M234" i="15"/>
  <c r="M235" i="15" l="1"/>
  <c r="N234" i="15"/>
  <c r="M236" i="15" l="1"/>
  <c r="N235" i="15"/>
  <c r="N236" i="15" l="1"/>
  <c r="M237" i="15"/>
  <c r="N237" i="15" l="1"/>
  <c r="O237" i="15" s="1"/>
  <c r="M238" i="15"/>
  <c r="N238" i="15" l="1"/>
  <c r="O238" i="15" s="1"/>
  <c r="M239" i="15"/>
  <c r="M240" i="15" l="1"/>
  <c r="N239" i="15"/>
  <c r="O239" i="15" s="1"/>
  <c r="M241" i="15" l="1"/>
  <c r="N240" i="15"/>
  <c r="O240" i="15" s="1"/>
  <c r="M242" i="15" l="1"/>
  <c r="N241" i="15"/>
  <c r="O241" i="15" s="1"/>
  <c r="M243" i="15" l="1"/>
  <c r="N242" i="15"/>
  <c r="O242" i="15" s="1"/>
  <c r="M244" i="15" l="1"/>
  <c r="N243" i="15"/>
  <c r="O243" i="15" s="1"/>
  <c r="M245" i="15" l="1"/>
  <c r="N244" i="15"/>
  <c r="O244" i="15" s="1"/>
  <c r="N245" i="15" l="1"/>
  <c r="O245" i="15" s="1"/>
  <c r="M246" i="15"/>
  <c r="N246" i="15" l="1"/>
  <c r="M247" i="15"/>
  <c r="N247" i="15" l="1"/>
  <c r="M248" i="15"/>
  <c r="M249" i="15" l="1"/>
  <c r="N248" i="15"/>
  <c r="O248" i="15" s="1"/>
  <c r="M250" i="15" l="1"/>
  <c r="N249" i="15"/>
  <c r="O249" i="15" s="1"/>
  <c r="M251" i="15" l="1"/>
  <c r="N250" i="15"/>
  <c r="O250" i="15" s="1"/>
  <c r="N251" i="15" l="1"/>
  <c r="O251" i="15" s="1"/>
  <c r="M252" i="15"/>
  <c r="M253" i="15" l="1"/>
  <c r="N252" i="15"/>
  <c r="O252" i="15" s="1"/>
  <c r="N253" i="15" l="1"/>
  <c r="O253" i="15" s="1"/>
  <c r="M254" i="15"/>
  <c r="M255" i="15" l="1"/>
  <c r="N254" i="15"/>
  <c r="O254" i="15" s="1"/>
  <c r="M256" i="15" l="1"/>
  <c r="N255" i="15"/>
  <c r="O255" i="15" s="1"/>
  <c r="M257" i="15" l="1"/>
  <c r="N256" i="15"/>
  <c r="O256" i="15" s="1"/>
  <c r="M258" i="15" l="1"/>
  <c r="N257" i="15"/>
  <c r="N258" i="15" l="1"/>
  <c r="M259" i="15"/>
  <c r="N259" i="15" l="1"/>
  <c r="M260" i="15"/>
  <c r="N260" i="15" l="1"/>
  <c r="M261" i="15"/>
  <c r="M262" i="15" l="1"/>
  <c r="N261" i="15"/>
  <c r="N262" i="15" l="1"/>
  <c r="O262" i="15" s="1"/>
  <c r="M263" i="15"/>
  <c r="M264" i="15" l="1"/>
  <c r="N263" i="15"/>
  <c r="O263" i="15" s="1"/>
  <c r="M265" i="15" l="1"/>
  <c r="N264" i="15"/>
  <c r="O264" i="15" s="1"/>
  <c r="M266" i="15" l="1"/>
  <c r="N265" i="15"/>
  <c r="O265" i="15" s="1"/>
  <c r="M267" i="15" l="1"/>
  <c r="N266" i="15"/>
  <c r="O266" i="15" s="1"/>
  <c r="N267" i="15" l="1"/>
  <c r="O267" i="15" s="1"/>
  <c r="M268" i="15"/>
  <c r="N268" i="15" l="1"/>
  <c r="O268" i="15" s="1"/>
  <c r="M269" i="15"/>
  <c r="N269" i="15" s="1"/>
  <c r="O269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Elektro_Planung.xlsx!Tabelle132" type="102" refreshedVersion="8" minRefreshableVersion="5">
    <extLst>
      <ext xmlns:x15="http://schemas.microsoft.com/office/spreadsheetml/2010/11/main" uri="{DE250136-89BD-433C-8126-D09CA5730AF9}">
        <x15:connection id="Tabelle132" autoDelete="1">
          <x15:rangePr sourceName="_xlcn.WorksheetConnection_Elektro_Planung.xlsxTabelle1321"/>
        </x15:connection>
      </ext>
    </extLst>
  </connection>
</connections>
</file>

<file path=xl/sharedStrings.xml><?xml version="1.0" encoding="utf-8"?>
<sst xmlns="http://schemas.openxmlformats.org/spreadsheetml/2006/main" count="10583" uniqueCount="1962">
  <si>
    <t>Bezeichnung</t>
  </si>
  <si>
    <t>(Mehrere Elemente)</t>
  </si>
  <si>
    <t>Anzahl von Geräte/Gewerke</t>
  </si>
  <si>
    <t>Verbindung</t>
  </si>
  <si>
    <t>Anzahl von Spots</t>
  </si>
  <si>
    <t>Geräte/Gewerke/Gewerke/Gewerke/Gewerke</t>
  </si>
  <si>
    <t>230 V AC</t>
  </si>
  <si>
    <t>230 V AC - Beschattung</t>
  </si>
  <si>
    <t>230 V AC - Heizung</t>
  </si>
  <si>
    <t>DALI</t>
  </si>
  <si>
    <t>KNX</t>
  </si>
  <si>
    <t>PoE</t>
  </si>
  <si>
    <t>Telefon</t>
  </si>
  <si>
    <t>24 V DC</t>
  </si>
  <si>
    <t>DIGITAL (potentialfrei)</t>
  </si>
  <si>
    <t>Gesamtergebnis</t>
  </si>
  <si>
    <t>Zeilenbeschriftungen</t>
  </si>
  <si>
    <t>Beleuchtung</t>
  </si>
  <si>
    <t>dimmbar</t>
  </si>
  <si>
    <t>nicht dimmbar</t>
  </si>
  <si>
    <t>Bad Eltern</t>
  </si>
  <si>
    <t>Beschattung</t>
  </si>
  <si>
    <t>Esszimmer</t>
  </si>
  <si>
    <t>Wohnzimmer</t>
  </si>
  <si>
    <t>Markise</t>
  </si>
  <si>
    <t>Bewässerung</t>
  </si>
  <si>
    <t>Ankleide</t>
  </si>
  <si>
    <t>Ventilaktor</t>
  </si>
  <si>
    <t>Flur</t>
  </si>
  <si>
    <t>Sensoren</t>
  </si>
  <si>
    <t>Galerie</t>
  </si>
  <si>
    <t>Bedienpanel</t>
  </si>
  <si>
    <t>Küche</t>
  </si>
  <si>
    <t>Bewegungsmelder</t>
  </si>
  <si>
    <t>Kontaktmelder</t>
  </si>
  <si>
    <t>Taster</t>
  </si>
  <si>
    <t>Anzahl von Kanälen</t>
  </si>
  <si>
    <t>Taster mit Temperaturmesser</t>
  </si>
  <si>
    <t>Taster smart</t>
  </si>
  <si>
    <t>Bewegungsmelder - außen</t>
  </si>
  <si>
    <t>Präsenzmelder</t>
  </si>
  <si>
    <t>Füllstandssensor</t>
  </si>
  <si>
    <t>Schalter</t>
  </si>
  <si>
    <t>Garagentor</t>
  </si>
  <si>
    <t>Feuermelder</t>
  </si>
  <si>
    <t>Wetterstation</t>
  </si>
  <si>
    <t>Steckdosen</t>
  </si>
  <si>
    <t>mit Schaltaktor</t>
  </si>
  <si>
    <t>ohne Schaltaktor</t>
  </si>
  <si>
    <t>Anschluss ohne Steckdose</t>
  </si>
  <si>
    <t>Zugriffskontrolle</t>
  </si>
  <si>
    <t>HeizungKlimaLüftung</t>
  </si>
  <si>
    <t>Heizungsaktor</t>
  </si>
  <si>
    <t>Schaltaktor</t>
  </si>
  <si>
    <t>Jalousieaktor</t>
  </si>
  <si>
    <t>Digital</t>
  </si>
  <si>
    <t>BM</t>
  </si>
  <si>
    <t>BM - außen</t>
  </si>
  <si>
    <t>PM</t>
  </si>
  <si>
    <t>Taster mit Temperatur</t>
  </si>
  <si>
    <t>Taster Smart</t>
  </si>
  <si>
    <t>Anzahl Kanäle/Geräte</t>
  </si>
  <si>
    <t>Anzahl Verbraucher</t>
  </si>
  <si>
    <t>Raumbuch</t>
  </si>
  <si>
    <t>Geräte</t>
  </si>
  <si>
    <t>Zone</t>
  </si>
  <si>
    <t>Zonennr.</t>
  </si>
  <si>
    <t>Raumcode</t>
  </si>
  <si>
    <t>Raumnr.</t>
  </si>
  <si>
    <t>Raum</t>
  </si>
  <si>
    <t>Gesamtnr.</t>
  </si>
  <si>
    <t>Geräte/Gewerke</t>
  </si>
  <si>
    <t>Kategorie</t>
  </si>
  <si>
    <t>Code</t>
  </si>
  <si>
    <t>Gesamtcode</t>
  </si>
  <si>
    <t>Installationszone</t>
  </si>
  <si>
    <t>oben</t>
  </si>
  <si>
    <t>Mitte</t>
  </si>
  <si>
    <t>Steckdose</t>
  </si>
  <si>
    <t>unten</t>
  </si>
  <si>
    <t>Steckdose 1</t>
  </si>
  <si>
    <t>fest</t>
  </si>
  <si>
    <t>Steckdose 2</t>
  </si>
  <si>
    <t>Decke</t>
  </si>
  <si>
    <t>E1</t>
  </si>
  <si>
    <t>HA1</t>
  </si>
  <si>
    <t>Steckdose Gefrierschrank</t>
  </si>
  <si>
    <t>Rollladen</t>
  </si>
  <si>
    <t>E2</t>
  </si>
  <si>
    <t>BM1</t>
  </si>
  <si>
    <t>BM2</t>
  </si>
  <si>
    <t>E3</t>
  </si>
  <si>
    <t>Steckdose Kühlschrank</t>
  </si>
  <si>
    <t>Boden</t>
  </si>
  <si>
    <t>Spot 1</t>
  </si>
  <si>
    <t>Spot 2</t>
  </si>
  <si>
    <t>Spot 3</t>
  </si>
  <si>
    <t>Spot 4</t>
  </si>
  <si>
    <t>Spot 5</t>
  </si>
  <si>
    <t>Spot 6</t>
  </si>
  <si>
    <t>Spot 7</t>
  </si>
  <si>
    <t>Spot 8</t>
  </si>
  <si>
    <t>E4</t>
  </si>
  <si>
    <t>PM1</t>
  </si>
  <si>
    <t>Ethernet</t>
  </si>
  <si>
    <t>B</t>
  </si>
  <si>
    <t>E5</t>
  </si>
  <si>
    <t>WC</t>
  </si>
  <si>
    <t>E6</t>
  </si>
  <si>
    <t>TS1</t>
  </si>
  <si>
    <t>Steckdose TV 1</t>
  </si>
  <si>
    <t>Steckdose TV 2</t>
  </si>
  <si>
    <t>E7</t>
  </si>
  <si>
    <t>Steckdose 3</t>
  </si>
  <si>
    <t>E8</t>
  </si>
  <si>
    <t>Garage</t>
  </si>
  <si>
    <t>Obergeschoss</t>
  </si>
  <si>
    <t>O1</t>
  </si>
  <si>
    <t>Kinderzimmer 1</t>
  </si>
  <si>
    <t>O2</t>
  </si>
  <si>
    <t>O3</t>
  </si>
  <si>
    <t>Steckdose 4</t>
  </si>
  <si>
    <t>O4</t>
  </si>
  <si>
    <t>O5</t>
  </si>
  <si>
    <t>O6</t>
  </si>
  <si>
    <t>Kinderzimmer 2</t>
  </si>
  <si>
    <t>O7</t>
  </si>
  <si>
    <t>Studio</t>
  </si>
  <si>
    <t>Verteilerschrank</t>
  </si>
  <si>
    <t>Anzahl Reihenklemme</t>
  </si>
  <si>
    <t>Hilfe1</t>
  </si>
  <si>
    <t>Hilfe2</t>
  </si>
  <si>
    <t>Reihenklemme</t>
  </si>
  <si>
    <t>Aktor</t>
  </si>
  <si>
    <t>Aktorkanal</t>
  </si>
  <si>
    <t>RCD</t>
  </si>
  <si>
    <t>LS</t>
  </si>
  <si>
    <t>UKNX</t>
  </si>
  <si>
    <t>-</t>
  </si>
  <si>
    <t>IPKNX</t>
  </si>
  <si>
    <t>SA1</t>
  </si>
  <si>
    <t>Out1</t>
  </si>
  <si>
    <t>RCD1</t>
  </si>
  <si>
    <t>LS1</t>
  </si>
  <si>
    <t>Out2</t>
  </si>
  <si>
    <t>SA3</t>
  </si>
  <si>
    <t>LS4</t>
  </si>
  <si>
    <t>JA3</t>
  </si>
  <si>
    <t>F</t>
  </si>
  <si>
    <t>LS2</t>
  </si>
  <si>
    <t>Out3</t>
  </si>
  <si>
    <t>G</t>
  </si>
  <si>
    <t>Out4</t>
  </si>
  <si>
    <t>LS5</t>
  </si>
  <si>
    <t>BE2</t>
  </si>
  <si>
    <t>L</t>
  </si>
  <si>
    <t>Out5</t>
  </si>
  <si>
    <t>LS6</t>
  </si>
  <si>
    <t>RCD3</t>
  </si>
  <si>
    <t>LS20</t>
  </si>
  <si>
    <t>LS19</t>
  </si>
  <si>
    <t>BE1</t>
  </si>
  <si>
    <t>A</t>
  </si>
  <si>
    <t>RCD2</t>
  </si>
  <si>
    <t>LS12</t>
  </si>
  <si>
    <t>LS13</t>
  </si>
  <si>
    <t>LS14</t>
  </si>
  <si>
    <t>JA1</t>
  </si>
  <si>
    <t>Out6</t>
  </si>
  <si>
    <t>LS11</t>
  </si>
  <si>
    <t>LS9</t>
  </si>
  <si>
    <t>LS15</t>
  </si>
  <si>
    <t>Out7</t>
  </si>
  <si>
    <t>Out8</t>
  </si>
  <si>
    <t>LS22</t>
  </si>
  <si>
    <t>LS23</t>
  </si>
  <si>
    <t>LS28</t>
  </si>
  <si>
    <t>LS24</t>
  </si>
  <si>
    <t>C</t>
  </si>
  <si>
    <t>LS21</t>
  </si>
  <si>
    <t>Out9</t>
  </si>
  <si>
    <t>Out19</t>
  </si>
  <si>
    <t>Out10</t>
  </si>
  <si>
    <t>LS17</t>
  </si>
  <si>
    <t>LS25, LS26, LS27</t>
  </si>
  <si>
    <t>Out11</t>
  </si>
  <si>
    <t>Out12</t>
  </si>
  <si>
    <t>D</t>
  </si>
  <si>
    <t>Out13</t>
  </si>
  <si>
    <t>LS16</t>
  </si>
  <si>
    <t>LS10</t>
  </si>
  <si>
    <t>E</t>
  </si>
  <si>
    <t>Out14</t>
  </si>
  <si>
    <t>LS29</t>
  </si>
  <si>
    <t>LS30</t>
  </si>
  <si>
    <t>LEDC1</t>
  </si>
  <si>
    <t>TW1</t>
  </si>
  <si>
    <t>Out15</t>
  </si>
  <si>
    <t>H</t>
  </si>
  <si>
    <t>LS18</t>
  </si>
  <si>
    <t>JA2</t>
  </si>
  <si>
    <t>TW2</t>
  </si>
  <si>
    <t>LS31</t>
  </si>
  <si>
    <t>Out16</t>
  </si>
  <si>
    <t>Out17</t>
  </si>
  <si>
    <t>SA2</t>
  </si>
  <si>
    <t>LS8</t>
  </si>
  <si>
    <t>LS3</t>
  </si>
  <si>
    <t>LS7</t>
  </si>
  <si>
    <t>Out18</t>
  </si>
  <si>
    <t>RCD5</t>
  </si>
  <si>
    <t>LS59</t>
  </si>
  <si>
    <t>LS61</t>
  </si>
  <si>
    <t>LS57</t>
  </si>
  <si>
    <t>Out20</t>
  </si>
  <si>
    <t>LS60</t>
  </si>
  <si>
    <t>LS58</t>
  </si>
  <si>
    <t>Out21</t>
  </si>
  <si>
    <t>RCD4</t>
  </si>
  <si>
    <t>LS37</t>
  </si>
  <si>
    <t>LEDC2</t>
  </si>
  <si>
    <t>RCD6</t>
  </si>
  <si>
    <t>LS65</t>
  </si>
  <si>
    <t>LS69</t>
  </si>
  <si>
    <t>LS41</t>
  </si>
  <si>
    <t>Out22</t>
  </si>
  <si>
    <t>LS42</t>
  </si>
  <si>
    <t>LS43</t>
  </si>
  <si>
    <t>LS39</t>
  </si>
  <si>
    <t>Out23</t>
  </si>
  <si>
    <t>LS66</t>
  </si>
  <si>
    <t>Out24</t>
  </si>
  <si>
    <t>LS68</t>
  </si>
  <si>
    <t>LS67</t>
  </si>
  <si>
    <t>LS38</t>
  </si>
  <si>
    <t>HA2</t>
  </si>
  <si>
    <t>LS44</t>
  </si>
  <si>
    <t>LS62</t>
  </si>
  <si>
    <t>I</t>
  </si>
  <si>
    <t>LS63</t>
  </si>
  <si>
    <t>J</t>
  </si>
  <si>
    <t>K</t>
  </si>
  <si>
    <t>LS70</t>
  </si>
  <si>
    <t>Gruppenadressen</t>
  </si>
  <si>
    <t>Gewerke</t>
  </si>
  <si>
    <t>Hauptgruppe</t>
  </si>
  <si>
    <t>Funktionsbereiche</t>
  </si>
  <si>
    <t>Mittelgruppe</t>
  </si>
  <si>
    <t>Funktion</t>
  </si>
  <si>
    <t>Untergruppe</t>
  </si>
  <si>
    <t>Gruppenadresse (HG/-/-)</t>
  </si>
  <si>
    <t>Gruppenadresse (HG/MG/-)</t>
  </si>
  <si>
    <t>Gruppenadresse</t>
  </si>
  <si>
    <t>Beschreibung</t>
  </si>
  <si>
    <t>A1.SSt1</t>
  </si>
  <si>
    <t>Zentral</t>
  </si>
  <si>
    <t>A2.SSt1</t>
  </si>
  <si>
    <t>E8.SSt1</t>
  </si>
  <si>
    <t>E8.SSt2</t>
  </si>
  <si>
    <t>N2.An1</t>
  </si>
  <si>
    <t>O1.SSt1</t>
  </si>
  <si>
    <t>O5.SSt1</t>
  </si>
  <si>
    <t>O5.SSt2</t>
  </si>
  <si>
    <t>O6.SSt1</t>
  </si>
  <si>
    <t>O8.SSt1</t>
  </si>
  <si>
    <t>E3.SSt1</t>
  </si>
  <si>
    <t>A3.SSt1</t>
  </si>
  <si>
    <t>A5.SSt1</t>
  </si>
  <si>
    <t>A6.SSt1</t>
  </si>
  <si>
    <t>E2.SSt1</t>
  </si>
  <si>
    <t>E4.SSt1</t>
  </si>
  <si>
    <t>E4.An2</t>
  </si>
  <si>
    <t>E6.SSt1</t>
  </si>
  <si>
    <t>E7.SSt1</t>
  </si>
  <si>
    <t>Schalten (EIN/AUS)</t>
  </si>
  <si>
    <t>Timer</t>
  </si>
  <si>
    <t>Rückmeldung Schalten (EIN/AUS)</t>
  </si>
  <si>
    <t>Rückmeldung Wert</t>
  </si>
  <si>
    <t>Status</t>
  </si>
  <si>
    <t>Diagnose</t>
  </si>
  <si>
    <t>Sperren</t>
  </si>
  <si>
    <t>A2.BMR1</t>
  </si>
  <si>
    <t>A3.BMR1</t>
  </si>
  <si>
    <t>E8.BJ2</t>
  </si>
  <si>
    <t>E8.BJ3</t>
  </si>
  <si>
    <t>O1.BR1</t>
  </si>
  <si>
    <t>Auf/Ab</t>
  </si>
  <si>
    <t>O3.BR1</t>
  </si>
  <si>
    <t>O3.BR2</t>
  </si>
  <si>
    <t>O4.BR1</t>
  </si>
  <si>
    <t>O5.BR1</t>
  </si>
  <si>
    <t>O6.BR1</t>
  </si>
  <si>
    <t>O6.BR2</t>
  </si>
  <si>
    <t>E1.BR1</t>
  </si>
  <si>
    <t>O7.BR1</t>
  </si>
  <si>
    <t>O8.BR1</t>
  </si>
  <si>
    <t>O8.BR2</t>
  </si>
  <si>
    <t>E3.BJ1</t>
  </si>
  <si>
    <t>E3.BR1</t>
  </si>
  <si>
    <t>E5.BR1</t>
  </si>
  <si>
    <t>E6.BR1</t>
  </si>
  <si>
    <t>E6.BR2</t>
  </si>
  <si>
    <t>E7.BJ1</t>
  </si>
  <si>
    <t>E8.BJ1</t>
  </si>
  <si>
    <t>Lamellenverstellung/Stopp</t>
  </si>
  <si>
    <t>Absolute Position</t>
  </si>
  <si>
    <t>Absolute Lamellenposition</t>
  </si>
  <si>
    <t>Referenz</t>
  </si>
  <si>
    <t>Richtung</t>
  </si>
  <si>
    <t>O1.BR2</t>
  </si>
  <si>
    <t>A1.L1</t>
  </si>
  <si>
    <t>A1.L2</t>
  </si>
  <si>
    <t>E5.L2</t>
  </si>
  <si>
    <t>E6.L1</t>
  </si>
  <si>
    <t>E7.L1</t>
  </si>
  <si>
    <t>E8.L1</t>
  </si>
  <si>
    <t>N1.L1</t>
  </si>
  <si>
    <t>N2.L1</t>
  </si>
  <si>
    <t>O1.L1</t>
  </si>
  <si>
    <t>O1.L2</t>
  </si>
  <si>
    <t>O2.L1</t>
  </si>
  <si>
    <t>O3.L1</t>
  </si>
  <si>
    <t>A2.L1</t>
  </si>
  <si>
    <t>O4.L1</t>
  </si>
  <si>
    <t>O5.L1</t>
  </si>
  <si>
    <t>O5.L5</t>
  </si>
  <si>
    <t>O6.L1</t>
  </si>
  <si>
    <t>O6.L2</t>
  </si>
  <si>
    <t>O7.L1</t>
  </si>
  <si>
    <t>O8.L1</t>
  </si>
  <si>
    <t>O8.L2</t>
  </si>
  <si>
    <t>O8.L3</t>
  </si>
  <si>
    <t>E7.LD1</t>
  </si>
  <si>
    <t>A3.L1</t>
  </si>
  <si>
    <t>E8.LD1</t>
  </si>
  <si>
    <t>O3.LD1</t>
  </si>
  <si>
    <t>O4.LD1</t>
  </si>
  <si>
    <t>E4.L1</t>
  </si>
  <si>
    <t>A7.L1</t>
  </si>
  <si>
    <t>E1.L1</t>
  </si>
  <si>
    <t>E2.L1</t>
  </si>
  <si>
    <t>E2.L4</t>
  </si>
  <si>
    <t>E3.L1</t>
  </si>
  <si>
    <t>E5.L1</t>
  </si>
  <si>
    <t>Dimmen relativ</t>
  </si>
  <si>
    <t>Dimmen absolut</t>
  </si>
  <si>
    <t>Wärmer/Kälter</t>
  </si>
  <si>
    <t>Rückmeldung Dimmer Wert</t>
  </si>
  <si>
    <t>Rückmeldung Farbtemperatur Wert</t>
  </si>
  <si>
    <t>E1.HA1</t>
  </si>
  <si>
    <t>E4.HA1</t>
  </si>
  <si>
    <t>O8.HA1</t>
  </si>
  <si>
    <t>E5.HA1</t>
  </si>
  <si>
    <t>E6.HA1</t>
  </si>
  <si>
    <t>E7.HA1</t>
  </si>
  <si>
    <t>O1.HA1</t>
  </si>
  <si>
    <t>O3.HA1</t>
  </si>
  <si>
    <t>O4.HA1</t>
  </si>
  <si>
    <t>O6.HA1</t>
  </si>
  <si>
    <t>O7.HA1</t>
  </si>
  <si>
    <t>Temperatur Sollwertverschiebung</t>
  </si>
  <si>
    <t>Lüften</t>
  </si>
  <si>
    <t>Rückmeldung Sollwert</t>
  </si>
  <si>
    <t>Betriebsart</t>
  </si>
  <si>
    <t>Rückmeldung Stellwert</t>
  </si>
  <si>
    <t>A1.BMA1</t>
  </si>
  <si>
    <t>Präsenz/Bewegung</t>
  </si>
  <si>
    <t>A2.BMA1</t>
  </si>
  <si>
    <t>O4.BM1</t>
  </si>
  <si>
    <t>O5.PM1</t>
  </si>
  <si>
    <t>E2.BM1</t>
  </si>
  <si>
    <t>E2.BM2</t>
  </si>
  <si>
    <t>E4.PM1</t>
  </si>
  <si>
    <t>E4.PM2</t>
  </si>
  <si>
    <t>N1.PM1</t>
  </si>
  <si>
    <t>N2.PM1</t>
  </si>
  <si>
    <t>O2.PM1</t>
  </si>
  <si>
    <t>O3.BM1</t>
  </si>
  <si>
    <t>Raumluftdruck</t>
  </si>
  <si>
    <t>E1.TT1</t>
  </si>
  <si>
    <t>Raumtemperatur</t>
  </si>
  <si>
    <t>E3.TT1</t>
  </si>
  <si>
    <t>O6.TS1</t>
  </si>
  <si>
    <t>O7.TT1</t>
  </si>
  <si>
    <t>O8.TS1</t>
  </si>
  <si>
    <t>E5.TT1</t>
  </si>
  <si>
    <t>E6.TS1</t>
  </si>
  <si>
    <t>E7.TS1</t>
  </si>
  <si>
    <t>O1.TS1</t>
  </si>
  <si>
    <t>O3.TS1</t>
  </si>
  <si>
    <t>O4.TS1</t>
  </si>
  <si>
    <t>Raumluftqualität</t>
  </si>
  <si>
    <t>Raumfeuchte</t>
  </si>
  <si>
    <t>A8.WS1</t>
  </si>
  <si>
    <t>Außenbedingungen</t>
  </si>
  <si>
    <t>A6.FSS1</t>
  </si>
  <si>
    <t>A7.T1</t>
  </si>
  <si>
    <t>Kontakt</t>
  </si>
  <si>
    <t>E1.KM1</t>
  </si>
  <si>
    <t>O1.KM1</t>
  </si>
  <si>
    <t>O1.KM2</t>
  </si>
  <si>
    <t>O3.KM1</t>
  </si>
  <si>
    <t>O4.KM1</t>
  </si>
  <si>
    <t>O5.KM1</t>
  </si>
  <si>
    <t>O6.KM1</t>
  </si>
  <si>
    <t>O6.KM2</t>
  </si>
  <si>
    <t>O7.KM1</t>
  </si>
  <si>
    <t>O8.KM1</t>
  </si>
  <si>
    <t>O8.KM2</t>
  </si>
  <si>
    <t>E2.TI1</t>
  </si>
  <si>
    <t>E4.KM1</t>
  </si>
  <si>
    <t>E5.KM1</t>
  </si>
  <si>
    <t>E6.KM1</t>
  </si>
  <si>
    <t>E6.KM2</t>
  </si>
  <si>
    <t>E7.UM1</t>
  </si>
  <si>
    <t>E8.KM1</t>
  </si>
  <si>
    <t>E8.KM2</t>
  </si>
  <si>
    <t>N2.VA1</t>
  </si>
  <si>
    <t>N2.VA2</t>
  </si>
  <si>
    <t>N2.VA3</t>
  </si>
  <si>
    <t>N2.VA4</t>
  </si>
  <si>
    <t>N2.VA5</t>
  </si>
  <si>
    <t>N2.VA6</t>
  </si>
  <si>
    <t>N2.VA7</t>
  </si>
  <si>
    <t>N2.VA8</t>
  </si>
  <si>
    <t>A1.TK1</t>
  </si>
  <si>
    <t>Tür öffnen</t>
  </si>
  <si>
    <t>Tür auf/abschließen</t>
  </si>
  <si>
    <t>0/-/-</t>
  </si>
  <si>
    <t>Auto</t>
  </si>
  <si>
    <t>0/0/-</t>
  </si>
  <si>
    <t>Umweltbedingungen</t>
  </si>
  <si>
    <t>0/1/-</t>
  </si>
  <si>
    <t>Datum/Uhrzeit</t>
  </si>
  <si>
    <t>0/2/-</t>
  </si>
  <si>
    <t>Sonderfunktionen</t>
  </si>
  <si>
    <t>0/3/-</t>
  </si>
  <si>
    <t>Szenen</t>
  </si>
  <si>
    <t>0/4/-</t>
  </si>
  <si>
    <t>0/5/-</t>
  </si>
  <si>
    <t>0/6/-</t>
  </si>
  <si>
    <t>0/7/-</t>
  </si>
  <si>
    <t>0/8/-</t>
  </si>
  <si>
    <t>1/-/-</t>
  </si>
  <si>
    <t>1/0/-</t>
  </si>
  <si>
    <t>A1.SSt1_Außenbereich_Eingang_Steckdose</t>
  </si>
  <si>
    <t>1/0/0</t>
  </si>
  <si>
    <t>SA3 Out1</t>
  </si>
  <si>
    <t>A2.SSt1_Außenbereich_Terrasse Süd_Steckdose</t>
  </si>
  <si>
    <t>1/0/1</t>
  </si>
  <si>
    <t>SA3 Out2</t>
  </si>
  <si>
    <t>E8.SSt1_Erdeschoss_Esszimmer_Steckdose 1</t>
  </si>
  <si>
    <t>1/0/10</t>
  </si>
  <si>
    <t>SA3 Out11</t>
  </si>
  <si>
    <t>E8.SSt2_Erdeschoss_Esszimmer_Steckdose 2</t>
  </si>
  <si>
    <t>1/0/11</t>
  </si>
  <si>
    <t>SA3 Out12</t>
  </si>
  <si>
    <t>N2.An1_Nebengebäude_Technikraum_Anschluss Frischwasserventil</t>
  </si>
  <si>
    <t>1/0/12</t>
  </si>
  <si>
    <t>SA3 Out13</t>
  </si>
  <si>
    <t>O1.SSt1_Obergeschoss_Kinderzimmer 1_TV 1</t>
  </si>
  <si>
    <t>1/0/13</t>
  </si>
  <si>
    <t>SA3 Out14</t>
  </si>
  <si>
    <t>O5.SSt1_Obergeschoss_Ankleide_Steckdose Schranklichter links</t>
  </si>
  <si>
    <t>1/0/14</t>
  </si>
  <si>
    <t>SA3 Out15</t>
  </si>
  <si>
    <t>O5.SSt2_Obergeschoss_Ankleide_Steckdose Schranklichter rechts</t>
  </si>
  <si>
    <t>1/0/15</t>
  </si>
  <si>
    <t>SA3 Out16</t>
  </si>
  <si>
    <t>O6.SSt1_Obergeschoss_Kinderzimmer 2_TV 1</t>
  </si>
  <si>
    <t>1/0/16</t>
  </si>
  <si>
    <t>SA3 Out17</t>
  </si>
  <si>
    <t>O8.SSt1_Obergeschoss_Schlafzimmer Eltern_TV 1</t>
  </si>
  <si>
    <t>1/0/17</t>
  </si>
  <si>
    <t>SA3 Out18</t>
  </si>
  <si>
    <t>E3.SSt1_Erdeschoss_Küche_Steckdose Schranklicht</t>
  </si>
  <si>
    <t>1/0/18</t>
  </si>
  <si>
    <t>SA3 Out19</t>
  </si>
  <si>
    <t>A3.SSt1_Außenbereich_Terrasse Ost_Steckdose</t>
  </si>
  <si>
    <t>1/0/2</t>
  </si>
  <si>
    <t>SA3 Out3</t>
  </si>
  <si>
    <t>A5.SSt1_Außenbereich_Garten Süd_Steckdose 1</t>
  </si>
  <si>
    <t>1/0/3</t>
  </si>
  <si>
    <t>SA3 Out4</t>
  </si>
  <si>
    <t>A6.SSt1_Außenbereich_Garten Ost_Steckdose 1</t>
  </si>
  <si>
    <t>1/0/4</t>
  </si>
  <si>
    <t>SA3 Out5</t>
  </si>
  <si>
    <t>E2.SSt1_Erdeschoss_Treppe_Steckdose 1</t>
  </si>
  <si>
    <t>1/0/5</t>
  </si>
  <si>
    <t>SA3 Out6</t>
  </si>
  <si>
    <t>E4.SSt1_Erdeschoss_Flur_Signal Gong</t>
  </si>
  <si>
    <t>1/0/6</t>
  </si>
  <si>
    <t>SA3 Out7</t>
  </si>
  <si>
    <t>E4.An2_Erdeschoss_Flur_Elektrisches Türschloss</t>
  </si>
  <si>
    <t>1/0/7</t>
  </si>
  <si>
    <t>SA3 Out8</t>
  </si>
  <si>
    <t>E6.SSt1_Erdeschoss_Gästezimmer_Steckdose TV 1</t>
  </si>
  <si>
    <t>1/0/8</t>
  </si>
  <si>
    <t>SA3 Out9</t>
  </si>
  <si>
    <t>E7.SSt1_Erdeschoss_Wohnzimmer_Steckdose TV</t>
  </si>
  <si>
    <t>1/0/9</t>
  </si>
  <si>
    <t>SA3 Out10</t>
  </si>
  <si>
    <t>1/1/-</t>
  </si>
  <si>
    <t>1/1/0</t>
  </si>
  <si>
    <t>1/1/1</t>
  </si>
  <si>
    <t>1/1/10</t>
  </si>
  <si>
    <t>1/1/11</t>
  </si>
  <si>
    <t>1/1/12</t>
  </si>
  <si>
    <t>1/1/13</t>
  </si>
  <si>
    <t>1/1/14</t>
  </si>
  <si>
    <t>1/1/15</t>
  </si>
  <si>
    <t>1/1/16</t>
  </si>
  <si>
    <t>1/1/17</t>
  </si>
  <si>
    <t>1/1/18</t>
  </si>
  <si>
    <t>1/1/2</t>
  </si>
  <si>
    <t>1/1/3</t>
  </si>
  <si>
    <t>1/1/4</t>
  </si>
  <si>
    <t>1/1/5</t>
  </si>
  <si>
    <t>1/1/6</t>
  </si>
  <si>
    <t>1/1/7</t>
  </si>
  <si>
    <t>1/1/8</t>
  </si>
  <si>
    <t>1/1/9</t>
  </si>
  <si>
    <t>1/2/-</t>
  </si>
  <si>
    <t>1/2/0</t>
  </si>
  <si>
    <t>1/2/1</t>
  </si>
  <si>
    <t>1/2/10</t>
  </si>
  <si>
    <t>1/2/11</t>
  </si>
  <si>
    <t>1/2/12</t>
  </si>
  <si>
    <t>1/2/13</t>
  </si>
  <si>
    <t>1/2/14</t>
  </si>
  <si>
    <t>1/2/15</t>
  </si>
  <si>
    <t>1/2/16</t>
  </si>
  <si>
    <t>1/2/17</t>
  </si>
  <si>
    <t>1/2/18</t>
  </si>
  <si>
    <t>1/2/2</t>
  </si>
  <si>
    <t>1/2/3</t>
  </si>
  <si>
    <t>1/2/4</t>
  </si>
  <si>
    <t>1/2/5</t>
  </si>
  <si>
    <t>1/2/6</t>
  </si>
  <si>
    <t>1/2/7</t>
  </si>
  <si>
    <t>1/2/8</t>
  </si>
  <si>
    <t>1/2/9</t>
  </si>
  <si>
    <t>1/3/-</t>
  </si>
  <si>
    <t>1/3/0</t>
  </si>
  <si>
    <t>1/3/1</t>
  </si>
  <si>
    <t>1/3/10</t>
  </si>
  <si>
    <t>1/3/11</t>
  </si>
  <si>
    <t>1/3/12</t>
  </si>
  <si>
    <t>1/3/13</t>
  </si>
  <si>
    <t>1/3/14</t>
  </si>
  <si>
    <t>1/3/15</t>
  </si>
  <si>
    <t>1/3/16</t>
  </si>
  <si>
    <t>1/3/17</t>
  </si>
  <si>
    <t>1/3/18</t>
  </si>
  <si>
    <t>1/3/2</t>
  </si>
  <si>
    <t>1/3/3</t>
  </si>
  <si>
    <t>1/3/4</t>
  </si>
  <si>
    <t>1/3/5</t>
  </si>
  <si>
    <t>1/3/6</t>
  </si>
  <si>
    <t>1/3/7</t>
  </si>
  <si>
    <t>1/3/8</t>
  </si>
  <si>
    <t>1/3/9</t>
  </si>
  <si>
    <t>1/4/-</t>
  </si>
  <si>
    <t>1/4/0</t>
  </si>
  <si>
    <t>1/4/1</t>
  </si>
  <si>
    <t>1/4/10</t>
  </si>
  <si>
    <t>1/4/11</t>
  </si>
  <si>
    <t>1/4/12</t>
  </si>
  <si>
    <t>1/4/13</t>
  </si>
  <si>
    <t>1/4/14</t>
  </si>
  <si>
    <t>1/4/15</t>
  </si>
  <si>
    <t>1/4/16</t>
  </si>
  <si>
    <t>1/4/17</t>
  </si>
  <si>
    <t>1/4/18</t>
  </si>
  <si>
    <t>1/4/2</t>
  </si>
  <si>
    <t>1/4/3</t>
  </si>
  <si>
    <t>1/4/4</t>
  </si>
  <si>
    <t>1/4/5</t>
  </si>
  <si>
    <t>1/4/6</t>
  </si>
  <si>
    <t>1/4/7</t>
  </si>
  <si>
    <t>1/4/8</t>
  </si>
  <si>
    <t>1/4/9</t>
  </si>
  <si>
    <t>1/5/-</t>
  </si>
  <si>
    <t>1/5/0</t>
  </si>
  <si>
    <t>1/5/1</t>
  </si>
  <si>
    <t>1/5/10</t>
  </si>
  <si>
    <t>1/5/11</t>
  </si>
  <si>
    <t>1/5/12</t>
  </si>
  <si>
    <t>1/5/13</t>
  </si>
  <si>
    <t>1/5/14</t>
  </si>
  <si>
    <t>1/5/15</t>
  </si>
  <si>
    <t>1/5/16</t>
  </si>
  <si>
    <t>1/5/17</t>
  </si>
  <si>
    <t>1/5/18</t>
  </si>
  <si>
    <t>1/5/2</t>
  </si>
  <si>
    <t>1/5/3</t>
  </si>
  <si>
    <t>1/5/4</t>
  </si>
  <si>
    <t>1/5/5</t>
  </si>
  <si>
    <t>1/5/6</t>
  </si>
  <si>
    <t>1/5/7</t>
  </si>
  <si>
    <t>1/5/8</t>
  </si>
  <si>
    <t>1/5/9</t>
  </si>
  <si>
    <t>1/6/-</t>
  </si>
  <si>
    <t>1/6/0</t>
  </si>
  <si>
    <t>1/6/1</t>
  </si>
  <si>
    <t>1/6/10</t>
  </si>
  <si>
    <t>1/6/11</t>
  </si>
  <si>
    <t>1/6/12</t>
  </si>
  <si>
    <t>1/6/13</t>
  </si>
  <si>
    <t>1/6/14</t>
  </si>
  <si>
    <t>1/6/15</t>
  </si>
  <si>
    <t>1/6/16</t>
  </si>
  <si>
    <t>1/6/17</t>
  </si>
  <si>
    <t>1/6/18</t>
  </si>
  <si>
    <t>1/6/2</t>
  </si>
  <si>
    <t>1/6/3</t>
  </si>
  <si>
    <t>1/6/4</t>
  </si>
  <si>
    <t>1/6/5</t>
  </si>
  <si>
    <t>1/6/6</t>
  </si>
  <si>
    <t>1/6/7</t>
  </si>
  <si>
    <t>1/6/8</t>
  </si>
  <si>
    <t>1/6/9</t>
  </si>
  <si>
    <t>1/7/-</t>
  </si>
  <si>
    <t>1/7/0</t>
  </si>
  <si>
    <t>1/7/1</t>
  </si>
  <si>
    <t>1/7/10</t>
  </si>
  <si>
    <t>1/7/11</t>
  </si>
  <si>
    <t>1/7/12</t>
  </si>
  <si>
    <t>1/7/13</t>
  </si>
  <si>
    <t>1/7/14</t>
  </si>
  <si>
    <t>1/7/15</t>
  </si>
  <si>
    <t>1/7/16</t>
  </si>
  <si>
    <t>1/7/17</t>
  </si>
  <si>
    <t>1/7/18</t>
  </si>
  <si>
    <t>1/7/2</t>
  </si>
  <si>
    <t>1/7/3</t>
  </si>
  <si>
    <t>1/7/4</t>
  </si>
  <si>
    <t>1/7/5</t>
  </si>
  <si>
    <t>1/7/6</t>
  </si>
  <si>
    <t>1/7/7</t>
  </si>
  <si>
    <t>1/7/8</t>
  </si>
  <si>
    <t>1/7/9</t>
  </si>
  <si>
    <t>1/8/-</t>
  </si>
  <si>
    <t>2/-/-</t>
  </si>
  <si>
    <t>2/0/-</t>
  </si>
  <si>
    <t>A2.BMR1_Außenbereich_Terrasse Süd_Markise</t>
  </si>
  <si>
    <t>2/0/0</t>
  </si>
  <si>
    <t>JA3 F</t>
  </si>
  <si>
    <t>A3.BMR1_Außenbereich_Terrasse Ost_Markise</t>
  </si>
  <si>
    <t>2/0/1</t>
  </si>
  <si>
    <t>JA3 G</t>
  </si>
  <si>
    <t>E8.BJ2_Erdeschoss_Esszimmer_Jalousie Fenster Ost</t>
  </si>
  <si>
    <t>2/0/10</t>
  </si>
  <si>
    <t>JA2 A</t>
  </si>
  <si>
    <t>E8.BJ3_Erdeschoss_Esszimmer_Jalousie Tür Ost</t>
  </si>
  <si>
    <t>2/0/11</t>
  </si>
  <si>
    <t>JA2 B</t>
  </si>
  <si>
    <t>O1.BR1_Obergeschoss_Kinderzimmer 1_Rollladen Fenster Nord</t>
  </si>
  <si>
    <t>2/0/12</t>
  </si>
  <si>
    <t>JA2 C</t>
  </si>
  <si>
    <t>O3.BR1_Obergeschoss_Bad Eltern_Rollladen Festverglasung Nord</t>
  </si>
  <si>
    <t>2/0/14</t>
  </si>
  <si>
    <t>JA2 E</t>
  </si>
  <si>
    <t>O3.BR2_Obergeschoss_Bad Eltern_Rollladen Fenster Ost</t>
  </si>
  <si>
    <t>2/0/15</t>
  </si>
  <si>
    <t>JA2 F</t>
  </si>
  <si>
    <t xml:space="preserve">O4.BR1_Obergeschoss_Bad Kinder_Rollladen Fenster West </t>
  </si>
  <si>
    <t>2/0/16</t>
  </si>
  <si>
    <t>JA2 G</t>
  </si>
  <si>
    <t>O5.BR1_Obergeschoss_Ankleide_Rollladen Fenster Ost</t>
  </si>
  <si>
    <t>2/0/17</t>
  </si>
  <si>
    <t>JA2 H</t>
  </si>
  <si>
    <t>O6.BR1_Obergeschoss_Kinderzimmer 2_Rollladen Fenster Süd</t>
  </si>
  <si>
    <t>2/0/18</t>
  </si>
  <si>
    <t>JA3 A</t>
  </si>
  <si>
    <t>O6.BR2_Obergeschoss_Kinderzimmer 2_Rollladen Fenster West</t>
  </si>
  <si>
    <t>2/0/19</t>
  </si>
  <si>
    <t>JA3 B</t>
  </si>
  <si>
    <t>E1.BR1_Erdeschoss_Hauswirtschaftsraum_Rollladen Fenster West</t>
  </si>
  <si>
    <t>2/0/2</t>
  </si>
  <si>
    <t>JA1 A</t>
  </si>
  <si>
    <t>O7.BR1_Obergeschoss_Studio_Rollladen Fenster Süd</t>
  </si>
  <si>
    <t>2/0/20</t>
  </si>
  <si>
    <t>JA3 C</t>
  </si>
  <si>
    <t>O8.BR1_Obergeschoss_Schlafzimmer Eltern_Rollladen Fenster Süd</t>
  </si>
  <si>
    <t>2/0/21</t>
  </si>
  <si>
    <t>JA3 D</t>
  </si>
  <si>
    <t>O8.BR2_Obergeschoss_Schlafzimmer Eltern_Rollladen Fenster Ost</t>
  </si>
  <si>
    <t>2/0/22</t>
  </si>
  <si>
    <t>JA3 E</t>
  </si>
  <si>
    <t>E3.BJ1_Erdeschoss_Küche_Jalousie Festverglasung Ost</t>
  </si>
  <si>
    <t>2/0/3</t>
  </si>
  <si>
    <t>JA1 B</t>
  </si>
  <si>
    <t>E3.BR1_Erdeschoss_Küche_Rollladen Festverglasung Nord</t>
  </si>
  <si>
    <t>2/0/4</t>
  </si>
  <si>
    <t>JA1 C</t>
  </si>
  <si>
    <t>E5.BR1_Erdeschoss_WC_Rollladen Fenster West</t>
  </si>
  <si>
    <t>2/0/5</t>
  </si>
  <si>
    <t>JA1 D</t>
  </si>
  <si>
    <t>E6.BR1_Erdeschoss_Gästezimmer_Rollladen Fenster West</t>
  </si>
  <si>
    <t>2/0/6</t>
  </si>
  <si>
    <t>JA1 E</t>
  </si>
  <si>
    <t>E6.BR2_Erdeschoss_Gästezimmer_Rollladen Tür Süd</t>
  </si>
  <si>
    <t>2/0/7</t>
  </si>
  <si>
    <t>JA1 F</t>
  </si>
  <si>
    <t>E7.BJ1_Erdeschoss_Wohnzimmer_Jalousie Festverglasung Süd</t>
  </si>
  <si>
    <t>2/0/8</t>
  </si>
  <si>
    <t>JA1 G</t>
  </si>
  <si>
    <t>E8.BJ1_Erdeschoss_Esszimmer_Jalousie Schiebetür Süd</t>
  </si>
  <si>
    <t>2/0/9</t>
  </si>
  <si>
    <t>JA1 H</t>
  </si>
  <si>
    <t>O1.BR2_Obergeschoss_Kinderzimmer 1_Rollladen Fenster West</t>
  </si>
  <si>
    <t>2/0/13</t>
  </si>
  <si>
    <t>JA2 D</t>
  </si>
  <si>
    <t>2/1/-</t>
  </si>
  <si>
    <t>2/1/12</t>
  </si>
  <si>
    <t>2/1/0</t>
  </si>
  <si>
    <t>2/1/1</t>
  </si>
  <si>
    <t>2/1/10</t>
  </si>
  <si>
    <t>2/1/11</t>
  </si>
  <si>
    <t>2/1/14</t>
  </si>
  <si>
    <t>2/1/15</t>
  </si>
  <si>
    <t>2/1/16</t>
  </si>
  <si>
    <t>2/1/17</t>
  </si>
  <si>
    <t>2/1/18</t>
  </si>
  <si>
    <t>2/1/19</t>
  </si>
  <si>
    <t>2/1/2</t>
  </si>
  <si>
    <t>2/1/20</t>
  </si>
  <si>
    <t>2/1/21</t>
  </si>
  <si>
    <t>2/1/22</t>
  </si>
  <si>
    <t>2/1/3</t>
  </si>
  <si>
    <t>2/1/4</t>
  </si>
  <si>
    <t>2/1/5</t>
  </si>
  <si>
    <t>2/1/6</t>
  </si>
  <si>
    <t>2/1/7</t>
  </si>
  <si>
    <t>2/1/8</t>
  </si>
  <si>
    <t>2/1/9</t>
  </si>
  <si>
    <t>2/1/13</t>
  </si>
  <si>
    <t>2/2/-</t>
  </si>
  <si>
    <t>2/2/12</t>
  </si>
  <si>
    <t>2/2/0</t>
  </si>
  <si>
    <t>2/2/1</t>
  </si>
  <si>
    <t>2/2/10</t>
  </si>
  <si>
    <t>2/2/11</t>
  </si>
  <si>
    <t>2/2/14</t>
  </si>
  <si>
    <t>2/2/15</t>
  </si>
  <si>
    <t>2/2/16</t>
  </si>
  <si>
    <t>2/2/17</t>
  </si>
  <si>
    <t>2/2/18</t>
  </si>
  <si>
    <t>2/2/19</t>
  </si>
  <si>
    <t>2/2/2</t>
  </si>
  <si>
    <t>2/2/20</t>
  </si>
  <si>
    <t>2/2/21</t>
  </si>
  <si>
    <t>2/2/22</t>
  </si>
  <si>
    <t>2/2/3</t>
  </si>
  <si>
    <t>2/2/4</t>
  </si>
  <si>
    <t>2/2/5</t>
  </si>
  <si>
    <t>2/2/6</t>
  </si>
  <si>
    <t>2/2/7</t>
  </si>
  <si>
    <t>2/2/8</t>
  </si>
  <si>
    <t>2/2/9</t>
  </si>
  <si>
    <t>2/2/13</t>
  </si>
  <si>
    <t>2/3/-</t>
  </si>
  <si>
    <t>2/3/12</t>
  </si>
  <si>
    <t>2/3/0</t>
  </si>
  <si>
    <t>2/3/1</t>
  </si>
  <si>
    <t>2/3/10</t>
  </si>
  <si>
    <t>2/3/11</t>
  </si>
  <si>
    <t>2/3/14</t>
  </si>
  <si>
    <t>2/3/15</t>
  </si>
  <si>
    <t>2/3/16</t>
  </si>
  <si>
    <t>2/3/17</t>
  </si>
  <si>
    <t>2/3/18</t>
  </si>
  <si>
    <t>2/3/19</t>
  </si>
  <si>
    <t>2/3/2</t>
  </si>
  <si>
    <t>2/3/20</t>
  </si>
  <si>
    <t>2/3/21</t>
  </si>
  <si>
    <t>2/3/22</t>
  </si>
  <si>
    <t>2/3/3</t>
  </si>
  <si>
    <t>2/3/4</t>
  </si>
  <si>
    <t>2/3/5</t>
  </si>
  <si>
    <t>2/3/6</t>
  </si>
  <si>
    <t>2/3/7</t>
  </si>
  <si>
    <t>2/3/8</t>
  </si>
  <si>
    <t>2/3/9</t>
  </si>
  <si>
    <t>2/3/13</t>
  </si>
  <si>
    <t>2/4/-</t>
  </si>
  <si>
    <t>2/4/12</t>
  </si>
  <si>
    <t>2/4/0</t>
  </si>
  <si>
    <t>2/4/1</t>
  </si>
  <si>
    <t>2/4/10</t>
  </si>
  <si>
    <t>2/4/11</t>
  </si>
  <si>
    <t>2/4/14</t>
  </si>
  <si>
    <t>2/4/15</t>
  </si>
  <si>
    <t>2/4/16</t>
  </si>
  <si>
    <t>2/4/17</t>
  </si>
  <si>
    <t>2/4/18</t>
  </si>
  <si>
    <t>2/4/19</t>
  </si>
  <si>
    <t>2/4/2</t>
  </si>
  <si>
    <t>2/4/20</t>
  </si>
  <si>
    <t>2/4/21</t>
  </si>
  <si>
    <t>2/4/22</t>
  </si>
  <si>
    <t>2/4/3</t>
  </si>
  <si>
    <t>2/4/4</t>
  </si>
  <si>
    <t>2/4/5</t>
  </si>
  <si>
    <t>2/4/6</t>
  </si>
  <si>
    <t>2/4/7</t>
  </si>
  <si>
    <t>2/4/8</t>
  </si>
  <si>
    <t>2/4/9</t>
  </si>
  <si>
    <t>2/4/13</t>
  </si>
  <si>
    <t>2/5/-</t>
  </si>
  <si>
    <t>2/5/12</t>
  </si>
  <si>
    <t>2/5/0</t>
  </si>
  <si>
    <t>2/5/1</t>
  </si>
  <si>
    <t>2/5/10</t>
  </si>
  <si>
    <t>2/5/11</t>
  </si>
  <si>
    <t>2/5/14</t>
  </si>
  <si>
    <t>2/5/15</t>
  </si>
  <si>
    <t>2/5/16</t>
  </si>
  <si>
    <t>2/5/17</t>
  </si>
  <si>
    <t>2/5/18</t>
  </si>
  <si>
    <t>2/5/19</t>
  </si>
  <si>
    <t>2/5/2</t>
  </si>
  <si>
    <t>2/5/20</t>
  </si>
  <si>
    <t>2/5/21</t>
  </si>
  <si>
    <t>2/5/22</t>
  </si>
  <si>
    <t>2/5/3</t>
  </si>
  <si>
    <t>2/5/4</t>
  </si>
  <si>
    <t>2/5/5</t>
  </si>
  <si>
    <t>2/5/6</t>
  </si>
  <si>
    <t>2/5/7</t>
  </si>
  <si>
    <t>2/5/8</t>
  </si>
  <si>
    <t>2/5/9</t>
  </si>
  <si>
    <t>2/5/13</t>
  </si>
  <si>
    <t>2/6/-</t>
  </si>
  <si>
    <t>2/6/12</t>
  </si>
  <si>
    <t>2/6/0</t>
  </si>
  <si>
    <t>2/6/1</t>
  </si>
  <si>
    <t>2/6/10</t>
  </si>
  <si>
    <t>2/6/11</t>
  </si>
  <si>
    <t>2/6/14</t>
  </si>
  <si>
    <t>2/6/15</t>
  </si>
  <si>
    <t>2/6/16</t>
  </si>
  <si>
    <t>2/6/17</t>
  </si>
  <si>
    <t>2/6/18</t>
  </si>
  <si>
    <t>2/6/19</t>
  </si>
  <si>
    <t>2/6/2</t>
  </si>
  <si>
    <t>2/6/20</t>
  </si>
  <si>
    <t>2/6/21</t>
  </si>
  <si>
    <t>2/6/22</t>
  </si>
  <si>
    <t>2/6/3</t>
  </si>
  <si>
    <t>2/6/4</t>
  </si>
  <si>
    <t>2/6/5</t>
  </si>
  <si>
    <t>2/6/6</t>
  </si>
  <si>
    <t>2/6/7</t>
  </si>
  <si>
    <t>2/6/8</t>
  </si>
  <si>
    <t>2/6/9</t>
  </si>
  <si>
    <t>2/6/13</t>
  </si>
  <si>
    <t>2/7/-</t>
  </si>
  <si>
    <t>2/7/12</t>
  </si>
  <si>
    <t>2/7/0</t>
  </si>
  <si>
    <t>2/7/1</t>
  </si>
  <si>
    <t>2/7/10</t>
  </si>
  <si>
    <t>2/7/11</t>
  </si>
  <si>
    <t>2/7/13</t>
  </si>
  <si>
    <t>2/7/14</t>
  </si>
  <si>
    <t>2/7/15</t>
  </si>
  <si>
    <t>2/7/16</t>
  </si>
  <si>
    <t>2/7/17</t>
  </si>
  <si>
    <t>2/7/18</t>
  </si>
  <si>
    <t>2/7/19</t>
  </si>
  <si>
    <t>2/7/2</t>
  </si>
  <si>
    <t>2/7/20</t>
  </si>
  <si>
    <t>2/7/21</t>
  </si>
  <si>
    <t>2/7/22</t>
  </si>
  <si>
    <t>2/7/3</t>
  </si>
  <si>
    <t>2/7/4</t>
  </si>
  <si>
    <t>2/7/5</t>
  </si>
  <si>
    <t>2/7/6</t>
  </si>
  <si>
    <t>2/7/7</t>
  </si>
  <si>
    <t>2/7/8</t>
  </si>
  <si>
    <t>2/7/9</t>
  </si>
  <si>
    <t>2/8/-</t>
  </si>
  <si>
    <t>3/-/-</t>
  </si>
  <si>
    <t>3/0/-</t>
  </si>
  <si>
    <t>A1.L1_Außenbereich_Eingang_Wandlampe 1</t>
  </si>
  <si>
    <t>3/0/0</t>
  </si>
  <si>
    <t>SA1 Out1</t>
  </si>
  <si>
    <t>A1.L2_Außenbereich_Eingang_Wandlampe 2</t>
  </si>
  <si>
    <t>3/0/1</t>
  </si>
  <si>
    <t>SA1 Out2</t>
  </si>
  <si>
    <t>E5.L2_Erdeschoss_WC_Wandlampe</t>
  </si>
  <si>
    <t>3/0/10</t>
  </si>
  <si>
    <t>SA1 Out12</t>
  </si>
  <si>
    <t>E6.L1_Erdeschoss_Gästezimmer_Deckenlampe</t>
  </si>
  <si>
    <t>3/0/11</t>
  </si>
  <si>
    <t>SA1 Out13</t>
  </si>
  <si>
    <t>E7.L1_Erdeschoss_Wohnzimmer_Deckenlampe</t>
  </si>
  <si>
    <t>3/0/12</t>
  </si>
  <si>
    <t>SA1 Out14</t>
  </si>
  <si>
    <t>E8.L1_Erdeschoss_Esszimmer_Deckenlampe</t>
  </si>
  <si>
    <t>3/0/13</t>
  </si>
  <si>
    <t>SA1 Out15</t>
  </si>
  <si>
    <t>N1.L1_Nebengebäude_Garage_Deckenlampe</t>
  </si>
  <si>
    <t>3/0/14</t>
  </si>
  <si>
    <t>SA1 Out16</t>
  </si>
  <si>
    <t>N2.L1_Nebengebäude_Technikraum_Deckenlampe</t>
  </si>
  <si>
    <t>3/0/15</t>
  </si>
  <si>
    <t>SA1 Out17</t>
  </si>
  <si>
    <t>O1.L1_Obergeschoss_Kinderzimmer 1_Wandlampe</t>
  </si>
  <si>
    <t>3/0/16</t>
  </si>
  <si>
    <t>SA1 Out18</t>
  </si>
  <si>
    <t>O1.L2_Obergeschoss_Kinderzimmer 1_Deckenlampe</t>
  </si>
  <si>
    <t>3/0/17</t>
  </si>
  <si>
    <t>SA1 Out19</t>
  </si>
  <si>
    <t>O2.L1_Obergeschoss_Galerie_Spot 1</t>
  </si>
  <si>
    <t>3/0/18</t>
  </si>
  <si>
    <t>SA1 Out20</t>
  </si>
  <si>
    <t>O3.L1_Obergeschoss_Bad Eltern_Wandlampe</t>
  </si>
  <si>
    <t>3/0/19</t>
  </si>
  <si>
    <t>SA1 Out21</t>
  </si>
  <si>
    <t>A2.L1_Außenbereich_Terrasse Süd_Wandlampe</t>
  </si>
  <si>
    <t>3/0/2</t>
  </si>
  <si>
    <t>SA1 Out3</t>
  </si>
  <si>
    <t>O4.L1_Obergeschoss_Bad Kinder_Wandlampe</t>
  </si>
  <si>
    <t>3/0/20</t>
  </si>
  <si>
    <t>SA1 Out22</t>
  </si>
  <si>
    <t>O5.L1_Obergeschoss_Ankleide_Spot 1</t>
  </si>
  <si>
    <t>3/0/21</t>
  </si>
  <si>
    <t>SA1 Out23</t>
  </si>
  <si>
    <t>O5.L5_Obergeschoss_Ankleide_Lampe Dachboden</t>
  </si>
  <si>
    <t>3/0/22</t>
  </si>
  <si>
    <t>SA1 Out24</t>
  </si>
  <si>
    <t>O6.L1_Obergeschoss_Kinderzimmer 2_Wandlampe</t>
  </si>
  <si>
    <t>3/0/23</t>
  </si>
  <si>
    <t>SA2 Out1</t>
  </si>
  <si>
    <t>O6.L2_Obergeschoss_Kinderzimmer 2_Deckenlampe</t>
  </si>
  <si>
    <t>3/0/24</t>
  </si>
  <si>
    <t>SA2 Out2</t>
  </si>
  <si>
    <t>O7.L1_Obergeschoss_Studio_Deckenlampe</t>
  </si>
  <si>
    <t>3/0/25</t>
  </si>
  <si>
    <t>SA2 Out3</t>
  </si>
  <si>
    <t>O8.L1_Obergeschoss_Schlafzimmer Eltern_Deckenlampe</t>
  </si>
  <si>
    <t>3/0/26</t>
  </si>
  <si>
    <t>SA2 Out4</t>
  </si>
  <si>
    <t>O8.L2_Obergeschoss_Schlafzimmer Eltern_Wandlampe 1</t>
  </si>
  <si>
    <t>3/0/27</t>
  </si>
  <si>
    <t>SA2 Out5</t>
  </si>
  <si>
    <t>O8.L3_Obergeschoss_Schlafzimmer Eltern_Wandlampe 2</t>
  </si>
  <si>
    <t>3/0/28</t>
  </si>
  <si>
    <t>SA2 Out6</t>
  </si>
  <si>
    <t>E7.LD1_Erdeschoss_Wohnzimmer_Spot Wandnische 1</t>
  </si>
  <si>
    <t>3/0/29</t>
  </si>
  <si>
    <t>LEDC1 TW1</t>
  </si>
  <si>
    <t>A3.L1_Außenbereich_Terrasse Ost_Wandlampe</t>
  </si>
  <si>
    <t>3/0/3</t>
  </si>
  <si>
    <t>SA1 Out4</t>
  </si>
  <si>
    <t>E8.LD1_Erdeschoss_Esszimmer_Spot 1</t>
  </si>
  <si>
    <t>3/0/30</t>
  </si>
  <si>
    <t>LEDC1 TW2</t>
  </si>
  <si>
    <t>O3.LD1_Obergeschoss_Bad Eltern_Spot 1</t>
  </si>
  <si>
    <t>3/0/31</t>
  </si>
  <si>
    <t>LEDC2 TW1</t>
  </si>
  <si>
    <t>O4.LD1_Obergeschoss_Bad Kinder_Spot 1</t>
  </si>
  <si>
    <t>3/0/32</t>
  </si>
  <si>
    <t>LEDC2 TW2</t>
  </si>
  <si>
    <t>E4.L1_Erdeschoss_Flur_Spot 1</t>
  </si>
  <si>
    <t>3/0/33</t>
  </si>
  <si>
    <t>SA1 Out10</t>
  </si>
  <si>
    <t>A7.L1_Außenbereich_Schuppen_Deckenlampe</t>
  </si>
  <si>
    <t>3/0/4</t>
  </si>
  <si>
    <t>SA1 Out5</t>
  </si>
  <si>
    <t>E1.L1_Erdeschoss_Hauswirtschaftsraum_Deckenlampe</t>
  </si>
  <si>
    <t>3/0/5</t>
  </si>
  <si>
    <t>SA1 Out6</t>
  </si>
  <si>
    <t>E2.L1_Erdeschoss_Treppe_Wandlampe (Spot) 1</t>
  </si>
  <si>
    <t>3/0/6</t>
  </si>
  <si>
    <t>SA1 Out7</t>
  </si>
  <si>
    <t>E2.L4_Erdeschoss_Treppe_Treppenlampe (Spot) 1</t>
  </si>
  <si>
    <t>3/0/7</t>
  </si>
  <si>
    <t>SA1 Out8</t>
  </si>
  <si>
    <t>E3.L1_Erdeschoss_Küche_Spot 1</t>
  </si>
  <si>
    <t>3/0/8</t>
  </si>
  <si>
    <t>SA1 Out9</t>
  </si>
  <si>
    <t>E5.L1_Erdeschoss_WC_Deckenlampe</t>
  </si>
  <si>
    <t>3/0/9</t>
  </si>
  <si>
    <t>SA1 Out11</t>
  </si>
  <si>
    <t>3/1/-</t>
  </si>
  <si>
    <t>3/1/0</t>
  </si>
  <si>
    <t>3/1/1</t>
  </si>
  <si>
    <t>3/1/2</t>
  </si>
  <si>
    <t>3/1/3</t>
  </si>
  <si>
    <t>3/2/-</t>
  </si>
  <si>
    <t>3/2/0</t>
  </si>
  <si>
    <t>3/2/1</t>
  </si>
  <si>
    <t>3/2/2</t>
  </si>
  <si>
    <t>3/2/3</t>
  </si>
  <si>
    <t>3/3/-</t>
  </si>
  <si>
    <t>3/3/0</t>
  </si>
  <si>
    <t>3/3/1</t>
  </si>
  <si>
    <t>3/3/2</t>
  </si>
  <si>
    <t>3/3/3</t>
  </si>
  <si>
    <t>3/4/-</t>
  </si>
  <si>
    <t>3/4/0</t>
  </si>
  <si>
    <t>3/4/1</t>
  </si>
  <si>
    <t>3/4/10</t>
  </si>
  <si>
    <t>3/4/11</t>
  </si>
  <si>
    <t>3/4/12</t>
  </si>
  <si>
    <t>3/4/13</t>
  </si>
  <si>
    <t>3/4/14</t>
  </si>
  <si>
    <t>3/4/15</t>
  </si>
  <si>
    <t>3/4/16</t>
  </si>
  <si>
    <t>3/4/17</t>
  </si>
  <si>
    <t>3/4/18</t>
  </si>
  <si>
    <t>3/4/19</t>
  </si>
  <si>
    <t>3/4/2</t>
  </si>
  <si>
    <t>3/4/20</t>
  </si>
  <si>
    <t>3/4/21</t>
  </si>
  <si>
    <t>3/4/22</t>
  </si>
  <si>
    <t>3/4/23</t>
  </si>
  <si>
    <t>3/4/24</t>
  </si>
  <si>
    <t>3/4/25</t>
  </si>
  <si>
    <t>3/4/26</t>
  </si>
  <si>
    <t>3/4/27</t>
  </si>
  <si>
    <t>3/4/28</t>
  </si>
  <si>
    <t>3/4/29</t>
  </si>
  <si>
    <t>3/4/3</t>
  </si>
  <si>
    <t>3/4/30</t>
  </si>
  <si>
    <t>3/4/31</t>
  </si>
  <si>
    <t>3/4/32</t>
  </si>
  <si>
    <t>3/4/33</t>
  </si>
  <si>
    <t>3/4/4</t>
  </si>
  <si>
    <t>3/4/5</t>
  </si>
  <si>
    <t>3/4/6</t>
  </si>
  <si>
    <t>3/4/7</t>
  </si>
  <si>
    <t>3/4/8</t>
  </si>
  <si>
    <t>3/4/9</t>
  </si>
  <si>
    <t>3/5/-</t>
  </si>
  <si>
    <t>3/5/0</t>
  </si>
  <si>
    <t>3/5/1</t>
  </si>
  <si>
    <t>3/5/2</t>
  </si>
  <si>
    <t>3/5/3</t>
  </si>
  <si>
    <t>3/6/-</t>
  </si>
  <si>
    <t>3/6/0</t>
  </si>
  <si>
    <t>3/6/1</t>
  </si>
  <si>
    <t>3/6/2</t>
  </si>
  <si>
    <t>3/6/3</t>
  </si>
  <si>
    <t>3/7/-</t>
  </si>
  <si>
    <t>3/7/0</t>
  </si>
  <si>
    <t>3/7/1</t>
  </si>
  <si>
    <t>3/7/10</t>
  </si>
  <si>
    <t>3/7/11</t>
  </si>
  <si>
    <t>3/7/12</t>
  </si>
  <si>
    <t>3/7/13</t>
  </si>
  <si>
    <t>3/7/14</t>
  </si>
  <si>
    <t>3/7/15</t>
  </si>
  <si>
    <t>3/7/16</t>
  </si>
  <si>
    <t>3/7/17</t>
  </si>
  <si>
    <t>3/7/18</t>
  </si>
  <si>
    <t>3/7/19</t>
  </si>
  <si>
    <t>3/7/2</t>
  </si>
  <si>
    <t>3/7/20</t>
  </si>
  <si>
    <t>3/7/21</t>
  </si>
  <si>
    <t>3/7/22</t>
  </si>
  <si>
    <t>3/7/23</t>
  </si>
  <si>
    <t>3/7/24</t>
  </si>
  <si>
    <t>3/7/25</t>
  </si>
  <si>
    <t>3/7/26</t>
  </si>
  <si>
    <t>3/7/27</t>
  </si>
  <si>
    <t>3/7/28</t>
  </si>
  <si>
    <t>3/7/29</t>
  </si>
  <si>
    <t>3/7/3</t>
  </si>
  <si>
    <t>3/7/30</t>
  </si>
  <si>
    <t>3/7/31</t>
  </si>
  <si>
    <t>3/7/32</t>
  </si>
  <si>
    <t>3/7/33</t>
  </si>
  <si>
    <t>3/7/4</t>
  </si>
  <si>
    <t>3/7/5</t>
  </si>
  <si>
    <t>3/7/6</t>
  </si>
  <si>
    <t>3/7/7</t>
  </si>
  <si>
    <t>3/7/8</t>
  </si>
  <si>
    <t>3/7/9</t>
  </si>
  <si>
    <t>3/8/-</t>
  </si>
  <si>
    <t>4/-/-</t>
  </si>
  <si>
    <t>4/0/-</t>
  </si>
  <si>
    <t>E1.HA1_Erdeschoss_Hauswirtschaftsraum_FBH</t>
  </si>
  <si>
    <t>4/0/0</t>
  </si>
  <si>
    <t>HA1 A</t>
  </si>
  <si>
    <t>E4.HA1_Erdeschoss_Flur_FBH</t>
  </si>
  <si>
    <t>4/0/1</t>
  </si>
  <si>
    <t>HA1 B</t>
  </si>
  <si>
    <t>O8.HA1_Obergeschoss_Schlafzimmer Eltern_FBH</t>
  </si>
  <si>
    <t>4/0/10</t>
  </si>
  <si>
    <t>HA2 C</t>
  </si>
  <si>
    <t>E5.HA1_Erdeschoss_WC_FBH</t>
  </si>
  <si>
    <t>4/0/2</t>
  </si>
  <si>
    <t>HA1 C</t>
  </si>
  <si>
    <t>E6.HA1_Erdeschoss_Gästezimmer_FBH</t>
  </si>
  <si>
    <t>4/0/3</t>
  </si>
  <si>
    <t>HA1 D</t>
  </si>
  <si>
    <t>E7.HA1_Erdeschoss_Wohnzimmer_FBH</t>
  </si>
  <si>
    <t>4/0/4</t>
  </si>
  <si>
    <t>HA1 E</t>
  </si>
  <si>
    <t>O1.HA1_Obergeschoss_Kinderzimmer 1_FBH</t>
  </si>
  <si>
    <t>4/0/5</t>
  </si>
  <si>
    <t>HA1 F</t>
  </si>
  <si>
    <t>O3.HA1_Obergeschoss_Bad Eltern_FBH</t>
  </si>
  <si>
    <t>4/0/6</t>
  </si>
  <si>
    <t>HA1 G</t>
  </si>
  <si>
    <t>O4.HA1_Obergeschoss_Bad Kinder_FBH</t>
  </si>
  <si>
    <t>4/0/7</t>
  </si>
  <si>
    <t>HA1 H</t>
  </si>
  <si>
    <t>O6.HA1_Obergeschoss_Kinderzimmer 2_FBH</t>
  </si>
  <si>
    <t>4/0/8</t>
  </si>
  <si>
    <t>HA2 A</t>
  </si>
  <si>
    <t>O7.HA1_Obergeschoss_Studio_FBH</t>
  </si>
  <si>
    <t>4/0/9</t>
  </si>
  <si>
    <t>HA2 B</t>
  </si>
  <si>
    <t>4/1/-</t>
  </si>
  <si>
    <t>4/1/0</t>
  </si>
  <si>
    <t>4/1/1</t>
  </si>
  <si>
    <t>4/1/10</t>
  </si>
  <si>
    <t>4/1/2</t>
  </si>
  <si>
    <t>4/1/3</t>
  </si>
  <si>
    <t>4/1/4</t>
  </si>
  <si>
    <t>4/1/5</t>
  </si>
  <si>
    <t>4/1/6</t>
  </si>
  <si>
    <t>4/1/7</t>
  </si>
  <si>
    <t>4/1/8</t>
  </si>
  <si>
    <t>4/1/9</t>
  </si>
  <si>
    <t>4/2/-</t>
  </si>
  <si>
    <t>4/2/0</t>
  </si>
  <si>
    <t>4/2/1</t>
  </si>
  <si>
    <t>4/2/10</t>
  </si>
  <si>
    <t>4/2/2</t>
  </si>
  <si>
    <t>4/2/3</t>
  </si>
  <si>
    <t>4/2/4</t>
  </si>
  <si>
    <t>4/2/5</t>
  </si>
  <si>
    <t>4/2/6</t>
  </si>
  <si>
    <t>4/2/7</t>
  </si>
  <si>
    <t>4/2/8</t>
  </si>
  <si>
    <t>4/2/9</t>
  </si>
  <si>
    <t>4/3/-</t>
  </si>
  <si>
    <t>4/3/0</t>
  </si>
  <si>
    <t>4/3/1</t>
  </si>
  <si>
    <t>4/3/10</t>
  </si>
  <si>
    <t>4/3/2</t>
  </si>
  <si>
    <t>4/3/3</t>
  </si>
  <si>
    <t>4/3/4</t>
  </si>
  <si>
    <t>4/3/5</t>
  </si>
  <si>
    <t>4/3/6</t>
  </si>
  <si>
    <t>4/3/7</t>
  </si>
  <si>
    <t>4/3/8</t>
  </si>
  <si>
    <t>4/3/9</t>
  </si>
  <si>
    <t>4/4/-</t>
  </si>
  <si>
    <t>4/4/0</t>
  </si>
  <si>
    <t>4/4/1</t>
  </si>
  <si>
    <t>4/4/10</t>
  </si>
  <si>
    <t>4/4/2</t>
  </si>
  <si>
    <t>4/4/3</t>
  </si>
  <si>
    <t>4/4/4</t>
  </si>
  <si>
    <t>4/4/5</t>
  </si>
  <si>
    <t>4/4/6</t>
  </si>
  <si>
    <t>4/4/7</t>
  </si>
  <si>
    <t>4/4/8</t>
  </si>
  <si>
    <t>4/4/9</t>
  </si>
  <si>
    <t>4/5/-</t>
  </si>
  <si>
    <t>4/5/0</t>
  </si>
  <si>
    <t>4/5/1</t>
  </si>
  <si>
    <t>4/5/10</t>
  </si>
  <si>
    <t>4/5/2</t>
  </si>
  <si>
    <t>4/5/3</t>
  </si>
  <si>
    <t>4/5/4</t>
  </si>
  <si>
    <t>4/5/5</t>
  </si>
  <si>
    <t>4/5/6</t>
  </si>
  <si>
    <t>4/5/7</t>
  </si>
  <si>
    <t>4/5/8</t>
  </si>
  <si>
    <t>4/5/9</t>
  </si>
  <si>
    <t>4/6/-</t>
  </si>
  <si>
    <t>4/6/0</t>
  </si>
  <si>
    <t>4/6/1</t>
  </si>
  <si>
    <t>4/6/10</t>
  </si>
  <si>
    <t>4/6/2</t>
  </si>
  <si>
    <t>4/6/3</t>
  </si>
  <si>
    <t>4/6/4</t>
  </si>
  <si>
    <t>4/6/5</t>
  </si>
  <si>
    <t>4/6/6</t>
  </si>
  <si>
    <t>4/6/7</t>
  </si>
  <si>
    <t>4/6/8</t>
  </si>
  <si>
    <t>4/6/9</t>
  </si>
  <si>
    <t>4/7/-</t>
  </si>
  <si>
    <t>4/7/0</t>
  </si>
  <si>
    <t>4/7/1</t>
  </si>
  <si>
    <t>4/7/10</t>
  </si>
  <si>
    <t>4/7/2</t>
  </si>
  <si>
    <t>4/7/3</t>
  </si>
  <si>
    <t>4/7/4</t>
  </si>
  <si>
    <t>4/7/5</t>
  </si>
  <si>
    <t>4/7/6</t>
  </si>
  <si>
    <t>4/7/7</t>
  </si>
  <si>
    <t>4/7/8</t>
  </si>
  <si>
    <t>4/7/9</t>
  </si>
  <si>
    <t>4/8/-</t>
  </si>
  <si>
    <t>5/-/-</t>
  </si>
  <si>
    <t>5/0/-</t>
  </si>
  <si>
    <t>A1.BMA1_Außenbereich_Eingang_BM</t>
  </si>
  <si>
    <t>5/0/0</t>
  </si>
  <si>
    <t>UKNX -</t>
  </si>
  <si>
    <t>A2.BMA1_Außenbereich_Terrasse Süd_BM</t>
  </si>
  <si>
    <t>5/0/1</t>
  </si>
  <si>
    <t>O4.BM1_Obergeschoss_Bad Kinder_BM</t>
  </si>
  <si>
    <t>5/0/10</t>
  </si>
  <si>
    <t>O5.PM1_Obergeschoss_Ankleide_PM</t>
  </si>
  <si>
    <t>5/0/11</t>
  </si>
  <si>
    <t>E2.BM1_Erdeschoss_Treppe_BM oben</t>
  </si>
  <si>
    <t>5/0/2</t>
  </si>
  <si>
    <t>E2.BM2_Erdeschoss_Treppe_BM unten</t>
  </si>
  <si>
    <t>5/0/3</t>
  </si>
  <si>
    <t>E4.PM1_Erdeschoss_Flur_PM 1</t>
  </si>
  <si>
    <t>5/0/4</t>
  </si>
  <si>
    <t>E4.PM2_Erdeschoss_Flur_PM 2</t>
  </si>
  <si>
    <t>5/0/5</t>
  </si>
  <si>
    <t>N1.PM1_Nebengebäude_Garage_PM</t>
  </si>
  <si>
    <t>5/0/6</t>
  </si>
  <si>
    <t>N2.PM1_Nebengebäude_Technikraum_PM</t>
  </si>
  <si>
    <t>5/0/7</t>
  </si>
  <si>
    <t>O2.PM1_Obergeschoss_Galerie_PM</t>
  </si>
  <si>
    <t>5/0/8</t>
  </si>
  <si>
    <t>O3.BM1_Obergeschoss_Bad Eltern_BM</t>
  </si>
  <si>
    <t>5/0/9</t>
  </si>
  <si>
    <t>5/1/-</t>
  </si>
  <si>
    <t>5/1/0</t>
  </si>
  <si>
    <t>5/1/1</t>
  </si>
  <si>
    <t>5/2/-</t>
  </si>
  <si>
    <t>E1.TT1_Erdeschoss_Hauswirtschaftsraum_Taster Temp</t>
  </si>
  <si>
    <t>5/2/0</t>
  </si>
  <si>
    <t>E3.TT1_Erdeschoss_Küche_Taster Temp</t>
  </si>
  <si>
    <t>5/2/1</t>
  </si>
  <si>
    <t>O6.TS1_Obergeschoss_Kinderzimmer 2_Taster Smart</t>
  </si>
  <si>
    <t>5/2/10</t>
  </si>
  <si>
    <t>O7.TT1_Obergeschoss_Studio_Taster Temp</t>
  </si>
  <si>
    <t>5/2/11</t>
  </si>
  <si>
    <t>O8.TS1_Obergeschoss_Schlafzimmer Eltern_Taster Smart</t>
  </si>
  <si>
    <t>5/2/12</t>
  </si>
  <si>
    <t>5/2/2</t>
  </si>
  <si>
    <t>E5.TT1_Erdeschoss_WC_Taster Temp</t>
  </si>
  <si>
    <t>5/2/3</t>
  </si>
  <si>
    <t>E6.TS1_Erdeschoss_Gästezimmer_Taster Smart</t>
  </si>
  <si>
    <t>5/2/4</t>
  </si>
  <si>
    <t>E7.TS1_Erdeschoss_Wohnzimmer_Taster Smart</t>
  </si>
  <si>
    <t>5/2/5</t>
  </si>
  <si>
    <t>O1.TS1_Obergeschoss_Kinderzimmer 1_Taster Smart</t>
  </si>
  <si>
    <t>5/2/6</t>
  </si>
  <si>
    <t>5/2/7</t>
  </si>
  <si>
    <t>O3.TS1_Obergeschoss_Bad Eltern_Taster Smart</t>
  </si>
  <si>
    <t>5/2/8</t>
  </si>
  <si>
    <t>O4.TS1_Obergeschoss_Bad Kinder_Taster Smart</t>
  </si>
  <si>
    <t>5/2/9</t>
  </si>
  <si>
    <t>5/3/-</t>
  </si>
  <si>
    <t>5/3/0</t>
  </si>
  <si>
    <t>5/3/1</t>
  </si>
  <si>
    <t>5/4/-</t>
  </si>
  <si>
    <t>A8.WS1_Außenbereich_Dach_Wetterstattion</t>
  </si>
  <si>
    <t>5/4/0</t>
  </si>
  <si>
    <t>A6.FSS1_Außenbereich_Garten Ost_Füllstandssensor Zisterne</t>
  </si>
  <si>
    <t>5/4/1</t>
  </si>
  <si>
    <t>BE2 L</t>
  </si>
  <si>
    <t>5/5/-</t>
  </si>
  <si>
    <t>5/5/0</t>
  </si>
  <si>
    <t>5/5/1</t>
  </si>
  <si>
    <t>5/5/2</t>
  </si>
  <si>
    <t>5/5/3</t>
  </si>
  <si>
    <t>5/6/-</t>
  </si>
  <si>
    <t>A7.T1_Außenbereich_Schuppen_Schalter</t>
  </si>
  <si>
    <t>5/6/0</t>
  </si>
  <si>
    <t>- -</t>
  </si>
  <si>
    <t>E1.KM1_Erdeschoss_Hauswirtschaftsraum_KM Fenster</t>
  </si>
  <si>
    <t>5/6/1</t>
  </si>
  <si>
    <t>BE1 A</t>
  </si>
  <si>
    <t>O1.KM1_Obergeschoss_Kinderzimmer 1_KM Fenster West</t>
  </si>
  <si>
    <t>5/6/10</t>
  </si>
  <si>
    <t>BE2 B</t>
  </si>
  <si>
    <t>O1.KM2_Obergeschoss_Kinderzimmer 1_KM Fenster Nord</t>
  </si>
  <si>
    <t>5/6/11</t>
  </si>
  <si>
    <t>BE2 C</t>
  </si>
  <si>
    <t>O3.KM1_Obergeschoss_Bad Eltern_KM Fenster Ost</t>
  </si>
  <si>
    <t>5/6/12</t>
  </si>
  <si>
    <t>BE2 D</t>
  </si>
  <si>
    <t>O4.KM1_Obergeschoss_Bad Kinder_KM Fenster</t>
  </si>
  <si>
    <t>5/6/13</t>
  </si>
  <si>
    <t>BE2 E</t>
  </si>
  <si>
    <t>O5.KM1_Obergeschoss_Ankleide_KM Fenster</t>
  </si>
  <si>
    <t>5/6/14</t>
  </si>
  <si>
    <t>BE2 F</t>
  </si>
  <si>
    <t>O6.KM1_Obergeschoss_Kinderzimmer 2_KM Fenster West</t>
  </si>
  <si>
    <t>5/6/15</t>
  </si>
  <si>
    <t>BE2 G</t>
  </si>
  <si>
    <t>O6.KM2_Obergeschoss_Kinderzimmer 2_KM Fenster Süd</t>
  </si>
  <si>
    <t>5/6/16</t>
  </si>
  <si>
    <t>BE2 H</t>
  </si>
  <si>
    <t>O7.KM1_Obergeschoss_Studio_KM Fenster</t>
  </si>
  <si>
    <t>5/6/17</t>
  </si>
  <si>
    <t>BE2 I</t>
  </si>
  <si>
    <t>O8.KM1_Obergeschoss_Schlafzimmer Eltern_KM Fenster Süd</t>
  </si>
  <si>
    <t>5/6/18</t>
  </si>
  <si>
    <t>BE2 J</t>
  </si>
  <si>
    <t>O8.KM2_Obergeschoss_Schlafzimmer Eltern_KM Fenster Ost</t>
  </si>
  <si>
    <t>5/6/19</t>
  </si>
  <si>
    <t>BE2 K</t>
  </si>
  <si>
    <t>E2.TI1_Erdeschoss_Treppe_Feuermelder Relais</t>
  </si>
  <si>
    <t>5/6/2</t>
  </si>
  <si>
    <t>BE1 B</t>
  </si>
  <si>
    <t>E4.KM1_Erdeschoss_Flur_KM Hauseingangstür</t>
  </si>
  <si>
    <t>5/6/3</t>
  </si>
  <si>
    <t>BE1 C</t>
  </si>
  <si>
    <t>E5.KM1_Erdeschoss_WC_KM Fenster</t>
  </si>
  <si>
    <t>5/6/4</t>
  </si>
  <si>
    <t>BE1 D</t>
  </si>
  <si>
    <t>E6.KM1_Erdeschoss_Gästezimmer_KM Fenster</t>
  </si>
  <si>
    <t>5/6/5</t>
  </si>
  <si>
    <t>BE1 E</t>
  </si>
  <si>
    <t>E6.KM2_Erdeschoss_Gästezimmer_KM Tür</t>
  </si>
  <si>
    <t>5/6/6</t>
  </si>
  <si>
    <t>BE1 F</t>
  </si>
  <si>
    <t>E7.UM1_Erdeschoss_Wohnzimmer_Unterdruckrmelder</t>
  </si>
  <si>
    <t>5/6/7</t>
  </si>
  <si>
    <t>BE1 G</t>
  </si>
  <si>
    <t>E8.KM1_Erdeschoss_Esszimmer_KM Schiebetür Süd</t>
  </si>
  <si>
    <t>5/6/8</t>
  </si>
  <si>
    <t>BE1 H</t>
  </si>
  <si>
    <t>E8.KM2_Erdeschoss_Esszimmer_KM Tür Ost</t>
  </si>
  <si>
    <t>5/6/9</t>
  </si>
  <si>
    <t>BE2 A</t>
  </si>
  <si>
    <t>5/7/-</t>
  </si>
  <si>
    <t>5/8/-</t>
  </si>
  <si>
    <t>6/-/-</t>
  </si>
  <si>
    <t>6/0/-</t>
  </si>
  <si>
    <t>N2.VA1_Nebengebäude_Technikraum_Bewässerungsventil 1</t>
  </si>
  <si>
    <t>6/0/0</t>
  </si>
  <si>
    <t>SA2 Out7</t>
  </si>
  <si>
    <t>N2.VA2_Nebengebäude_Technikraum_Bewässerungsventil 2</t>
  </si>
  <si>
    <t>6/0/1</t>
  </si>
  <si>
    <t>SA2 Out8</t>
  </si>
  <si>
    <t>N2.VA3_Nebengebäude_Technikraum_Bewässerungsventil 3</t>
  </si>
  <si>
    <t>6/0/2</t>
  </si>
  <si>
    <t>SA2 Out9</t>
  </si>
  <si>
    <t>N2.VA4_Nebengebäude_Technikraum_Bewässerungsventil 4</t>
  </si>
  <si>
    <t>6/0/3</t>
  </si>
  <si>
    <t>SA2 Out10</t>
  </si>
  <si>
    <t>N2.VA5_Nebengebäude_Technikraum_Bewässerungsventil 5</t>
  </si>
  <si>
    <t>6/0/4</t>
  </si>
  <si>
    <t>SA2 Out11</t>
  </si>
  <si>
    <t>N2.VA6_Nebengebäude_Technikraum_Bewässerungsventil 6</t>
  </si>
  <si>
    <t>6/0/5</t>
  </si>
  <si>
    <t>SA2 Out12</t>
  </si>
  <si>
    <t>N2.VA7_Nebengebäude_Technikraum_Bewässerungsventil 7</t>
  </si>
  <si>
    <t>6/0/6</t>
  </si>
  <si>
    <t>SA2 Out13</t>
  </si>
  <si>
    <t>N2.VA8_Nebengebäude_Technikraum_Bewässerungsventil 8</t>
  </si>
  <si>
    <t>6/0/7</t>
  </si>
  <si>
    <t>SA2 Out14</t>
  </si>
  <si>
    <t>6/1/-</t>
  </si>
  <si>
    <t>6/1/0</t>
  </si>
  <si>
    <t>6/1/1</t>
  </si>
  <si>
    <t>6/1/2</t>
  </si>
  <si>
    <t>6/1/3</t>
  </si>
  <si>
    <t>6/1/4</t>
  </si>
  <si>
    <t>6/1/5</t>
  </si>
  <si>
    <t>6/1/6</t>
  </si>
  <si>
    <t>6/1/7</t>
  </si>
  <si>
    <t>6/2/-</t>
  </si>
  <si>
    <t>6/2/0</t>
  </si>
  <si>
    <t>6/2/1</t>
  </si>
  <si>
    <t>6/2/2</t>
  </si>
  <si>
    <t>6/2/3</t>
  </si>
  <si>
    <t>6/2/4</t>
  </si>
  <si>
    <t>6/2/5</t>
  </si>
  <si>
    <t>6/2/6</t>
  </si>
  <si>
    <t>6/2/7</t>
  </si>
  <si>
    <t>6/3/-</t>
  </si>
  <si>
    <t>6/3/0</t>
  </si>
  <si>
    <t>6/3/1</t>
  </si>
  <si>
    <t>6/3/2</t>
  </si>
  <si>
    <t>6/3/3</t>
  </si>
  <si>
    <t>6/3/4</t>
  </si>
  <si>
    <t>6/3/5</t>
  </si>
  <si>
    <t>6/3/6</t>
  </si>
  <si>
    <t>6/3/7</t>
  </si>
  <si>
    <t>6/4/-</t>
  </si>
  <si>
    <t>6/4/0</t>
  </si>
  <si>
    <t>6/4/1</t>
  </si>
  <si>
    <t>6/4/2</t>
  </si>
  <si>
    <t>6/4/3</t>
  </si>
  <si>
    <t>6/4/4</t>
  </si>
  <si>
    <t>6/4/5</t>
  </si>
  <si>
    <t>6/4/6</t>
  </si>
  <si>
    <t>6/4/7</t>
  </si>
  <si>
    <t>6/5/-</t>
  </si>
  <si>
    <t>6/5/0</t>
  </si>
  <si>
    <t>6/5/1</t>
  </si>
  <si>
    <t>6/5/2</t>
  </si>
  <si>
    <t>6/5/3</t>
  </si>
  <si>
    <t>6/5/4</t>
  </si>
  <si>
    <t>6/5/5</t>
  </si>
  <si>
    <t>6/5/6</t>
  </si>
  <si>
    <t>6/5/7</t>
  </si>
  <si>
    <t>6/6/-</t>
  </si>
  <si>
    <t>6/6/0</t>
  </si>
  <si>
    <t>6/6/1</t>
  </si>
  <si>
    <t>6/6/2</t>
  </si>
  <si>
    <t>6/6/3</t>
  </si>
  <si>
    <t>6/6/4</t>
  </si>
  <si>
    <t>6/6/5</t>
  </si>
  <si>
    <t>6/6/6</t>
  </si>
  <si>
    <t>6/6/7</t>
  </si>
  <si>
    <t>6/7/-</t>
  </si>
  <si>
    <t>6/7/0</t>
  </si>
  <si>
    <t>6/7/1</t>
  </si>
  <si>
    <t>6/7/2</t>
  </si>
  <si>
    <t>6/7/3</t>
  </si>
  <si>
    <t>6/7/4</t>
  </si>
  <si>
    <t>6/7/5</t>
  </si>
  <si>
    <t>6/7/6</t>
  </si>
  <si>
    <t>6/7/7</t>
  </si>
  <si>
    <t>6/8/-</t>
  </si>
  <si>
    <t>7/-/-</t>
  </si>
  <si>
    <t>7/0/-</t>
  </si>
  <si>
    <t>A1.TK1_Außenbereich_Eingang_Türkommunikationssystem</t>
  </si>
  <si>
    <t>7/0/0</t>
  </si>
  <si>
    <t>IPKNX -</t>
  </si>
  <si>
    <t>7/1/-</t>
  </si>
  <si>
    <t>7/1/0</t>
  </si>
  <si>
    <t>7/2/-</t>
  </si>
  <si>
    <t>7/2/0</t>
  </si>
  <si>
    <t>7/3/-</t>
  </si>
  <si>
    <t>7/4/-</t>
  </si>
  <si>
    <t>7/5/-</t>
  </si>
  <si>
    <t>7/5/0</t>
  </si>
  <si>
    <t>7/6/-</t>
  </si>
  <si>
    <t>7/6/0</t>
  </si>
  <si>
    <t>7/7/-</t>
  </si>
  <si>
    <t>7/7/0</t>
  </si>
  <si>
    <t>7/8/-</t>
  </si>
  <si>
    <t>MeldungenAlarm</t>
  </si>
  <si>
    <t>8/-/-</t>
  </si>
  <si>
    <t>8/0/-</t>
  </si>
  <si>
    <t>Meldungen Status</t>
  </si>
  <si>
    <t>8/1/-</t>
  </si>
  <si>
    <t>Fehler</t>
  </si>
  <si>
    <t>8/2/-</t>
  </si>
  <si>
    <t>Alarm</t>
  </si>
  <si>
    <t>8/3/-</t>
  </si>
  <si>
    <t>8/4/-</t>
  </si>
  <si>
    <t>8/5/-</t>
  </si>
  <si>
    <t>8/6/-</t>
  </si>
  <si>
    <t>8/7/-</t>
  </si>
  <si>
    <t>8/8/-</t>
  </si>
  <si>
    <t xml:space="preserve">12 TE </t>
  </si>
  <si>
    <t>Reihenklemmen (-X1)</t>
  </si>
  <si>
    <t>Reihenklemmen (-X2)</t>
  </si>
  <si>
    <t>Reihenklemmen (-X3)</t>
  </si>
  <si>
    <t>Reihenklemmen (-X4)</t>
  </si>
  <si>
    <t>KNX:
MDT STC-1280.01, Busversorgung
6 TE
Controller:
Gehäuse für Raspberry Pi 4
6 TE</t>
  </si>
  <si>
    <t>KNX:
MDT AKS-2016.03, Schaltaktor 20-fach
12 TE</t>
  </si>
  <si>
    <t>KNX:
MDT SCN-DALI64.03 ,DaliControl IP Gateway
8 TE</t>
  </si>
  <si>
    <t>KNX:
MDT JAL-0810.02, Jalousieaktor 8-fach
8 TE</t>
  </si>
  <si>
    <t>KNX:
MDT AKH-0800.02, Heizungsaktor 8-fach
4 TE</t>
  </si>
  <si>
    <t>KNX:
MDT JAL-0810.02, Jalousieaktor 8-fach
4 TE
KNX:
MDT SCN-IP100.03, IP Router
2 TE</t>
  </si>
  <si>
    <t>DALI:
Lunatone DALI 2xCW-WW x 2
2 TE
DC Power Supply:
Mean Well SDR-480-24
5 TE</t>
  </si>
  <si>
    <t>Türkomminikationssystem
Zugriffskontrolle</t>
  </si>
  <si>
    <t>Klemmsteine</t>
  </si>
  <si>
    <t>RCD1 | LS1-8</t>
  </si>
  <si>
    <t>LS9-20</t>
  </si>
  <si>
    <t>RCD3 | LS41-48</t>
  </si>
  <si>
    <t>LS49-60</t>
  </si>
  <si>
    <t>RCD2 | LS21-28</t>
  </si>
  <si>
    <t>LS29-40</t>
  </si>
  <si>
    <t>RCD4 | LS61-68</t>
  </si>
  <si>
    <t>Anzahl Felder RCD + LS</t>
  </si>
  <si>
    <t>Pysikalische Adressen:</t>
  </si>
  <si>
    <t>Anzahl Felder LS</t>
  </si>
  <si>
    <t>Zentrale Geräte (IP Router, Koppler, etc.)</t>
  </si>
  <si>
    <t>1…10</t>
  </si>
  <si>
    <t>Anzahl RCD</t>
  </si>
  <si>
    <t>Anzahl LS</t>
  </si>
  <si>
    <t>Aktoren</t>
  </si>
  <si>
    <t>151…255</t>
  </si>
  <si>
    <t>Anzahl Reihen - Reihenklemmen</t>
  </si>
  <si>
    <t>Hausautomatisierung - KNX</t>
  </si>
  <si>
    <t>ETS - physikalische Adresse</t>
  </si>
  <si>
    <t>Anzahl Kanäle</t>
  </si>
  <si>
    <t>ETS integriert</t>
  </si>
  <si>
    <t>Controller</t>
  </si>
  <si>
    <t xml:space="preserve">Raspberry Pi 4 4GB </t>
  </si>
  <si>
    <t>CON</t>
  </si>
  <si>
    <t>nein</t>
  </si>
  <si>
    <t>BPCON</t>
  </si>
  <si>
    <t xml:space="preserve">Bedienpanel </t>
  </si>
  <si>
    <t>Raspberry Pi 7 Display</t>
  </si>
  <si>
    <t>BPDISP</t>
  </si>
  <si>
    <t>INTERRA ITR524-16A KNX Combo Switch Aktor</t>
  </si>
  <si>
    <t>1.1.155</t>
  </si>
  <si>
    <t>ja</t>
  </si>
  <si>
    <t>INTERRA ITR516-16A KNX Combo Switch Aktor 16-fach</t>
  </si>
  <si>
    <t>1.1.156</t>
  </si>
  <si>
    <t>1.1.157</t>
  </si>
  <si>
    <t>MDT JAL-0810.02, Jalousieaktor 8-fach</t>
  </si>
  <si>
    <t>1.1.158</t>
  </si>
  <si>
    <t>8</t>
  </si>
  <si>
    <t>1.1.159</t>
  </si>
  <si>
    <t>1.1.160</t>
  </si>
  <si>
    <t>MDT AKH-0800.02, Heizungsaktor 8-fach</t>
  </si>
  <si>
    <t>1.1.161</t>
  </si>
  <si>
    <t>1.1.162</t>
  </si>
  <si>
    <t>Binäreingang</t>
  </si>
  <si>
    <t>MDT BE-08000.01 Binäreingang 8-fach 4TE REG Eingänge potentialfrei</t>
  </si>
  <si>
    <t>1.1.151</t>
  </si>
  <si>
    <t>MDT BE-16000.01 Binäreingang 16-fach 8TE REG Eingänge potentialfrei</t>
  </si>
  <si>
    <t>1.1.152</t>
  </si>
  <si>
    <t>16</t>
  </si>
  <si>
    <t>IP/KNX</t>
  </si>
  <si>
    <t>MDT SCN-IP100.03, IP Router mit IP Secure und Data Secure</t>
  </si>
  <si>
    <t>1.1.0</t>
  </si>
  <si>
    <t>KNX Busversorgung</t>
  </si>
  <si>
    <t>MEANWELL KNX-40E-1280 Netzteil mit integrierter Drossel</t>
  </si>
  <si>
    <t>1.1.-</t>
  </si>
  <si>
    <t>Energiezähler</t>
  </si>
  <si>
    <t xml:space="preserve">LINGG&amp;JANKE EZ-EMU-DSTD-D-REG-FW EMU Standard KNX REG Energiezähler </t>
  </si>
  <si>
    <t>ENZAEH</t>
  </si>
  <si>
    <t>1.1.43</t>
  </si>
  <si>
    <t>LED Controller</t>
  </si>
  <si>
    <t>MDT AKD-0424R2.02 LED Controller 4-Kanal 2/4A RGBW</t>
  </si>
  <si>
    <t>1.1.153</t>
  </si>
  <si>
    <t>nicht notwendig</t>
  </si>
  <si>
    <t>1.1.154</t>
  </si>
  <si>
    <t>Hauptgruppen (Gewerke)</t>
  </si>
  <si>
    <t>Mittelgruppen (Funktionsbereiche)</t>
  </si>
  <si>
    <t>Gewerknr.</t>
  </si>
  <si>
    <t>Gewerk</t>
  </si>
  <si>
    <t>Funktionsbereichsnr.</t>
  </si>
  <si>
    <t>_Zentral</t>
  </si>
  <si>
    <t>_Steckdosen</t>
  </si>
  <si>
    <t>_Beschattung</t>
  </si>
  <si>
    <t>_Beleuchtung</t>
  </si>
  <si>
    <t>_HeizungKlimaLüftung</t>
  </si>
  <si>
    <t>_Sensoren</t>
  </si>
  <si>
    <t>_Bewässerung</t>
  </si>
  <si>
    <t>_Zugriffskontrolle</t>
  </si>
  <si>
    <t>_MeldungenAlarm</t>
  </si>
  <si>
    <t>Anzahl Untergruppen</t>
  </si>
  <si>
    <t>KNX Gruppenadresse:</t>
  </si>
  <si>
    <t>Hausautomatisierung</t>
  </si>
  <si>
    <t>Anzahl</t>
  </si>
  <si>
    <t>DALI/KNX</t>
  </si>
  <si>
    <t>MDT SCN-DALI64.03 ,DaliControl IP Gateway DALI64</t>
  </si>
  <si>
    <t>DALI EVG</t>
  </si>
  <si>
    <t>LED Spots 24 V</t>
  </si>
  <si>
    <t>LED Spot-Träger 24 V</t>
  </si>
  <si>
    <t>Phasenschiene</t>
  </si>
  <si>
    <t>Hager Phasenschiene, 3-polig, für FI- und LS-Schalter - KDN363F</t>
  </si>
  <si>
    <t>Hager Phasenschiene, 3-polig - KDN363A</t>
  </si>
  <si>
    <t>LS-Schalter</t>
  </si>
  <si>
    <t>Hager LS-Schalter, B-Charakteristik, 1-polig - MBS116</t>
  </si>
  <si>
    <t>Hager FI-Schutzschalter QuickConnect, 4-polig - CDS440D</t>
  </si>
  <si>
    <t xml:space="preserve">DC Power Supply </t>
  </si>
  <si>
    <t>MEANWELL MDR-100-24</t>
  </si>
  <si>
    <t>Installationsklemmen</t>
  </si>
  <si>
    <t xml:space="preserve">PHOENIX 3213946 PTI 2,5-PE/L/NT </t>
  </si>
  <si>
    <t>PHOENIX 3213953 PTI 2,5-L/L</t>
  </si>
  <si>
    <t>PHOENIX 1030131 PTI 16-NLS-FI BU</t>
  </si>
  <si>
    <t>PHOENIX 3212147 PT 16 N-PE</t>
  </si>
  <si>
    <t>PHOENIX 3214053 AB-PTI 4/3 Auflageblock Halterung für Sammelschienen blau</t>
  </si>
  <si>
    <t>PHOENIX 0402174 NLS-CU 3/10 SN 1000MM N-Sammelschiene Länge=1000mm</t>
  </si>
  <si>
    <t>Hauptleitungsabzweigklemme</t>
  </si>
  <si>
    <t>HAGER KH45A Hauptleitungsabzweigklemme 2x25/2x35mm² 5polig fingersicher</t>
  </si>
  <si>
    <t>Kompaktschalter</t>
  </si>
  <si>
    <t>HAGER SH463N Ausschalter kompakt 4polig 4 Schließer 400V AC 3,5PLE</t>
  </si>
  <si>
    <t>Kabel</t>
  </si>
  <si>
    <t>Verbindungen</t>
  </si>
  <si>
    <t>KLAUKE-652C/6 Isolierter Quetschkabelschuhe Gabelform, halogenfrei</t>
  </si>
  <si>
    <t>HAGER SNS016 Steckdose 16A 250V 2,5PLE QuickConnect</t>
  </si>
  <si>
    <t>HAGER UN08A Tragschienen universN 1feldig L=1200mm</t>
  </si>
  <si>
    <t>HAGER UZ01B4 Hutschiene universN zur Befestigung auf Tragschiene 1-feldig</t>
  </si>
  <si>
    <t>HAGER UZ02B4 Hutschiene universN zur Befestigung auf Tragschiene 2-feldig</t>
  </si>
  <si>
    <t>HAGER FP85SN2 Wandschrank IP44 SKII Höhe: 1250mm leer univers Breite: 1300x205mm</t>
  </si>
  <si>
    <t>Steckdose Schuko</t>
  </si>
  <si>
    <t>Rahmen 1-fach</t>
  </si>
  <si>
    <t>Rahmen 2-fach</t>
  </si>
  <si>
    <t>Rahmen 3-fach</t>
  </si>
  <si>
    <t>Rahmen CAT</t>
  </si>
  <si>
    <t>Rauchwarnmelder</t>
  </si>
  <si>
    <t>Netzwerk</t>
  </si>
  <si>
    <t>Abkürzung</t>
  </si>
  <si>
    <t>Tasterinterface</t>
  </si>
  <si>
    <t>Zt</t>
  </si>
  <si>
    <t>St</t>
  </si>
  <si>
    <t>12 V DC</t>
  </si>
  <si>
    <t>Motorschloss</t>
  </si>
  <si>
    <t>BS</t>
  </si>
  <si>
    <t>Gäste</t>
  </si>
  <si>
    <t>Tormotor</t>
  </si>
  <si>
    <t>BL</t>
  </si>
  <si>
    <t>Wohnen/Essen/Kochen</t>
  </si>
  <si>
    <t>Orientierungsleuchte</t>
  </si>
  <si>
    <t>Glocke</t>
  </si>
  <si>
    <t>HKL</t>
  </si>
  <si>
    <t>S</t>
  </si>
  <si>
    <t>TV-Antenne</t>
  </si>
  <si>
    <t>BW</t>
  </si>
  <si>
    <t>ZK</t>
  </si>
  <si>
    <t>Antenne</t>
  </si>
  <si>
    <t>VOC-Sensor</t>
  </si>
  <si>
    <r>
      <rPr>
        <b/>
        <sz val="22"/>
        <color rgb="FF0070C0"/>
        <rFont val="Calibri"/>
        <family val="2"/>
        <scheme val="minor"/>
      </rPr>
      <t>Hauptgruppe</t>
    </r>
    <r>
      <rPr>
        <b/>
        <sz val="22"/>
        <color theme="1"/>
        <rFont val="Calibri"/>
        <family val="2"/>
        <scheme val="minor"/>
      </rPr>
      <t xml:space="preserve"> / </t>
    </r>
    <r>
      <rPr>
        <b/>
        <sz val="22"/>
        <color rgb="FF00B050"/>
        <rFont val="Calibri"/>
        <family val="2"/>
        <scheme val="minor"/>
      </rPr>
      <t>Mittlegruppe</t>
    </r>
    <r>
      <rPr>
        <b/>
        <sz val="22"/>
        <color theme="1"/>
        <rFont val="Calibri"/>
        <family val="2"/>
        <scheme val="minor"/>
      </rPr>
      <t xml:space="preserve"> / </t>
    </r>
    <r>
      <rPr>
        <b/>
        <sz val="22"/>
        <color rgb="FFFF0000"/>
        <rFont val="Calibri"/>
        <family val="2"/>
        <scheme val="minor"/>
      </rPr>
      <t>Untergruppe</t>
    </r>
  </si>
  <si>
    <t>Erdgeschoss</t>
  </si>
  <si>
    <t>tunable white</t>
  </si>
  <si>
    <t>HDMI</t>
  </si>
  <si>
    <t>Raffstore</t>
  </si>
  <si>
    <t>Präsenzmelder mit KLR</t>
  </si>
  <si>
    <t>Fensterkontakt Reed</t>
  </si>
  <si>
    <t>(Leer)</t>
  </si>
  <si>
    <t>SD1</t>
  </si>
  <si>
    <t>BL1</t>
  </si>
  <si>
    <t>Leitung</t>
  </si>
  <si>
    <t>NYM 5x1,5</t>
  </si>
  <si>
    <t>NYM 5x2,5</t>
  </si>
  <si>
    <t>NYM 3x1,5</t>
  </si>
  <si>
    <t>Cat7</t>
  </si>
  <si>
    <t>Ziel</t>
  </si>
  <si>
    <t>Ziel-Lokation</t>
  </si>
  <si>
    <t>KNX Schaltaktor</t>
  </si>
  <si>
    <t>KNX Jalousieaktor</t>
  </si>
  <si>
    <t>KNX Dimmer</t>
  </si>
  <si>
    <t>24V Netzteil</t>
  </si>
  <si>
    <t>Patchfeld</t>
  </si>
  <si>
    <t>Hauptverteilung</t>
  </si>
  <si>
    <t>Unterverteilung EG</t>
  </si>
  <si>
    <t>Unterverteilung OG</t>
  </si>
  <si>
    <t>Unterverteilung Garage</t>
  </si>
  <si>
    <t>KNX-Bus</t>
  </si>
  <si>
    <t>LS-FL 2x1,5</t>
  </si>
  <si>
    <t>ÖLFLEX 3x2,5</t>
  </si>
  <si>
    <t>J-Y(St)Y 2x2x0,8</t>
  </si>
  <si>
    <t>LED 2x1,5</t>
  </si>
  <si>
    <t>BL2</t>
  </si>
  <si>
    <t>BL3</t>
  </si>
  <si>
    <t>BL4</t>
  </si>
  <si>
    <t>BL5</t>
  </si>
  <si>
    <t>BL6</t>
  </si>
  <si>
    <t>BL7</t>
  </si>
  <si>
    <t>Server Rack</t>
  </si>
  <si>
    <t>HD1</t>
  </si>
  <si>
    <t>DA1</t>
  </si>
  <si>
    <t>DALI EVG Spots</t>
  </si>
  <si>
    <t>BL8</t>
  </si>
  <si>
    <t>BL9</t>
  </si>
  <si>
    <t>DALI EVG Nische</t>
  </si>
  <si>
    <t>DALI DT6 EVG</t>
  </si>
  <si>
    <t>DALI DT8 EVG</t>
  </si>
  <si>
    <t>DA2</t>
  </si>
  <si>
    <t>BL10</t>
  </si>
  <si>
    <t>LED Stripe Schuhnische</t>
  </si>
  <si>
    <t>LED Stripe Spiegel</t>
  </si>
  <si>
    <t>LED Stripe Garderobe</t>
  </si>
  <si>
    <t>BL11</t>
  </si>
  <si>
    <t>DALI EVG Spiegel</t>
  </si>
  <si>
    <t>DA3</t>
  </si>
  <si>
    <t>DALI EVG Garderobe</t>
  </si>
  <si>
    <t>DA4</t>
  </si>
  <si>
    <t>SD2</t>
  </si>
  <si>
    <t>SD3</t>
  </si>
  <si>
    <t>SD4</t>
  </si>
  <si>
    <t>SD5</t>
  </si>
  <si>
    <t>Steckdose 5</t>
  </si>
  <si>
    <t>SD6</t>
  </si>
  <si>
    <t>Steckdose 6</t>
  </si>
  <si>
    <t>Deckenlautsprecher</t>
  </si>
  <si>
    <t>Audio</t>
  </si>
  <si>
    <t>Lautsprecher</t>
  </si>
  <si>
    <t>DL1</t>
  </si>
  <si>
    <t>LAN 1-fach</t>
  </si>
  <si>
    <t>LAN 2-fach</t>
  </si>
  <si>
    <t>ND1</t>
  </si>
  <si>
    <t>Netzwerkdose</t>
  </si>
  <si>
    <t>Türöffner</t>
  </si>
  <si>
    <t>ZK1</t>
  </si>
  <si>
    <t>1.1</t>
  </si>
  <si>
    <t>1.2</t>
  </si>
  <si>
    <t>Anschluss Dusch-WC</t>
  </si>
  <si>
    <t>Steckdose Waschtisch 1</t>
  </si>
  <si>
    <t>Steckdose Waschtisch 2</t>
  </si>
  <si>
    <t>R1</t>
  </si>
  <si>
    <t>Türkommunikation</t>
  </si>
  <si>
    <t>KNX Binäreingang</t>
  </si>
  <si>
    <t>FK1</t>
  </si>
  <si>
    <t>Hängelampe Waschtisch</t>
  </si>
  <si>
    <t>DALI UP-Dimmer</t>
  </si>
  <si>
    <t>Spot WC 1</t>
  </si>
  <si>
    <t>Spot WC 2</t>
  </si>
  <si>
    <t>Spot Dusche 1</t>
  </si>
  <si>
    <t>Spot Dusche 2</t>
  </si>
  <si>
    <t>DALI UP-Dimmer Waschtisch</t>
  </si>
  <si>
    <t>Büro</t>
  </si>
  <si>
    <t>1.3</t>
  </si>
  <si>
    <t>RS1</t>
  </si>
  <si>
    <t>Steckdose Nord 1</t>
  </si>
  <si>
    <t>Steckdose Nord 2</t>
  </si>
  <si>
    <t>Steckdose Nord 3</t>
  </si>
  <si>
    <t>Steckdose Nord 4</t>
  </si>
  <si>
    <t>Steckdose Nord 5</t>
  </si>
  <si>
    <t>Steckdose Fenster</t>
  </si>
  <si>
    <t>Steckdose Ost 1</t>
  </si>
  <si>
    <t>Steckdose Ost 2</t>
  </si>
  <si>
    <t>Steckdose Ost 3</t>
  </si>
  <si>
    <t>Steckdose Ost 4</t>
  </si>
  <si>
    <t>Steckdose Ost 5</t>
  </si>
  <si>
    <t>Steckdose Ost 6</t>
  </si>
  <si>
    <t>Steckdose Süd 1</t>
  </si>
  <si>
    <t>Steckdose Süd 2</t>
  </si>
  <si>
    <t>Steckdose Süd 3</t>
  </si>
  <si>
    <t>Steckdose Süd 4</t>
  </si>
  <si>
    <t>Steckdose Süd 5</t>
  </si>
  <si>
    <t>SD7</t>
  </si>
  <si>
    <t>SD8</t>
  </si>
  <si>
    <t>SD9</t>
  </si>
  <si>
    <t>SD10</t>
  </si>
  <si>
    <t>SD11</t>
  </si>
  <si>
    <t>SD12</t>
  </si>
  <si>
    <t>SD13</t>
  </si>
  <si>
    <t>SD14</t>
  </si>
  <si>
    <t>SD15</t>
  </si>
  <si>
    <t>SD16</t>
  </si>
  <si>
    <t>SD17</t>
  </si>
  <si>
    <t>Steckdose Fenster Nord</t>
  </si>
  <si>
    <t>Steckdose Fenster West</t>
  </si>
  <si>
    <t>SD18</t>
  </si>
  <si>
    <t>Tastsensor</t>
  </si>
  <si>
    <t>Fensterkontakt Nord</t>
  </si>
  <si>
    <t>Fensterkontakt</t>
  </si>
  <si>
    <t>Fensterkontakt West</t>
  </si>
  <si>
    <t>FK2</t>
  </si>
  <si>
    <t>Spots n</t>
  </si>
  <si>
    <t>Netzwerkdose Nord</t>
  </si>
  <si>
    <t>Netzwerkdose Ost</t>
  </si>
  <si>
    <t>ND2</t>
  </si>
  <si>
    <t>Netzwerkdose Süd</t>
  </si>
  <si>
    <t>ND3</t>
  </si>
  <si>
    <t>DL2</t>
  </si>
  <si>
    <t>1.4</t>
  </si>
  <si>
    <t>Anschluss Rolladen</t>
  </si>
  <si>
    <t>Anschluss Rolladen Nord</t>
  </si>
  <si>
    <t>Anschluss Rolladen West</t>
  </si>
  <si>
    <t>Anschluss Wallscreen</t>
  </si>
  <si>
    <t>Steckdose Nord 6</t>
  </si>
  <si>
    <t>Tastsensor Nord</t>
  </si>
  <si>
    <t>Tastsensor Süd</t>
  </si>
  <si>
    <t>Steckdose West 1</t>
  </si>
  <si>
    <t>Steckdose West 2</t>
  </si>
  <si>
    <t>LED Stripe Ambiente</t>
  </si>
  <si>
    <t>DALI EVG Ambiente</t>
  </si>
  <si>
    <t>Deckenlautsprecher 1</t>
  </si>
  <si>
    <t>Deckenlautsprecher 2</t>
  </si>
  <si>
    <t>1.5</t>
  </si>
  <si>
    <t>Anschluss Rolladen Süd</t>
  </si>
  <si>
    <t>Steckdose Geschirrspüler</t>
  </si>
  <si>
    <t>Steckdose Backofen</t>
  </si>
  <si>
    <t>Steckdose Nische 1</t>
  </si>
  <si>
    <t>Steckdose Nische 2</t>
  </si>
  <si>
    <t>Steckdose Nische 3</t>
  </si>
  <si>
    <t>TS2</t>
  </si>
  <si>
    <t>Steckdose Insel 1</t>
  </si>
  <si>
    <t>Steckdose Insel 2</t>
  </si>
  <si>
    <t>Steckdose Insel 3</t>
  </si>
  <si>
    <t>Anschluss Induktionsherd</t>
  </si>
  <si>
    <t>Anschluss Wasseraufbereiter</t>
  </si>
  <si>
    <t>Tastsensor Ost</t>
  </si>
  <si>
    <t>Steckdose Fenster Süd</t>
  </si>
  <si>
    <t>Fensterkontakt Süd</t>
  </si>
  <si>
    <t>SD19</t>
  </si>
  <si>
    <t>SD20</t>
  </si>
  <si>
    <t>LED Stripe Insel</t>
  </si>
  <si>
    <t>Spots Insel</t>
  </si>
  <si>
    <t>Spots Hochschränke</t>
  </si>
  <si>
    <t>LED Stripe Decke</t>
  </si>
  <si>
    <t>LED Stripe Hochschranknische</t>
  </si>
  <si>
    <t>DALI EVG Insel</t>
  </si>
  <si>
    <t>DALI EVG Hochschranknische</t>
  </si>
  <si>
    <t>DALI EVG Decken Stripe</t>
  </si>
  <si>
    <t>1.6</t>
  </si>
  <si>
    <t>Steckdose TV 3</t>
  </si>
  <si>
    <t>Steckdose TV 4</t>
  </si>
  <si>
    <t>Steckdose TV 5</t>
  </si>
  <si>
    <t>Steckdose TV 6</t>
  </si>
  <si>
    <t>Steckdose Fenster Ost</t>
  </si>
  <si>
    <t>Anschluss Rolladen Ost</t>
  </si>
  <si>
    <t>RS2</t>
  </si>
  <si>
    <t>Fensterkontakt Ost</t>
  </si>
  <si>
    <t>Steckdose West 3</t>
  </si>
  <si>
    <t>Steckdose West 4</t>
  </si>
  <si>
    <t>Steckdose West 5</t>
  </si>
  <si>
    <t>Steckdose Beamer Decke</t>
  </si>
  <si>
    <t>HDMI Dose</t>
  </si>
  <si>
    <t>Netzwerkdose TV</t>
  </si>
  <si>
    <t>Netzwerkdose Beamer</t>
  </si>
  <si>
    <t>LED Stripe TV Wand</t>
  </si>
  <si>
    <t>LED Stripe Sitzfenster</t>
  </si>
  <si>
    <t>DALI EVG TV Wand</t>
  </si>
  <si>
    <t>DALI EVG Sitzfenster</t>
  </si>
  <si>
    <t>Speis</t>
  </si>
  <si>
    <t>1.7</t>
  </si>
  <si>
    <t>Steckdose Süd 6</t>
  </si>
  <si>
    <t>LED Stripe Arbeitsfläche</t>
  </si>
  <si>
    <t>DALI EVG Arbeitsfläche</t>
  </si>
  <si>
    <t>Technik</t>
  </si>
  <si>
    <t>1.8</t>
  </si>
  <si>
    <t>Steckdose Waschmaschine</t>
  </si>
  <si>
    <t>Steckdose Trockner</t>
  </si>
  <si>
    <t>Spot 1 Durchgang</t>
  </si>
  <si>
    <t>Spot 2 Durchgang</t>
  </si>
  <si>
    <t>Deckenlampe Heizung</t>
  </si>
  <si>
    <t>Deckenlampe HWR</t>
  </si>
  <si>
    <t>Treppenkammer</t>
  </si>
  <si>
    <t>E9</t>
  </si>
  <si>
    <t>1.9</t>
  </si>
  <si>
    <t>Wandlicht West</t>
  </si>
  <si>
    <t>Wandlicht Nord</t>
  </si>
  <si>
    <t>2.1</t>
  </si>
  <si>
    <t>R2</t>
  </si>
  <si>
    <t>2.2</t>
  </si>
  <si>
    <t>Netzwerkdose West</t>
  </si>
  <si>
    <t>Stellmotor HKV n</t>
  </si>
  <si>
    <t>KNX Heizungsaktor</t>
  </si>
  <si>
    <t>SMn</t>
  </si>
  <si>
    <t>BLn</t>
  </si>
  <si>
    <t>LED Stripe Brüstung</t>
  </si>
  <si>
    <t>DALI EVG Brüstung</t>
  </si>
  <si>
    <t>2.3</t>
  </si>
  <si>
    <t>Treppenhaus</t>
  </si>
  <si>
    <t>Hängeleuchte Treppe</t>
  </si>
  <si>
    <t>LED Stripe Handlauf</t>
  </si>
  <si>
    <t>DALI UP-Dimmer Treppe</t>
  </si>
  <si>
    <t>DALI EVG Handlauf</t>
  </si>
  <si>
    <t>Bewegungsmelder oben</t>
  </si>
  <si>
    <t>Bewegungsmelder unten</t>
  </si>
  <si>
    <t>2.4</t>
  </si>
  <si>
    <t>Bad</t>
  </si>
  <si>
    <t>2.5</t>
  </si>
  <si>
    <t>Steckdose Handtuchtrockner</t>
  </si>
  <si>
    <t>Steckdose Waschtisch 3</t>
  </si>
  <si>
    <t>Steckdose Waschtisch 4</t>
  </si>
  <si>
    <t>LED Stripe Badewanne</t>
  </si>
  <si>
    <t>LED Stripe Dusche innen</t>
  </si>
  <si>
    <t>LED Stripe Duschwand oben</t>
  </si>
  <si>
    <t>LED Stripe WC Wand</t>
  </si>
  <si>
    <t>DALI EVG LED Stripes</t>
  </si>
  <si>
    <t>LED Stripe Spiegelschrank</t>
  </si>
  <si>
    <t>Anschluss elektrisches Türschloss</t>
  </si>
  <si>
    <t>2.6</t>
  </si>
  <si>
    <t>LED Schrankbeleuchtung Nord</t>
  </si>
  <si>
    <t>LED Schrankbeleuchtung Süd</t>
  </si>
  <si>
    <t>Steckdose Ost (Orientierungslicht)</t>
  </si>
  <si>
    <t>DALI EVG Schrankbeleuchtung</t>
  </si>
  <si>
    <t>Schlafzimmer</t>
  </si>
  <si>
    <t>2.7</t>
  </si>
  <si>
    <t>Tastsensor Nord 1</t>
  </si>
  <si>
    <t>Tastsensor Nord 2</t>
  </si>
  <si>
    <t>LED Stripe Schattenfuge</t>
  </si>
  <si>
    <t>LED Stripe Bettwand</t>
  </si>
  <si>
    <t>DALI LED Stripe</t>
  </si>
  <si>
    <t>Hobby</t>
  </si>
  <si>
    <t>2.8</t>
  </si>
  <si>
    <t>Art-Nr.</t>
  </si>
  <si>
    <t>Einzelpreis</t>
  </si>
  <si>
    <t>Gesamtpreis</t>
  </si>
  <si>
    <t>Notiz</t>
  </si>
  <si>
    <t>BE-GT2TW.02</t>
  </si>
  <si>
    <t>MDT Glastaster II mit Temperatursensor</t>
  </si>
  <si>
    <t>Überlegen ob ERTR notwendig</t>
  </si>
  <si>
    <t>MEANWELL KNX-40E-1280</t>
  </si>
  <si>
    <t>KNX-40E-1280</t>
  </si>
  <si>
    <t>20E-640 bereits vorhanden</t>
  </si>
  <si>
    <t>IP-Gateway</t>
  </si>
  <si>
    <t>Weinzierl KNX IP Schnittstelle</t>
  </si>
  <si>
    <t>bereits vorhanden</t>
  </si>
  <si>
    <t>SCN-DALI64.03</t>
  </si>
  <si>
    <t>MDT JAL-0410M.02 KNX Jalousieaktor 230 V | 4-fach, Fahrtzeitmessung</t>
  </si>
  <si>
    <t>MDT JAL-0810M.02 KNX Jalousieaktor 230 V | 8-fach, Fahrtzeitmessung</t>
  </si>
  <si>
    <t>JAL-0810M.02</t>
  </si>
  <si>
    <t>JAL-0410M.02</t>
  </si>
  <si>
    <t>HAGER TYMS616D KNX-Universalaktor | 16-fach, 16 A, C-Last, secure</t>
  </si>
  <si>
    <t>TYMS616D</t>
  </si>
  <si>
    <t>MDT AKS-2416.03 KNX-Schaltaktor Standard 16 A | 24-fach</t>
  </si>
  <si>
    <t>AKS-2416.03</t>
  </si>
  <si>
    <t>MDT AKS-0816.03 KNX-Schaltaktor Standard 16 A | 8-fach</t>
  </si>
  <si>
    <t>AKS-0816.03</t>
  </si>
  <si>
    <t>MDT BE-32000.02 KNX Binäreingang potentialfrei | 32-fach</t>
  </si>
  <si>
    <t>BE-32000.02</t>
  </si>
  <si>
    <t>MDT SCN-P360K4.03 KNX-Präsenzmelder | 4 Sensoren mit Konstantlichtregelung</t>
  </si>
  <si>
    <t>SCN-P360K4.03</t>
  </si>
  <si>
    <t>MDT SCN-P360L3.03 KNX-Präsenzmelder DE | 3 Sensoren, Temperatursensor</t>
  </si>
  <si>
    <t>SCN-P360L3.03</t>
  </si>
  <si>
    <t>THEBEN theLuxa P300 KNX WH KNX-Bewegungsmelder</t>
  </si>
  <si>
    <t>Für Außenbereich</t>
  </si>
  <si>
    <t>MDT SCN-WS3HW.01 KNX Wetterstation</t>
  </si>
  <si>
    <t>SCN-WS3HW.01</t>
  </si>
  <si>
    <t>MDT SCN-RS1R.01 Regensensor</t>
  </si>
  <si>
    <t>SCN-RS1R.01</t>
  </si>
  <si>
    <t>MDT SCN-BWM55.G2 Bewegungsmelder 55</t>
  </si>
  <si>
    <t>SCN-BWM55.G2</t>
  </si>
  <si>
    <t>AKD-0424R.02</t>
  </si>
  <si>
    <t>LED Dimmer</t>
  </si>
  <si>
    <t>MDT AKD-0424R.02 KNX-LED-Dimmaktor 4-fach</t>
  </si>
  <si>
    <t>Gesamt</t>
  </si>
  <si>
    <t>GIRA 418803 SCHUKO-Steckdose System 55 | Standard | reinweiß glänzend</t>
  </si>
  <si>
    <t>Linienkoppler</t>
  </si>
  <si>
    <t>WEINZIERL 5451 KNX-Linienkoppler</t>
  </si>
  <si>
    <t>LED MR16 Einbaurahmen rund schwnkbar</t>
  </si>
  <si>
    <t>LUNATONE 89453849-CWW-24V DALI-LED-Power-Supply 24 V DT8</t>
  </si>
  <si>
    <t>LUNATONE 89453849-24V DALI-LED-Power-Supply 24 V DT6</t>
  </si>
  <si>
    <t>LED Stripes</t>
  </si>
  <si>
    <t xml:space="preserve">Tillume Tunable White LED Spot | 60° Ra90 2400-4000K 24V 8W+8W </t>
  </si>
  <si>
    <t>Tillume Tunable White 24V COB LED CRI90 5m/Rolle</t>
  </si>
  <si>
    <t>GIRA 021129 Abdeckrahmen E2 | 1-fach | reinweiß glänzend</t>
  </si>
  <si>
    <t>GIRA 021229 Abdeckrahmen E2 | 2-fach | reinweiß glänzend</t>
  </si>
  <si>
    <t>GIRA 021329 Abdeckrahmen E2 | 3-fach | reinweiß glänzend</t>
  </si>
  <si>
    <t>GIRA 245200 Netzwerkdose | 2-fach</t>
  </si>
  <si>
    <t>GIRA 245100 Netzwerkdose | 1-fach</t>
  </si>
  <si>
    <t>Netzwerkdose 2-fach</t>
  </si>
  <si>
    <t>Netzwerkdose 1-fach</t>
  </si>
  <si>
    <t>GIRA 027003 Netzwerkabdeckung System</t>
  </si>
  <si>
    <t>GIRA 233702 Rauchmelder | Dual Q, 230 V</t>
  </si>
  <si>
    <t>Master mit KNX ankopplung</t>
  </si>
  <si>
    <t>GIRA 234300 Modul für Rauchmelder | KNX</t>
  </si>
  <si>
    <t>Busankoppler</t>
  </si>
  <si>
    <t>Zur Ankopplung an KNX Bus</t>
  </si>
  <si>
    <t>GIRA 233602 Rauchmelder | Dual Q</t>
  </si>
  <si>
    <t>TOTAL</t>
  </si>
  <si>
    <t>Reed-Kontakte</t>
  </si>
  <si>
    <t>Magnet Reed Kontakte für Fenstermeldung (10er Pack)</t>
  </si>
  <si>
    <t>YCMYM 2x2x0,8 (100m)</t>
  </si>
  <si>
    <t>Cat7 (100m)</t>
  </si>
  <si>
    <t>NYM 5x1,5 (500m)</t>
  </si>
  <si>
    <t>J-Y(St)Y 2x2x0,8 (500m)</t>
  </si>
  <si>
    <t>NYM 3x1,5 (500m)</t>
  </si>
  <si>
    <t>NYM 5x2,5 (100m)</t>
  </si>
  <si>
    <t>ÖLFLEX 3x2,5 (100m)</t>
  </si>
  <si>
    <t>LS-FL 2x1,5 (100m)</t>
  </si>
  <si>
    <t>LED</t>
  </si>
  <si>
    <t>Strom</t>
  </si>
  <si>
    <t>Netzwerk Switch managed</t>
  </si>
  <si>
    <t>Leitungsart</t>
  </si>
  <si>
    <t>Leitung Code</t>
  </si>
  <si>
    <t>Hauptversorgung Wärmepumpe</t>
  </si>
  <si>
    <t>WP Zusatzheizung</t>
  </si>
  <si>
    <t>WP Reserve</t>
  </si>
  <si>
    <t>WP ISG Gateway KNX</t>
  </si>
  <si>
    <t>WP ISG Gateway Cat7</t>
  </si>
  <si>
    <t>400V AC WP</t>
  </si>
  <si>
    <t>WP1</t>
  </si>
  <si>
    <t>WP2</t>
  </si>
  <si>
    <t>WP3</t>
  </si>
  <si>
    <t>WP4</t>
  </si>
  <si>
    <t>WP5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</si>
</sst>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5" tint="-0.249977111117893"/>
        <bgColor theme="8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 indent="2"/>
    </xf>
    <xf numFmtId="0" fontId="1" fillId="0" borderId="0" xfId="0" applyFont="1"/>
    <xf numFmtId="12" fontId="0" fillId="0" borderId="0" xfId="0" applyNumberFormat="1" applyAlignment="1">
      <alignment horizontal="right" vertical="center"/>
    </xf>
    <xf numFmtId="12" fontId="0" fillId="0" borderId="0" xfId="0" applyNumberFormat="1" applyAlignment="1">
      <alignment horizontal="left" vertical="center"/>
    </xf>
    <xf numFmtId="0" fontId="0" fillId="0" borderId="0" xfId="0" quotePrefix="1"/>
    <xf numFmtId="1" fontId="0" fillId="0" borderId="0" xfId="0" applyNumberFormat="1" applyAlignment="1">
      <alignment horizontal="right" vertical="center"/>
    </xf>
    <xf numFmtId="1" fontId="0" fillId="0" borderId="0" xfId="0" applyNumberFormat="1"/>
    <xf numFmtId="0" fontId="0" fillId="0" borderId="6" xfId="0" applyBorder="1" applyAlignment="1">
      <alignment horizontal="left" vertical="center"/>
    </xf>
    <xf numFmtId="0" fontId="0" fillId="3" borderId="6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6" borderId="6" xfId="0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 wrapText="1"/>
    </xf>
    <xf numFmtId="0" fontId="5" fillId="8" borderId="6" xfId="0" applyFont="1" applyFill="1" applyBorder="1" applyAlignment="1">
      <alignment horizontal="left" vertical="center" wrapText="1"/>
    </xf>
    <xf numFmtId="12" fontId="0" fillId="0" borderId="0" xfId="0" applyNumberFormat="1"/>
    <xf numFmtId="0" fontId="5" fillId="9" borderId="6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2" fillId="2" borderId="3" xfId="0" applyFont="1" applyFill="1" applyBorder="1" applyAlignment="1">
      <alignment vertical="top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2" fillId="2" borderId="4" xfId="0" applyFont="1" applyFill="1" applyBorder="1" applyAlignment="1">
      <alignment vertical="top"/>
    </xf>
    <xf numFmtId="1" fontId="2" fillId="2" borderId="4" xfId="0" applyNumberFormat="1" applyFont="1" applyFill="1" applyBorder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12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Alignment="1">
      <alignment horizontal="left" indent="2"/>
    </xf>
    <xf numFmtId="0" fontId="1" fillId="11" borderId="22" xfId="0" applyFont="1" applyFill="1" applyBorder="1" applyAlignment="1">
      <alignment horizontal="left"/>
    </xf>
    <xf numFmtId="0" fontId="2" fillId="2" borderId="23" xfId="0" applyFont="1" applyFill="1" applyBorder="1"/>
    <xf numFmtId="0" fontId="0" fillId="12" borderId="0" xfId="0" applyFill="1"/>
    <xf numFmtId="0" fontId="2" fillId="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2" borderId="6" xfId="0" applyFont="1" applyFill="1" applyBorder="1" applyAlignment="1">
      <alignment vertical="top"/>
    </xf>
    <xf numFmtId="49" fontId="2" fillId="2" borderId="6" xfId="0" applyNumberFormat="1" applyFont="1" applyFill="1" applyBorder="1" applyAlignment="1">
      <alignment horizontal="right" vertical="top"/>
    </xf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49" fontId="0" fillId="0" borderId="6" xfId="0" applyNumberFormat="1" applyBorder="1" applyAlignment="1">
      <alignment horizontal="right" vertical="top"/>
    </xf>
    <xf numFmtId="49" fontId="0" fillId="0" borderId="6" xfId="0" quotePrefix="1" applyNumberFormat="1" applyBorder="1" applyAlignment="1">
      <alignment horizontal="right" vertical="top"/>
    </xf>
    <xf numFmtId="49" fontId="0" fillId="0" borderId="6" xfId="0" applyNumberFormat="1" applyBorder="1" applyAlignment="1">
      <alignment horizontal="right" vertical="top" wrapText="1"/>
    </xf>
    <xf numFmtId="0" fontId="2" fillId="14" borderId="1" xfId="0" applyFont="1" applyFill="1" applyBorder="1" applyAlignment="1">
      <alignment vertical="center"/>
    </xf>
    <xf numFmtId="0" fontId="2" fillId="14" borderId="5" xfId="0" applyFont="1" applyFill="1" applyBorder="1" applyAlignment="1">
      <alignment vertical="center"/>
    </xf>
    <xf numFmtId="49" fontId="0" fillId="0" borderId="0" xfId="0" applyNumberFormat="1"/>
    <xf numFmtId="0" fontId="2" fillId="14" borderId="6" xfId="0" applyFont="1" applyFill="1" applyBorder="1"/>
    <xf numFmtId="0" fontId="2" fillId="14" borderId="24" xfId="0" applyFont="1" applyFill="1" applyBorder="1" applyAlignment="1">
      <alignment vertical="center"/>
    </xf>
    <xf numFmtId="0" fontId="6" fillId="0" borderId="0" xfId="0" applyFont="1"/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0" fillId="0" borderId="6" xfId="0" quotePrefix="1" applyBorder="1" applyAlignment="1">
      <alignment vertical="top" wrapText="1"/>
    </xf>
    <xf numFmtId="49" fontId="0" fillId="0" borderId="4" xfId="0" applyNumberFormat="1" applyBorder="1"/>
    <xf numFmtId="11" fontId="0" fillId="0" borderId="0" xfId="0" applyNumberFormat="1" applyAlignment="1">
      <alignment vertical="top"/>
    </xf>
    <xf numFmtId="44" fontId="0" fillId="0" borderId="0" xfId="1" applyFont="1" applyAlignment="1">
      <alignment vertical="top"/>
    </xf>
    <xf numFmtId="44" fontId="2" fillId="2" borderId="4" xfId="1" applyFont="1" applyFill="1" applyBorder="1" applyAlignment="1">
      <alignment vertical="top"/>
    </xf>
    <xf numFmtId="0" fontId="0" fillId="0" borderId="0" xfId="0" applyAlignment="1">
      <alignment horizontal="left" vertical="top"/>
    </xf>
    <xf numFmtId="44" fontId="1" fillId="0" borderId="0" xfId="1" applyFont="1" applyAlignment="1">
      <alignment vertical="top"/>
    </xf>
    <xf numFmtId="0" fontId="0" fillId="15" borderId="0" xfId="0" applyFill="1" applyAlignment="1">
      <alignment vertical="top"/>
    </xf>
    <xf numFmtId="1" fontId="0" fillId="15" borderId="0" xfId="0" applyNumberFormat="1" applyFill="1" applyAlignment="1">
      <alignment vertical="top"/>
    </xf>
    <xf numFmtId="44" fontId="0" fillId="15" borderId="0" xfId="1" applyFont="1" applyFill="1" applyAlignment="1">
      <alignment vertical="top"/>
    </xf>
    <xf numFmtId="44" fontId="0" fillId="0" borderId="0" xfId="1" applyFont="1" applyFill="1" applyAlignment="1">
      <alignment vertical="top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14" borderId="2" xfId="0" applyFont="1" applyFill="1" applyBorder="1" applyAlignment="1">
      <alignment horizontal="left" vertical="center"/>
    </xf>
    <xf numFmtId="0" fontId="2" fillId="14" borderId="7" xfId="0" applyFont="1" applyFill="1" applyBorder="1" applyAlignment="1">
      <alignment horizontal="left"/>
    </xf>
    <xf numFmtId="0" fontId="2" fillId="14" borderId="25" xfId="0" applyFont="1" applyFill="1" applyBorder="1" applyAlignment="1">
      <alignment horizontal="left"/>
    </xf>
    <xf numFmtId="0" fontId="2" fillId="14" borderId="6" xfId="0" applyFont="1" applyFill="1" applyBorder="1" applyAlignment="1">
      <alignment horizontal="left" vertical="center"/>
    </xf>
    <xf numFmtId="0" fontId="2" fillId="1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2" fillId="2" borderId="6" xfId="0" applyFont="1" applyFill="1" applyBorder="1" applyAlignment="1">
      <alignment horizontal="left" vertical="top"/>
    </xf>
    <xf numFmtId="0" fontId="0" fillId="5" borderId="7" xfId="0" applyFill="1" applyBorder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/>
    </xf>
    <xf numFmtId="0" fontId="2" fillId="13" borderId="24" xfId="0" applyFont="1" applyFill="1" applyBorder="1" applyAlignment="1">
      <alignment horizontal="left"/>
    </xf>
    <xf numFmtId="0" fontId="2" fillId="13" borderId="23" xfId="0" applyFont="1" applyFill="1" applyBorder="1" applyAlignment="1">
      <alignment horizontal="left"/>
    </xf>
    <xf numFmtId="0" fontId="2" fillId="2" borderId="23" xfId="0" applyFont="1" applyFill="1" applyBorder="1" applyAlignment="1">
      <alignment horizontal="center"/>
    </xf>
  </cellXfs>
  <cellStyles count="2">
    <cellStyle name="Standard" xfId="0" builtinId="0"/>
    <cellStyle name="Währung" xfId="1" builtinId="4"/>
  </cellStyles>
  <dxfs count="57"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  <alignment horizontal="right" vertical="center" textRotation="0" wrapText="0" indent="0" justifyLastLine="0" shrinkToFit="0" readingOrder="0"/>
    </dxf>
    <dxf>
      <numFmt numFmtId="1" formatCode="0"/>
      <alignment horizontal="right" vertical="center" textRotation="0" wrapText="0" indent="0" justifyLastLine="0" shrinkToFit="0" readingOrder="0"/>
    </dxf>
    <dxf>
      <numFmt numFmtId="17" formatCode="#\ ?/?"/>
      <alignment horizontal="right" vertical="center" textRotation="0" wrapText="0" indent="0" justifyLastLine="0" shrinkToFit="0" readingOrder="0"/>
    </dxf>
    <dxf>
      <numFmt numFmtId="17" formatCode="#\ ?/?"/>
      <alignment horizontal="right" vertical="center" textRotation="0" wrapText="0" indent="0" justifyLastLine="0" shrinkToFit="0" readingOrder="0"/>
    </dxf>
    <dxf>
      <numFmt numFmtId="17" formatCode="#\ ?/?"/>
      <alignment horizontal="right" vertical="center" textRotation="0" wrapText="0" indent="0" justifyLastLine="0" shrinkToFit="0" readingOrder="0"/>
    </dxf>
    <dxf>
      <numFmt numFmtId="17" formatCode="#\ ?/?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alignment horizontal="left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8"/>
          <bgColor theme="5" tint="-0.249977111117893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diagonalUp="0" diagonalDown="0" outline="0">
        <left style="medium">
          <color indexed="64"/>
        </left>
        <right/>
        <top/>
        <bottom/>
      </border>
    </dxf>
    <dxf>
      <alignment horizontal="left" textRotation="0" wrapText="0" indent="0" justifyLastLine="0" shrinkToFit="0" readingOrder="0"/>
    </dxf>
  </dxfs>
  <tableStyles count="0" defaultTableStyle="TableStyleMedium2" defaultPivotStyle="PivotStyleLight16"/>
  <colors>
    <mruColors>
      <color rgb="FFCC6600"/>
      <color rgb="FFB17ED8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122463</xdr:colOff>
      <xdr:row>1</xdr:row>
      <xdr:rowOff>122463</xdr:rowOff>
    </xdr:from>
    <xdr:to>
      <xdr:col>17</xdr:col>
      <xdr:colOff>238124</xdr:colOff>
      <xdr:row>10</xdr:row>
      <xdr:rowOff>122462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D1902A20-B44B-4B09-BD39-C10854124FAB}"/>
            </a:ext>
          </a:extLst>
        </xdr:cNvPr>
        <xdr:cNvGrpSpPr/>
      </xdr:nvGrpSpPr>
      <xdr:grpSpPr>
        <a:xfrm>
          <a:off x="23347588" y="328838"/>
          <a:ext cx="1798411" cy="1857374"/>
          <a:chOff x="23281821" y="469445"/>
          <a:chExt cx="1789339" cy="1789339"/>
        </a:xfrm>
      </xdr:grpSpPr>
      <xdr:pic macro="[0]!GA_ETS_Import">
        <xdr:nvPicPr>
          <xdr:cNvPr id="3" name="Grafik 2" descr="Browserfenster">
            <a:extLst>
              <a:ext uri="{FF2B5EF4-FFF2-40B4-BE49-F238E27FC236}">
                <a16:creationId xmlns:a16="http://schemas.microsoft.com/office/drawing/2014/main" id="{23D8E132-2A3F-4947-8486-731BA114F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281821" y="469445"/>
            <a:ext cx="1789339" cy="1789339"/>
          </a:xfrm>
          <a:prstGeom prst="rect">
            <a:avLst/>
          </a:prstGeom>
        </xdr:spPr>
      </xdr:pic>
      <xdr:sp macro="[0]!GA_ETS_Import" textlink="">
        <xdr:nvSpPr>
          <xdr:cNvPr id="4" name="Textfeld 3">
            <a:extLst>
              <a:ext uri="{FF2B5EF4-FFF2-40B4-BE49-F238E27FC236}">
                <a16:creationId xmlns:a16="http://schemas.microsoft.com/office/drawing/2014/main" id="{E82B49F6-3AA8-4741-AD8C-E72B2861E4C6}"/>
              </a:ext>
            </a:extLst>
          </xdr:cNvPr>
          <xdr:cNvSpPr txBox="1"/>
        </xdr:nvSpPr>
        <xdr:spPr>
          <a:xfrm>
            <a:off x="23800269" y="1040946"/>
            <a:ext cx="697500" cy="7498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de-DE" sz="1400" b="1"/>
              <a:t>GA</a:t>
            </a:r>
          </a:p>
          <a:p>
            <a:pPr algn="ctr"/>
            <a:r>
              <a:rPr lang="de-DE" sz="1400" b="1"/>
              <a:t>ETS</a:t>
            </a:r>
          </a:p>
          <a:p>
            <a:pPr algn="ctr"/>
            <a:r>
              <a:rPr lang="de-DE" sz="1400" b="1"/>
              <a:t>Import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809626</xdr:colOff>
      <xdr:row>27</xdr:row>
      <xdr:rowOff>95251</xdr:rowOff>
    </xdr:from>
    <xdr:to>
      <xdr:col>4</xdr:col>
      <xdr:colOff>1279110</xdr:colOff>
      <xdr:row>29</xdr:row>
      <xdr:rowOff>138797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6A1E514F-6711-4DF5-9CF0-AC864E671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6" y="5905501"/>
          <a:ext cx="5218377" cy="4517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uel Calero" refreshedDate="43923.64220347222" backgroundQuery="1" createdVersion="6" refreshedVersion="6" minRefreshableVersion="3" recordCount="0" supportSubquery="1" supportAdvancedDrill="1" xr:uid="{00000000-000A-0000-FFFF-FFFF06000000}">
  <cacheSource type="external" connectionId="1"/>
  <cacheFields count="0"/>
  <cacheHierarchies count="23">
    <cacheHierarchy uniqueName="[Tabelle132].[Zone]" caption="Zone" attribute="1" defaultMemberUniqueName="[Tabelle132].[Zone].[All]" allUniqueName="[Tabelle132].[Zone].[All]" dimensionUniqueName="[Tabelle132]" displayFolder="" count="0" memberValueDatatype="130" unbalanced="0"/>
    <cacheHierarchy uniqueName="[Tabelle132].[Zonennr.]" caption="Zonennr." attribute="1" defaultMemberUniqueName="[Tabelle132].[Zonennr.].[All]" allUniqueName="[Tabelle132].[Zonennr.].[All]" dimensionUniqueName="[Tabelle132]" displayFolder="" count="0" memberValueDatatype="20" unbalanced="0"/>
    <cacheHierarchy uniqueName="[Tabelle132].[Raumcode]" caption="Raumcode" attribute="1" defaultMemberUniqueName="[Tabelle132].[Raumcode].[All]" allUniqueName="[Tabelle132].[Raumcode].[All]" dimensionUniqueName="[Tabelle132]" displayFolder="" count="0" memberValueDatatype="130" unbalanced="0"/>
    <cacheHierarchy uniqueName="[Tabelle132].[Raumnr.]" caption="Raumnr." attribute="1" defaultMemberUniqueName="[Tabelle132].[Raumnr.].[All]" allUniqueName="[Tabelle132].[Raumnr.].[All]" dimensionUniqueName="[Tabelle132]" displayFolder="" count="0" memberValueDatatype="20" unbalanced="0"/>
    <cacheHierarchy uniqueName="[Tabelle132].[Raum]" caption="Raum" attribute="1" defaultMemberUniqueName="[Tabelle132].[Raum].[All]" allUniqueName="[Tabelle132].[Raum].[All]" dimensionUniqueName="[Tabelle132]" displayFolder="" count="0" memberValueDatatype="130" unbalanced="0"/>
    <cacheHierarchy uniqueName="[Tabelle132].[Gesamtnr.]" caption="Gesamtnr." attribute="1" defaultMemberUniqueName="[Tabelle132].[Gesamtnr.].[All]" allUniqueName="[Tabelle132].[Gesamtnr.].[All]" dimensionUniqueName="[Tabelle132]" displayFolder="" count="0" memberValueDatatype="130" unbalanced="0"/>
    <cacheHierarchy uniqueName="[Tabelle132].[Bezeichnung]" caption="Bezeichnung" attribute="1" defaultMemberUniqueName="[Tabelle132].[Bezeichnung].[All]" allUniqueName="[Tabelle132].[Bezeichnung].[All]" dimensionUniqueName="[Tabelle132]" displayFolder="" count="0" memberValueDatatype="130" unbalanced="0"/>
    <cacheHierarchy uniqueName="[Tabelle132].[Geräte/Gewerke]" caption="Geräte/Gewerke" attribute="1" defaultMemberUniqueName="[Tabelle132].[Geräte/Gewerke].[All]" allUniqueName="[Tabelle132].[Geräte/Gewerke].[All]" dimensionUniqueName="[Tabelle132]" displayFolder="" count="0" memberValueDatatype="130" unbalanced="0"/>
    <cacheHierarchy uniqueName="[Tabelle132].[Geräte-Abkürzung]" caption="Geräte-Abkürzung" attribute="1" defaultMemberUniqueName="[Tabelle132].[Geräte-Abkürzung].[All]" allUniqueName="[Tabelle132].[Geräte-Abkürzung].[All]" dimensionUniqueName="[Tabelle132]" displayFolder="" count="0" memberValueDatatype="130" unbalanced="0"/>
    <cacheHierarchy uniqueName="[Tabelle132].[Kategorie]" caption="Kategorie" attribute="1" defaultMemberUniqueName="[Tabelle132].[Kategorie].[All]" allUniqueName="[Tabelle132].[Kategorie].[All]" dimensionUniqueName="[Tabelle132]" displayFolder="" count="0" memberValueDatatype="130" unbalanced="0"/>
    <cacheHierarchy uniqueName="[Tabelle132].[Verbindung]" caption="Verbindung" attribute="1" defaultMemberUniqueName="[Tabelle132].[Verbindung].[All]" allUniqueName="[Tabelle132].[Verbindung].[All]" dimensionUniqueName="[Tabelle132]" displayFolder="" count="0" memberValueDatatype="130" unbalanced="0"/>
    <cacheHierarchy uniqueName="[Tabelle132].[Leitung]" caption="Leitung" attribute="1" defaultMemberUniqueName="[Tabelle132].[Leitung].[All]" allUniqueName="[Tabelle132].[Leitung].[All]" dimensionUniqueName="[Tabelle132]" displayFolder="" count="0" memberValueDatatype="130" unbalanced="0"/>
    <cacheHierarchy uniqueName="[Tabelle132].[Ziel]" caption="Ziel" attribute="1" defaultMemberUniqueName="[Tabelle132].[Ziel].[All]" allUniqueName="[Tabelle132].[Ziel].[All]" dimensionUniqueName="[Tabelle132]" displayFolder="" count="0" memberValueDatatype="130" unbalanced="0"/>
    <cacheHierarchy uniqueName="[Tabelle132].[Code]" caption="Code" attribute="1" defaultMemberUniqueName="[Tabelle132].[Code].[All]" allUniqueName="[Tabelle132].[Code].[All]" dimensionUniqueName="[Tabelle132]" displayFolder="" count="0" memberValueDatatype="130" unbalanced="0"/>
    <cacheHierarchy uniqueName="[Tabelle132].[Gesamtcode]" caption="Gesamtcode" attribute="1" defaultMemberUniqueName="[Tabelle132].[Gesamtcode].[All]" allUniqueName="[Tabelle132].[Gesamtcode].[All]" dimensionUniqueName="[Tabelle132]" displayFolder="" count="0" memberValueDatatype="130" unbalanced="0"/>
    <cacheHierarchy uniqueName="[Tabelle132].[Dose]" caption="Dose" attribute="1" defaultMemberUniqueName="[Tabelle132].[Dose].[All]" allUniqueName="[Tabelle132].[Dose].[All]" dimensionUniqueName="[Tabelle132]" displayFolder="" count="0" memberValueDatatype="130" unbalanced="0"/>
    <cacheHierarchy uniqueName="[Tabelle132].[Installationszone]" caption="Installationszone" attribute="1" defaultMemberUniqueName="[Tabelle132].[Installationszone].[All]" allUniqueName="[Tabelle132].[Installationszone].[All]" dimensionUniqueName="[Tabelle132]" displayFolder="" count="0" memberValueDatatype="130" unbalanced="0"/>
    <cacheHierarchy uniqueName="[Measures].[__XL_Count Tabelle132]" caption="__XL_Count Tabelle132" measure="1" displayFolder="" measureGroup="Tabelle132" count="0" hidden="1"/>
    <cacheHierarchy uniqueName="[Measures].[__No measures defined]" caption="__No measures defined" measure="1" displayFolder="" count="0" hidden="1"/>
    <cacheHierarchy uniqueName="[Measures].[Anzahl von Geräte/Gewerke]" caption="Anzahl von Geräte/Gewerke" measure="1" displayFolder="" measureGroup="Tabelle132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me von Zonennr.]" caption="Summe von Zonennr." measure="1" displayFolder="" measureGroup="Tabelle132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Anzahl von Zone]" caption="Anzahl von Zone" measure="1" displayFolder="" measureGroup="Tabelle132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Anzahl von Geräte-Abkürzung]" caption="Anzahl von Geräte-Abkürzung" measure="1" displayFolder="" measureGroup="Tabelle132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measure="1" name="Measures" uniqueName="[Measures]" caption="Measures"/>
    <dimension name="Tabelle132" uniqueName="[Tabelle132]" caption="Tabelle132"/>
  </dimensions>
  <measureGroups count="1">
    <measureGroup name="Tabelle132" caption="Tabelle13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 Singer" refreshedDate="46040.297613657407" createdVersion="6" refreshedVersion="8" minRefreshableVersion="3" recordCount="397" xr:uid="{00000000-000A-0000-FFFF-FFFF07000000}">
  <cacheSource type="worksheet">
    <worksheetSource name="Tabelle132"/>
  </cacheSource>
  <cacheFields count="17">
    <cacheField name="Zone" numFmtId="0">
      <sharedItems containsBlank="1"/>
    </cacheField>
    <cacheField name="Zonennr." numFmtId="0">
      <sharedItems containsString="0" containsBlank="1" containsNumber="1" containsInteger="1" minValue="1" maxValue="2"/>
    </cacheField>
    <cacheField name="Raumcode" numFmtId="0">
      <sharedItems containsBlank="1"/>
    </cacheField>
    <cacheField name="Raumnr." numFmtId="0">
      <sharedItems containsString="0" containsBlank="1" containsNumber="1" containsInteger="1" minValue="1" maxValue="9"/>
    </cacheField>
    <cacheField name="Raum" numFmtId="0">
      <sharedItems containsBlank="1" count="35">
        <s v="Flur"/>
        <s v="WC"/>
        <s v="Büro"/>
        <s v="Esszimmer"/>
        <s v="Küche"/>
        <s v="Wohnzimmer"/>
        <s v="Speis"/>
        <s v="Technik"/>
        <s v="Treppenkammer"/>
        <s v="Kinderzimmer 1"/>
        <s v="Kinderzimmer 2"/>
        <s v="Treppenhaus"/>
        <s v="Bad"/>
        <s v="Ankleide"/>
        <s v="Schlafzimmer"/>
        <s v="Hobby"/>
        <m/>
        <s v="Eingang" u="1"/>
        <s v="Terrasse Süd" u="1"/>
        <s v="Terrasse Ost" u="1"/>
        <s v="Eingang Technikraum" u="1"/>
        <s v="Garten Süd" u="1"/>
        <s v="Garten Ost" u="1"/>
        <s v="Schuppen" u="1"/>
        <s v="Dach" u="1"/>
        <s v="Hauswirtschaftsraum" u="1"/>
        <s v="Treppe" u="1"/>
        <s v="Gästezimmer" u="1"/>
        <s v="Garage" u="1"/>
        <s v="Technikraum" u="1"/>
        <s v="Galerie" u="1"/>
        <s v="Bad Eltern" u="1"/>
        <s v="Bad Kinder" u="1"/>
        <s v="Studio" u="1"/>
        <s v="Schlafzimmer Eltern" u="1"/>
      </sharedItems>
    </cacheField>
    <cacheField name="Gesamtnr." numFmtId="49">
      <sharedItems containsBlank="1"/>
    </cacheField>
    <cacheField name="Bezeichnung" numFmtId="0">
      <sharedItems containsBlank="1" count="282">
        <s v="Tastsensor"/>
        <s v="LED Stripe Schuhnische"/>
        <s v="Spot 1"/>
        <s v="Spot 2"/>
        <s v="Spot 3"/>
        <s v="Spot 4"/>
        <s v="Spot 5"/>
        <s v="Spot 6"/>
        <s v="Spot 7"/>
        <s v="Spot 8"/>
        <s v="LED Stripe Spiegel"/>
        <s v="LED Stripe Garderobe"/>
        <s v="DALI EVG Spots"/>
        <s v="DALI EVG Nische"/>
        <s v="DALI EVG Spiegel"/>
        <s v="DALI EVG Garderobe"/>
        <s v="Steckdose 1"/>
        <s v="Steckdose 2"/>
        <s v="Steckdose 3"/>
        <s v="Steckdose 4"/>
        <s v="Steckdose 5"/>
        <s v="Steckdose 6"/>
        <s v="Bewegungsmelder"/>
        <s v="Anschluss Wallscreen"/>
        <s v="HDMI"/>
        <s v="Deckenlautsprecher"/>
        <s v="Netzwerkdose"/>
        <s v="Türöffner"/>
        <s v="Anschluss Dusch-WC"/>
        <s v="Steckdose Waschtisch 1"/>
        <s v="Steckdose Waschtisch 2"/>
        <s v="Anschluss Rolladen"/>
        <s v="Steckdose Fenster"/>
        <s v="Fensterkontakt"/>
        <s v="Hängelampe Waschtisch"/>
        <s v="Spot WC 1"/>
        <s v="Spot WC 2"/>
        <s v="Spot Dusche 1"/>
        <s v="Spot Dusche 2"/>
        <s v="DALI UP-Dimmer Waschtisch"/>
        <s v="Anschluss Rolladen Nord"/>
        <s v="Anschluss Rolladen West"/>
        <s v="Steckdose Nord 1"/>
        <s v="Steckdose Nord 2"/>
        <s v="Steckdose Nord 3"/>
        <s v="Steckdose Nord 4"/>
        <s v="Steckdose Nord 5"/>
        <s v="Netzwerkdose Nord"/>
        <s v="Steckdose Fenster Nord"/>
        <s v="Steckdose Ost 1"/>
        <s v="Steckdose Ost 2"/>
        <s v="Steckdose Ost 3"/>
        <s v="Steckdose Ost 4"/>
        <s v="Steckdose Ost 5"/>
        <s v="Netzwerkdose Ost"/>
        <s v="Steckdose Ost 6"/>
        <s v="Steckdose Süd 1"/>
        <s v="Steckdose Süd 2"/>
        <s v="Steckdose Süd 3"/>
        <s v="Steckdose Süd 4"/>
        <s v="Steckdose Süd 5"/>
        <s v="Netzwerkdose Süd"/>
        <s v="Steckdose Fenster West"/>
        <s v="Fensterkontakt Nord"/>
        <s v="Fensterkontakt West"/>
        <s v="Präsenzmelder"/>
        <s v="Spots n"/>
        <s v="Deckenlautsprecher 1"/>
        <s v="Deckenlautsprecher 2"/>
        <s v="Steckdose Nord 6"/>
        <s v="Tastsensor Nord"/>
        <s v="Steckdose West 1"/>
        <s v="Steckdose West 2"/>
        <s v="LED Stripe Ambiente"/>
        <s v="DALI EVG Ambiente"/>
        <s v="Anschluss Rolladen Süd"/>
        <s v="Steckdose Geschirrspüler"/>
        <s v="Steckdose Backofen"/>
        <s v="Steckdose Nische 1"/>
        <s v="Steckdose Nische 2"/>
        <s v="Steckdose Nische 3"/>
        <s v="Steckdose Kühlschrank"/>
        <s v="Tastsensor Ost"/>
        <s v="Steckdose Insel 1"/>
        <s v="Steckdose Insel 2"/>
        <s v="Steckdose Insel 3"/>
        <s v="Anschluss Induktionsherd"/>
        <s v="Anschluss Wasseraufbereiter"/>
        <s v="Steckdose Fenster Süd"/>
        <s v="Tastsensor Süd"/>
        <s v="Fensterkontakt Süd"/>
        <s v="LED Stripe Insel"/>
        <s v="Spots Insel"/>
        <s v="Spots Hochschränke"/>
        <s v="LED Stripe Decke"/>
        <s v="LED Stripe Hochschranknische"/>
        <s v="DALI EVG Insel"/>
        <s v="DALI EVG Hochschranknische"/>
        <s v="DALI EVG Decken Stripe"/>
        <s v="Steckdose TV 1"/>
        <s v="Steckdose TV 2"/>
        <s v="Steckdose TV 3"/>
        <s v="Steckdose TV 4"/>
        <s v="Steckdose TV 5"/>
        <s v="Steckdose TV 6"/>
        <s v="Netzwerkdose TV"/>
        <s v="Steckdose Fenster Ost"/>
        <s v="Anschluss Rolladen Ost"/>
        <s v="Fensterkontakt Ost"/>
        <s v="Steckdose West 3"/>
        <s v="Steckdose West 4"/>
        <s v="Steckdose West 5"/>
        <s v="Steckdose Beamer Decke"/>
        <s v="HDMI Dose"/>
        <s v="Netzwerkdose Beamer"/>
        <s v="LED Stripe TV Wand"/>
        <s v="LED Stripe Sitzfenster"/>
        <s v="DALI EVG TV Wand"/>
        <s v="DALI EVG Sitzfenster"/>
        <s v="Steckdose Gefrierschrank"/>
        <s v="Steckdose Süd 6"/>
        <s v="LED Stripe Arbeitsfläche"/>
        <s v="DALI EVG Arbeitsfläche"/>
        <s v="Steckdose Waschmaschine"/>
        <s v="Steckdose Trockner"/>
        <s v="Spot 1 Durchgang"/>
        <s v="Spot 2 Durchgang"/>
        <s v="Deckenlampe Heizung"/>
        <s v="Deckenlampe HWR"/>
        <s v="Wandlicht West"/>
        <s v="Wandlicht Nord"/>
        <s v="Netzwerkdose West"/>
        <s v="Stellmotor HKV n"/>
        <s v="LED Stripe Brüstung"/>
        <s v="DALI EVG Brüstung"/>
        <s v="Hängeleuchte Treppe"/>
        <s v="DALI UP-Dimmer Treppe"/>
        <s v="LED Stripe Handlauf"/>
        <s v="DALI EVG Handlauf"/>
        <s v="Bewegungsmelder oben"/>
        <s v="Bewegungsmelder unten"/>
        <s v="Steckdose Handtuchtrockner"/>
        <s v="Steckdose Waschtisch 3"/>
        <s v="Steckdose Waschtisch 4"/>
        <s v="LED Stripe Badewanne"/>
        <s v="LED Stripe Dusche innen"/>
        <s v="LED Stripe Duschwand oben"/>
        <s v="LED Stripe WC Wand"/>
        <s v="LED Stripe Spiegelschrank"/>
        <s v="DALI EVG LED Stripes"/>
        <s v="Anschluss elektrisches Türschloss"/>
        <s v="Steckdose Ost (Orientierungslicht)"/>
        <s v="LED Schrankbeleuchtung Nord"/>
        <s v="LED Schrankbeleuchtung Süd"/>
        <s v="DALI EVG Schrankbeleuchtung"/>
        <s v="Tastsensor Nord 1"/>
        <s v="Tastsensor Nord 2"/>
        <s v="LED Stripe Schattenfuge"/>
        <s v="LED Stripe Bettwand"/>
        <s v="DALI LED Stripe"/>
        <m/>
        <s v="Tastsensor Temp." u="1"/>
        <s v="Anschluss Jalousie" u="1"/>
        <s v="Fenster Steckdose 1" u="1"/>
        <s v="Fensterkontakt 1" u="1"/>
        <s v="Steckdose" u="1"/>
        <s v="Beleuchtung Nische" u="1"/>
        <s v="BM" u="1"/>
        <s v="Türkommunikationssystem" u="1"/>
        <s v="Wandlampe 1" u="1"/>
        <s v="Wandlampe 2" u="1"/>
        <s v="Wandlampe" u="1"/>
        <s v="Markise" u="1"/>
        <s v="Füllstandssensor Zisterne" u="1"/>
        <s v="Schalter" u="1"/>
        <s v="Deckenlampe" u="1"/>
        <s v="Wetterstattion" u="1"/>
        <s v="Spannungsversorgung" u="1"/>
        <s v="Taster Temp" u="1"/>
        <s v="KM Fenster" u="1"/>
        <s v="FBH" u="1"/>
        <s v="Steckdose WM" u="1"/>
        <s v="Steckdose TR" u="1"/>
        <s v="Steckdose Bügeleisen" u="1"/>
        <s v="Steckdose Staubsauger" u="1"/>
        <s v="Steckdose Saugroboter" u="1"/>
        <s v="Rolladen Fenster West" u="1"/>
        <s v="BM oben" u="1"/>
        <s v="BM unten" u="1"/>
        <s v="Feuermelder Relais" u="1"/>
        <s v="Wandlampe (Spot) 1" u="1"/>
        <s v="Wandlampe (Spot) 2" u="1"/>
        <s v="Wandlampe (Spot) 3" u="1"/>
        <s v="Treppenlampe (Spot) 1" u="1"/>
        <s v="Treppenlampe (Spot) 2" u="1"/>
        <s v="Treppenlampe (Spot) 3" u="1"/>
        <s v="Treppenlampe (Spot) 4" u="1"/>
        <s v="Treppenlampe (Spot) 5" u="1"/>
        <s v="Treppenlampe (Spot) 6" u="1"/>
        <s v="Treppenlampe (Spot) 7" u="1"/>
        <s v="Steckdose Kaffemaschine" u="1"/>
        <s v="Steckdose Milchaufschäumer" u="1"/>
        <s v="Steckdose Alexa" u="1"/>
        <s v="Steckdose Ofen" u="1"/>
        <s v="Steckdose Mikrowelle" u="1"/>
        <s v="Steckdose Schranklicht" u="1"/>
        <s v="Steckdose Spülmaschine" u="1"/>
        <s v="Steckdose frei 1" u="1"/>
        <s v="Steckdose DAH 1" u="1"/>
        <s v="Steckdose DAH 2" u="1"/>
        <s v="Steckdose Insel" u="1"/>
        <s v="Spot 9" u="1"/>
        <s v="Jalousie Festverglasung Ost" u="1"/>
        <s v="Rolladen Festverglasung Nord" u="1"/>
        <s v="Anschluss Herd" u="1"/>
        <s v="PM 1" u="1"/>
        <s v="PM 2" u="1"/>
        <s v="Taster" u="1"/>
        <s v="KM Hauseingangstür" u="1"/>
        <s v="Bedienpanel" u="1"/>
        <s v="Ethernet Flur" u="1"/>
        <s v="FBH Flur" u="1"/>
        <s v="Anschluss Gong" u="1"/>
        <s v="Signal Gong" u="1"/>
        <s v="Elektrisches Türschloss" u="1"/>
        <s v="Taster Smart" u="1"/>
        <s v="KM Tür" u="1"/>
        <s v="Steckdose Bett 1" u="1"/>
        <s v="Steckdose Bett 2" u="1"/>
        <s v="Rolladen Tür Süd" u="1"/>
        <s v="Steckdose Telefon" u="1"/>
        <s v="Unterdruckrmelder" u="1"/>
        <s v="Steckdose TV" u="1"/>
        <s v="Steckdose Soundbar" u="1"/>
        <s v="Steckdose Bass-Box" u="1"/>
        <s v="Steckdose Stereo Anlage" u="1"/>
        <s v="Jalousie Festverglasung Süd" u="1"/>
        <s v="Spot Wandnische 1" u="1"/>
        <s v="Spot Wandnische 2" u="1"/>
        <s v="Spot Wandnische 3" u="1"/>
        <s v="KM Schiebetür Süd" u="1"/>
        <s v="KM Tür Ost" u="1"/>
        <s v="Ethernet" u="1"/>
        <s v="Jalousie Schiebetür Süd" u="1"/>
        <s v="Jalousie Fenster Ost" u="1"/>
        <s v="Jalousie Tür Ost" u="1"/>
        <s v="PM" u="1"/>
        <s v="Garagentor - KNX Einbindung" u="1"/>
        <s v="Steckendose 1" u="1"/>
        <s v="Steckendose 2" u="1"/>
        <s v="Anschluss Garagentorantrieb " u="1"/>
        <s v="Steckendose 3" u="1"/>
        <s v="Bewässerungsventil 1" u="1"/>
        <s v="Bewässerungsventil 2" u="1"/>
        <s v="Bewässerungsventil 3" u="1"/>
        <s v="Bewässerungsventil 4" u="1"/>
        <s v="Bewässerungsventil 5" u="1"/>
        <s v="Bewässerungsventil 6" u="1"/>
        <s v="Bewässerungsventil 7" u="1"/>
        <s v="Bewässerungsventil 8" u="1"/>
        <s v="Anschluss Frischwasserventil" u="1"/>
        <s v="Anschluss Wasserkraftwerk" u="1"/>
        <s v="Taster Bett" u="1"/>
        <s v="KM Fenster West" u="1"/>
        <s v="KM Fenster Nord" u="1"/>
        <s v="Rolladen Fenster Nord" u="1"/>
        <s v="TV 1" u="1"/>
        <s v="TV 2" u="1"/>
        <s v="KM Fenster Ost" u="1"/>
        <s v="Rolladen Fenster Ost" u="1"/>
        <s v="Anschluss Schminkspiegel" u="1"/>
        <s v="Rolladen Fenster West " u="1"/>
        <s v="Lampe Dachboden" u="1"/>
        <s v="Steckdose Schranklichter links" u="1"/>
        <s v="Steckdose Schranklichter rechts" u="1"/>
        <s v="KM Fenster Süd" u="1"/>
        <s v="Steckdose Kind 1" u="1"/>
        <s v="Steckdose Kind 2" u="1"/>
        <s v="Steckdose Kind 3" u="1"/>
        <s v="Rolladen Fenster Süd" u="1"/>
        <s v="Taster Bett 1" u="1"/>
        <s v="Taster Bett 2" u="1"/>
      </sharedItems>
    </cacheField>
    <cacheField name="Geräte/Gewerke" numFmtId="0">
      <sharedItems containsBlank="1" count="11">
        <s v="Sensoren"/>
        <s v="Beleuchtung"/>
        <s v="Zentral"/>
        <s v="Steckdosen"/>
        <s v="Audio"/>
        <s v="Zugriffskontrolle"/>
        <s v="Beschattung"/>
        <m/>
        <s v="HeizungKlimaLüftung" u="1"/>
        <s v="Bewässerung" u="1"/>
        <s v="Heizung-Klima-Lüftung" u="1"/>
      </sharedItems>
    </cacheField>
    <cacheField name="Geräte-Abkürzung" numFmtId="0">
      <sharedItems containsNonDate="0" containsString="0" containsBlank="1"/>
    </cacheField>
    <cacheField name="Kategorie" numFmtId="0">
      <sharedItems containsBlank="1" count="40">
        <s v="Taster mit Temperaturmesser"/>
        <s v="dimmbar"/>
        <s v="tunable white"/>
        <s v="DALI DT8 EVG"/>
        <s v="DALI DT6 EVG"/>
        <s v="ohne Schaltaktor"/>
        <s v="Bewegungsmelder"/>
        <s v="Anschluss ohne Steckdose"/>
        <m/>
        <s v="Motorschloss"/>
        <s v="Rollladen"/>
        <s v="mit Schaltaktor"/>
        <s v="Fensterkontakt Reed"/>
        <s v="DALI UP-Dimmer"/>
        <s v="Raffstore"/>
        <s v="LAN 2-fach"/>
        <s v="Präsenzmelder mit KLR"/>
        <s v="LAN 1-fach"/>
        <s v="Taster"/>
        <s v="HDMI"/>
        <s v="nicht dimmbar"/>
        <s v="Bewegungsmelder - außen" u="1"/>
        <s v="Türkommikation" u="1"/>
        <s v="Markise" u="1"/>
        <s v="Füllstandssensor" u="1"/>
        <s v="Schalter" u="1"/>
        <s v="Wetterstation" u="1"/>
        <s v="Kontaktmelder" u="1"/>
        <s v="Heizungsaktor" u="1"/>
        <s v="Rolladen" u="1"/>
        <s v="Feuermelder" u="1"/>
        <s v="Jalousie" u="1"/>
        <s v="Präsenzmelder" u="1"/>
        <s v="Bedienpanel" u="1"/>
        <s v="LAN" u="1"/>
        <s v="Taster smart" u="1"/>
        <s v="TAE" u="1"/>
        <s v="Unterdruckmelder" u="1"/>
        <s v="Garagentor" u="1"/>
        <s v="Ventilaktor" u="1"/>
      </sharedItems>
    </cacheField>
    <cacheField name="Verbindung" numFmtId="0">
      <sharedItems containsBlank="1" count="12">
        <s v="KNX"/>
        <s v="DALI"/>
        <s v="24 V DC"/>
        <s v="230 V AC"/>
        <s v="HDMI"/>
        <s v="DIGITAL (potentialfrei)"/>
        <s v="Ethernet"/>
        <s v="230 V AC - Beschattung"/>
        <s v="230 V AC - Heizung"/>
        <m/>
        <s v="PoE" u="1"/>
        <s v="Telefon" u="1"/>
      </sharedItems>
    </cacheField>
    <cacheField name="Leitung" numFmtId="0">
      <sharedItems containsBlank="1"/>
    </cacheField>
    <cacheField name="Ziel" numFmtId="0">
      <sharedItems containsBlank="1"/>
    </cacheField>
    <cacheField name="Code" numFmtId="0">
      <sharedItems containsBlank="1"/>
    </cacheField>
    <cacheField name="Gesamtcode" numFmtId="0">
      <sharedItems containsBlank="1"/>
    </cacheField>
    <cacheField name="Dose" numFmtId="0">
      <sharedItems containsNonDate="0" containsString="0" containsBlank="1"/>
    </cacheField>
    <cacheField name="Installationszon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7">
  <r>
    <s v="Erdgeschoss"/>
    <n v="1"/>
    <s v="E1"/>
    <n v="1"/>
    <x v="0"/>
    <s v="1.1"/>
    <x v="0"/>
    <x v="0"/>
    <m/>
    <x v="0"/>
    <x v="0"/>
    <s v="KNX"/>
    <s v="KNX-Bus"/>
    <s v="TS1"/>
    <s v="E1.TS1"/>
    <m/>
    <s v="Mitte"/>
  </r>
  <r>
    <s v="Erdgeschoss"/>
    <n v="1"/>
    <s v="E1"/>
    <n v="1"/>
    <x v="0"/>
    <s v="1.1"/>
    <x v="0"/>
    <x v="0"/>
    <m/>
    <x v="0"/>
    <x v="0"/>
    <s v="KNX"/>
    <s v="KNX-Bus"/>
    <s v="TS2"/>
    <s v="E1.TS2"/>
    <m/>
    <s v="Mitte"/>
  </r>
  <r>
    <s v="Erdgeschoss"/>
    <n v="1"/>
    <s v="E1"/>
    <n v="1"/>
    <x v="0"/>
    <s v="1.1"/>
    <x v="1"/>
    <x v="1"/>
    <m/>
    <x v="1"/>
    <x v="1"/>
    <s v="LED 2x1,5"/>
    <s v="DALI EVG"/>
    <s v="BL1"/>
    <s v="E1.BL1"/>
    <m/>
    <s v="unten"/>
  </r>
  <r>
    <s v="Erdgeschoss"/>
    <n v="1"/>
    <s v="E1"/>
    <n v="1"/>
    <x v="0"/>
    <s v="1.1"/>
    <x v="2"/>
    <x v="1"/>
    <m/>
    <x v="2"/>
    <x v="1"/>
    <s v="LED 2x1,5"/>
    <s v="DALI EVG"/>
    <s v="BL2"/>
    <s v="E1.BL2"/>
    <m/>
    <s v="Decke"/>
  </r>
  <r>
    <s v="Erdgeschoss"/>
    <n v="1"/>
    <s v="E1"/>
    <n v="1"/>
    <x v="0"/>
    <s v="1.1"/>
    <x v="3"/>
    <x v="1"/>
    <m/>
    <x v="2"/>
    <x v="1"/>
    <s v="LED 2x1,5"/>
    <s v="DALI EVG"/>
    <s v="BL3"/>
    <s v="E1.BL3"/>
    <m/>
    <s v="Decke"/>
  </r>
  <r>
    <s v="Erdgeschoss"/>
    <n v="1"/>
    <s v="E1"/>
    <n v="1"/>
    <x v="0"/>
    <s v="1.1"/>
    <x v="4"/>
    <x v="1"/>
    <m/>
    <x v="2"/>
    <x v="1"/>
    <s v="LED 2x1,5"/>
    <s v="DALI EVG"/>
    <s v="BL4"/>
    <s v="E1.BL4"/>
    <m/>
    <s v="Decke"/>
  </r>
  <r>
    <s v="Erdgeschoss"/>
    <n v="1"/>
    <s v="E1"/>
    <n v="1"/>
    <x v="0"/>
    <s v="1.1"/>
    <x v="5"/>
    <x v="1"/>
    <m/>
    <x v="2"/>
    <x v="1"/>
    <s v="LED 2x1,5"/>
    <s v="DALI EVG"/>
    <s v="BL5"/>
    <s v="E1.BL5"/>
    <m/>
    <s v="Decke"/>
  </r>
  <r>
    <s v="Erdgeschoss"/>
    <n v="1"/>
    <s v="E1"/>
    <n v="1"/>
    <x v="0"/>
    <s v="1.1"/>
    <x v="6"/>
    <x v="1"/>
    <m/>
    <x v="2"/>
    <x v="1"/>
    <s v="LED 2x1,5"/>
    <s v="DALI EVG"/>
    <s v="BL6"/>
    <s v="E1.BL6"/>
    <m/>
    <s v="Decke"/>
  </r>
  <r>
    <s v="Erdgeschoss"/>
    <n v="1"/>
    <s v="E1"/>
    <n v="1"/>
    <x v="0"/>
    <s v="1.1"/>
    <x v="7"/>
    <x v="1"/>
    <m/>
    <x v="2"/>
    <x v="1"/>
    <s v="LED 2x1,5"/>
    <s v="DALI EVG"/>
    <s v="BL7"/>
    <s v="E1.BL7"/>
    <m/>
    <s v="Decke"/>
  </r>
  <r>
    <s v="Erdgeschoss"/>
    <n v="1"/>
    <s v="E1"/>
    <n v="1"/>
    <x v="0"/>
    <s v="1.1"/>
    <x v="8"/>
    <x v="1"/>
    <m/>
    <x v="2"/>
    <x v="1"/>
    <s v="LED 2x1,5"/>
    <s v="DALI EVG"/>
    <s v="BL8"/>
    <s v="E1.BL8"/>
    <m/>
    <s v="Decke"/>
  </r>
  <r>
    <s v="Erdgeschoss"/>
    <n v="1"/>
    <s v="E1"/>
    <n v="1"/>
    <x v="0"/>
    <s v="1.1"/>
    <x v="9"/>
    <x v="1"/>
    <m/>
    <x v="2"/>
    <x v="1"/>
    <s v="LED 2x1,5"/>
    <s v="DALI EVG"/>
    <s v="BL9"/>
    <s v="E1.BL9"/>
    <m/>
    <s v="Decke"/>
  </r>
  <r>
    <s v="Erdgeschoss"/>
    <n v="1"/>
    <s v="E1"/>
    <n v="1"/>
    <x v="0"/>
    <s v="1.1"/>
    <x v="10"/>
    <x v="1"/>
    <m/>
    <x v="1"/>
    <x v="1"/>
    <s v="LED 2x1,5"/>
    <s v="DALI EVG"/>
    <s v="BL10"/>
    <s v="E1.BL10"/>
    <m/>
    <s v="Mitte"/>
  </r>
  <r>
    <s v="Erdgeschoss"/>
    <n v="1"/>
    <s v="E1"/>
    <n v="1"/>
    <x v="0"/>
    <s v="1.1"/>
    <x v="11"/>
    <x v="1"/>
    <m/>
    <x v="1"/>
    <x v="1"/>
    <s v="LED 2x1,5"/>
    <s v="DALI EVG"/>
    <s v="BL11"/>
    <s v="E1.BL11"/>
    <m/>
    <s v="Mitte"/>
  </r>
  <r>
    <s v="Erdgeschoss"/>
    <n v="1"/>
    <s v="E1"/>
    <n v="1"/>
    <x v="0"/>
    <s v="1.1"/>
    <x v="12"/>
    <x v="2"/>
    <m/>
    <x v="3"/>
    <x v="2"/>
    <s v="ÖLFLEX 3x2,5"/>
    <s v="24V Netzteil"/>
    <s v="DA1"/>
    <s v="E1.DA1"/>
    <m/>
    <m/>
  </r>
  <r>
    <s v="Erdgeschoss"/>
    <n v="1"/>
    <s v="E1"/>
    <n v="1"/>
    <x v="0"/>
    <s v="1.1"/>
    <x v="13"/>
    <x v="2"/>
    <m/>
    <x v="4"/>
    <x v="2"/>
    <s v="ÖLFLEX 3x2,5"/>
    <s v="24V Netzteil"/>
    <s v="DA2"/>
    <s v="E1.DA2"/>
    <m/>
    <m/>
  </r>
  <r>
    <s v="Erdgeschoss"/>
    <n v="1"/>
    <s v="E1"/>
    <n v="1"/>
    <x v="0"/>
    <s v="1.1"/>
    <x v="14"/>
    <x v="2"/>
    <m/>
    <x v="4"/>
    <x v="2"/>
    <s v="ÖLFLEX 3x2,5"/>
    <s v="24V Netzteil"/>
    <s v="DA3"/>
    <s v="E1.DA3"/>
    <m/>
    <m/>
  </r>
  <r>
    <s v="Erdgeschoss"/>
    <n v="1"/>
    <s v="E1"/>
    <n v="1"/>
    <x v="0"/>
    <s v="1.1"/>
    <x v="15"/>
    <x v="2"/>
    <m/>
    <x v="4"/>
    <x v="2"/>
    <s v="ÖLFLEX 3x2,5"/>
    <s v="24V Netzteil"/>
    <s v="DA4"/>
    <s v="E1.DA4"/>
    <m/>
    <m/>
  </r>
  <r>
    <s v="Erdgeschoss"/>
    <n v="1"/>
    <s v="E1"/>
    <n v="1"/>
    <x v="0"/>
    <s v="1.1"/>
    <x v="16"/>
    <x v="3"/>
    <m/>
    <x v="5"/>
    <x v="3"/>
    <s v="NYM 5x1,5"/>
    <s v="Hauptverteilung"/>
    <s v="SD1"/>
    <s v="E1.SD1"/>
    <m/>
    <s v="unten"/>
  </r>
  <r>
    <s v="Erdgeschoss"/>
    <n v="1"/>
    <s v="E1"/>
    <n v="1"/>
    <x v="0"/>
    <s v="1.1"/>
    <x v="17"/>
    <x v="3"/>
    <m/>
    <x v="5"/>
    <x v="3"/>
    <s v="NYM 5x1,5"/>
    <s v="Hauptverteilung"/>
    <s v="SD2"/>
    <s v="E1.SD2"/>
    <m/>
    <s v="unten"/>
  </r>
  <r>
    <s v="Erdgeschoss"/>
    <n v="1"/>
    <s v="E1"/>
    <n v="1"/>
    <x v="0"/>
    <s v="1.1"/>
    <x v="18"/>
    <x v="3"/>
    <m/>
    <x v="5"/>
    <x v="3"/>
    <s v="NYM 5x1,5"/>
    <s v="Hauptverteilung"/>
    <s v="SD3"/>
    <s v="E1.SD3"/>
    <m/>
    <s v="unten"/>
  </r>
  <r>
    <s v="Erdgeschoss"/>
    <n v="1"/>
    <s v="E1"/>
    <n v="1"/>
    <x v="0"/>
    <s v="1.1"/>
    <x v="19"/>
    <x v="3"/>
    <m/>
    <x v="5"/>
    <x v="3"/>
    <s v="NYM 5x1,5"/>
    <s v="Hauptverteilung"/>
    <s v="SD4"/>
    <s v="E1.SD4"/>
    <m/>
    <s v="unten"/>
  </r>
  <r>
    <s v="Erdgeschoss"/>
    <n v="1"/>
    <s v="E1"/>
    <n v="1"/>
    <x v="0"/>
    <s v="1.1"/>
    <x v="20"/>
    <x v="3"/>
    <m/>
    <x v="5"/>
    <x v="3"/>
    <s v="NYM 5x1,5"/>
    <s v="Hauptverteilung"/>
    <s v="SD5"/>
    <s v="E1.SD5"/>
    <m/>
    <s v="unten"/>
  </r>
  <r>
    <s v="Erdgeschoss"/>
    <n v="1"/>
    <s v="E1"/>
    <n v="1"/>
    <x v="0"/>
    <s v="1.1"/>
    <x v="21"/>
    <x v="3"/>
    <m/>
    <x v="5"/>
    <x v="3"/>
    <s v="NYM 5x1,5"/>
    <s v="Hauptverteilung"/>
    <s v="SD6"/>
    <s v="E1.SD6"/>
    <m/>
    <s v="unten"/>
  </r>
  <r>
    <s v="Erdgeschoss"/>
    <n v="1"/>
    <s v="E1"/>
    <n v="1"/>
    <x v="0"/>
    <s v="1.1"/>
    <x v="22"/>
    <x v="0"/>
    <m/>
    <x v="6"/>
    <x v="0"/>
    <s v="KNX"/>
    <s v="KNX-Bus"/>
    <s v="BM1"/>
    <s v="E1.BM1"/>
    <m/>
    <s v="Decke"/>
  </r>
  <r>
    <s v="Erdgeschoss"/>
    <n v="1"/>
    <s v="E1"/>
    <n v="1"/>
    <x v="0"/>
    <s v="1.1"/>
    <x v="23"/>
    <x v="3"/>
    <m/>
    <x v="7"/>
    <x v="3"/>
    <s v="NYM 3x1,5"/>
    <s v="KNX Schaltaktor"/>
    <s v="SD7"/>
    <s v="E1.SD7"/>
    <m/>
    <s v="Mitte"/>
  </r>
  <r>
    <s v="Erdgeschoss"/>
    <n v="1"/>
    <s v="E1"/>
    <n v="1"/>
    <x v="0"/>
    <s v="1.1"/>
    <x v="24"/>
    <x v="3"/>
    <m/>
    <x v="7"/>
    <x v="4"/>
    <s v="HDMI"/>
    <s v="Server Rack"/>
    <s v="HD1"/>
    <s v="E1.HD1"/>
    <m/>
    <s v="Mitte"/>
  </r>
  <r>
    <s v="Erdgeschoss"/>
    <n v="1"/>
    <s v="E1"/>
    <n v="1"/>
    <x v="0"/>
    <s v="1.1"/>
    <x v="25"/>
    <x v="4"/>
    <m/>
    <x v="8"/>
    <x v="5"/>
    <s v="LS-FL 2x1,5"/>
    <s v="Server Rack"/>
    <s v="DL1"/>
    <s v="E1.DL1"/>
    <m/>
    <s v="Decke"/>
  </r>
  <r>
    <s v="Erdgeschoss"/>
    <n v="1"/>
    <s v="E1"/>
    <n v="1"/>
    <x v="0"/>
    <s v="1.1"/>
    <x v="26"/>
    <x v="3"/>
    <m/>
    <x v="7"/>
    <x v="6"/>
    <s v="Cat7"/>
    <s v="Server Rack"/>
    <s v="ND1"/>
    <s v="E1.ND1"/>
    <m/>
    <s v="Mitte"/>
  </r>
  <r>
    <s v="Erdgeschoss"/>
    <n v="1"/>
    <s v="E1"/>
    <n v="1"/>
    <x v="0"/>
    <s v="1.1"/>
    <x v="27"/>
    <x v="5"/>
    <m/>
    <x v="9"/>
    <x v="2"/>
    <s v="ÖLFLEX 3x2,5"/>
    <s v="Hauptverteilung"/>
    <s v="ZK1"/>
    <s v="E1.ZK1"/>
    <m/>
    <s v="unten"/>
  </r>
  <r>
    <s v="Erdgeschoss"/>
    <n v="1"/>
    <s v="E2"/>
    <n v="2"/>
    <x v="1"/>
    <s v="1.2"/>
    <x v="28"/>
    <x v="3"/>
    <m/>
    <x v="7"/>
    <x v="3"/>
    <s v="NYM 3x1,5"/>
    <s v="Hauptverteilung"/>
    <s v="SD1"/>
    <s v="E2.SD1"/>
    <m/>
    <s v="unten"/>
  </r>
  <r>
    <s v="Erdgeschoss"/>
    <n v="1"/>
    <s v="E2"/>
    <n v="2"/>
    <x v="1"/>
    <s v="1.2"/>
    <x v="16"/>
    <x v="3"/>
    <m/>
    <x v="5"/>
    <x v="3"/>
    <s v="NYM 3x1,5"/>
    <s v="Hauptverteilung"/>
    <s v="SD2"/>
    <s v="E2.SD2"/>
    <m/>
    <s v="unten"/>
  </r>
  <r>
    <s v="Erdgeschoss"/>
    <n v="1"/>
    <s v="E2"/>
    <n v="2"/>
    <x v="1"/>
    <s v="1.2"/>
    <x v="29"/>
    <x v="3"/>
    <m/>
    <x v="5"/>
    <x v="3"/>
    <s v="NYM 3x1,5"/>
    <s v="Hauptverteilung"/>
    <s v="SD3"/>
    <s v="E2.SD3"/>
    <m/>
    <s v="Mitte"/>
  </r>
  <r>
    <s v="Erdgeschoss"/>
    <n v="1"/>
    <s v="E2"/>
    <n v="2"/>
    <x v="1"/>
    <s v="1.2"/>
    <x v="30"/>
    <x v="3"/>
    <m/>
    <x v="5"/>
    <x v="3"/>
    <s v="NYM 5x1,5"/>
    <s v="Hauptverteilung"/>
    <s v="SD4"/>
    <s v="E2.SD4"/>
    <m/>
    <s v="Mitte"/>
  </r>
  <r>
    <s v="Erdgeschoss"/>
    <n v="1"/>
    <s v="E2"/>
    <n v="2"/>
    <x v="1"/>
    <s v="1.2"/>
    <x v="31"/>
    <x v="6"/>
    <m/>
    <x v="10"/>
    <x v="7"/>
    <s v="NYM 5x1,5"/>
    <s v="KNX Jalousieaktor"/>
    <s v="R1"/>
    <s v="E2.R1"/>
    <m/>
    <s v="oben"/>
  </r>
  <r>
    <s v="Erdgeschoss"/>
    <n v="1"/>
    <s v="E2"/>
    <n v="2"/>
    <x v="1"/>
    <s v="1.2"/>
    <x v="32"/>
    <x v="3"/>
    <m/>
    <x v="11"/>
    <x v="3"/>
    <s v="NYM 5x1,5"/>
    <s v="KNX Schaltaktor"/>
    <s v="SD5"/>
    <s v="E2.SD5"/>
    <m/>
    <s v="oben"/>
  </r>
  <r>
    <s v="Erdgeschoss"/>
    <n v="1"/>
    <s v="E2"/>
    <n v="2"/>
    <x v="1"/>
    <s v="1.2"/>
    <x v="33"/>
    <x v="0"/>
    <m/>
    <x v="12"/>
    <x v="5"/>
    <s v="J-Y(St)Y 2x2x0,8"/>
    <s v="KNX Binäreingang"/>
    <s v="FK1"/>
    <s v="E2.FK1"/>
    <m/>
    <s v="oben"/>
  </r>
  <r>
    <s v="Erdgeschoss"/>
    <n v="1"/>
    <s v="E2"/>
    <n v="2"/>
    <x v="1"/>
    <s v="1.2"/>
    <x v="34"/>
    <x v="1"/>
    <m/>
    <x v="1"/>
    <x v="1"/>
    <s v="NYM 5x1,5"/>
    <s v="DALI UP-Dimmer"/>
    <s v="BL1"/>
    <s v="E2.BL1"/>
    <m/>
    <s v="Decke"/>
  </r>
  <r>
    <s v="Erdgeschoss"/>
    <n v="1"/>
    <s v="E2"/>
    <n v="2"/>
    <x v="1"/>
    <s v="1.2"/>
    <x v="35"/>
    <x v="1"/>
    <m/>
    <x v="2"/>
    <x v="1"/>
    <s v="LED 2x1,5"/>
    <s v="DALI EVG"/>
    <s v="BL2"/>
    <s v="E2.BL2"/>
    <m/>
    <s v="Decke"/>
  </r>
  <r>
    <s v="Erdgeschoss"/>
    <n v="1"/>
    <s v="E2"/>
    <n v="2"/>
    <x v="1"/>
    <s v="1.2"/>
    <x v="36"/>
    <x v="1"/>
    <m/>
    <x v="2"/>
    <x v="1"/>
    <s v="LED 2x1,5"/>
    <s v="DALI EVG"/>
    <s v="BL3"/>
    <s v="E2.BL3"/>
    <m/>
    <s v="Decke"/>
  </r>
  <r>
    <s v="Erdgeschoss"/>
    <n v="1"/>
    <s v="E2"/>
    <n v="2"/>
    <x v="1"/>
    <s v="1.2"/>
    <x v="37"/>
    <x v="1"/>
    <m/>
    <x v="2"/>
    <x v="1"/>
    <s v="LED 2x1,5"/>
    <s v="DALI EVG"/>
    <s v="BL4"/>
    <s v="E2.BL4"/>
    <m/>
    <s v="Decke"/>
  </r>
  <r>
    <s v="Erdgeschoss"/>
    <n v="1"/>
    <s v="E2"/>
    <n v="2"/>
    <x v="1"/>
    <s v="1.2"/>
    <x v="38"/>
    <x v="1"/>
    <m/>
    <x v="2"/>
    <x v="1"/>
    <s v="LED 2x1,5"/>
    <s v="DALI EVG"/>
    <s v="BL5"/>
    <s v="E2.BL5"/>
    <m/>
    <s v="Decke"/>
  </r>
  <r>
    <s v="Erdgeschoss"/>
    <n v="1"/>
    <s v="E2"/>
    <n v="2"/>
    <x v="1"/>
    <s v="1.2"/>
    <x v="10"/>
    <x v="1"/>
    <m/>
    <x v="1"/>
    <x v="1"/>
    <s v="LED 2x1,5"/>
    <s v="DALI EVG"/>
    <s v="BL6"/>
    <s v="E2.BL6"/>
    <m/>
    <s v="oben"/>
  </r>
  <r>
    <s v="Erdgeschoss"/>
    <n v="1"/>
    <s v="E2"/>
    <n v="2"/>
    <x v="1"/>
    <s v="1.2"/>
    <x v="39"/>
    <x v="2"/>
    <m/>
    <x v="13"/>
    <x v="3"/>
    <s v="NYM 5x1,5"/>
    <s v="Hauptverteilung"/>
    <s v="DA1"/>
    <s v="E2.DA1"/>
    <m/>
    <s v="Decke"/>
  </r>
  <r>
    <s v="Erdgeschoss"/>
    <n v="1"/>
    <s v="E2"/>
    <n v="2"/>
    <x v="1"/>
    <s v="1.2"/>
    <x v="12"/>
    <x v="2"/>
    <m/>
    <x v="3"/>
    <x v="2"/>
    <s v="ÖLFLEX 3x2,5"/>
    <s v="24V Netzteil"/>
    <s v="DA2"/>
    <s v="E2.DA2"/>
    <m/>
    <m/>
  </r>
  <r>
    <s v="Erdgeschoss"/>
    <n v="1"/>
    <s v="E2"/>
    <n v="2"/>
    <x v="1"/>
    <s v="1.2"/>
    <x v="14"/>
    <x v="2"/>
    <m/>
    <x v="4"/>
    <x v="2"/>
    <s v="ÖLFLEX 3x2,5"/>
    <s v="24V Netzteil"/>
    <s v="DA3"/>
    <s v="E2.DA3"/>
    <m/>
    <m/>
  </r>
  <r>
    <s v="Erdgeschoss"/>
    <n v="1"/>
    <s v="E2"/>
    <n v="2"/>
    <x v="1"/>
    <s v="1.2"/>
    <x v="25"/>
    <x v="4"/>
    <m/>
    <x v="8"/>
    <x v="5"/>
    <s v="LS-FL 2x1,5"/>
    <s v="Server Rack"/>
    <s v="DL1"/>
    <s v="E2.DL1"/>
    <m/>
    <s v="Decke"/>
  </r>
  <r>
    <s v="Erdgeschoss"/>
    <n v="1"/>
    <s v="E3"/>
    <n v="3"/>
    <x v="2"/>
    <s v="1.3"/>
    <x v="40"/>
    <x v="6"/>
    <m/>
    <x v="10"/>
    <x v="7"/>
    <s v="NYM 5x1,5"/>
    <s v="KNX Jalousieaktor"/>
    <s v="R1"/>
    <s v="E3.R1"/>
    <m/>
    <s v="oben"/>
  </r>
  <r>
    <s v="Erdgeschoss"/>
    <n v="1"/>
    <s v="E3"/>
    <n v="3"/>
    <x v="2"/>
    <s v="1.3"/>
    <x v="41"/>
    <x v="6"/>
    <m/>
    <x v="14"/>
    <x v="7"/>
    <s v="NYM 5x1,5"/>
    <s v="KNX Jalousieaktor"/>
    <s v="RS1"/>
    <s v="E3.RS1"/>
    <m/>
    <s v="oben"/>
  </r>
  <r>
    <s v="Erdgeschoss"/>
    <n v="1"/>
    <s v="E3"/>
    <n v="3"/>
    <x v="2"/>
    <s v="1.3"/>
    <x v="42"/>
    <x v="3"/>
    <m/>
    <x v="11"/>
    <x v="3"/>
    <s v="NYM 5x1,5"/>
    <s v="KNX Schaltaktor"/>
    <s v="SD1"/>
    <s v="E3.SD1"/>
    <m/>
    <s v="unten"/>
  </r>
  <r>
    <s v="Erdgeschoss"/>
    <n v="1"/>
    <s v="E3"/>
    <n v="3"/>
    <x v="2"/>
    <s v="1.3"/>
    <x v="43"/>
    <x v="3"/>
    <m/>
    <x v="11"/>
    <x v="3"/>
    <s v="NYM 5x1,5"/>
    <s v="KNX Schaltaktor"/>
    <s v="SD2"/>
    <s v="E3.SD2"/>
    <m/>
    <s v="unten"/>
  </r>
  <r>
    <s v="Erdgeschoss"/>
    <n v="1"/>
    <s v="E3"/>
    <n v="3"/>
    <x v="2"/>
    <s v="1.3"/>
    <x v="44"/>
    <x v="3"/>
    <m/>
    <x v="5"/>
    <x v="3"/>
    <s v="NYM 5x1,5"/>
    <s v="Hauptverteilung"/>
    <s v="SD3"/>
    <s v="E3.SD3"/>
    <m/>
    <s v="unten"/>
  </r>
  <r>
    <s v="Erdgeschoss"/>
    <n v="1"/>
    <s v="E3"/>
    <n v="3"/>
    <x v="2"/>
    <s v="1.3"/>
    <x v="45"/>
    <x v="3"/>
    <m/>
    <x v="5"/>
    <x v="3"/>
    <s v="NYM 5x1,5"/>
    <s v="Hauptverteilung"/>
    <s v="SD4"/>
    <s v="E3.SD4"/>
    <m/>
    <s v="unten"/>
  </r>
  <r>
    <s v="Erdgeschoss"/>
    <n v="1"/>
    <s v="E3"/>
    <n v="3"/>
    <x v="2"/>
    <s v="1.3"/>
    <x v="46"/>
    <x v="3"/>
    <m/>
    <x v="5"/>
    <x v="3"/>
    <s v="NYM 5x1,5"/>
    <s v="Hauptverteilung"/>
    <s v="SD5"/>
    <s v="E3.SD5"/>
    <m/>
    <s v="unten"/>
  </r>
  <r>
    <s v="Erdgeschoss"/>
    <n v="1"/>
    <s v="E3"/>
    <n v="3"/>
    <x v="2"/>
    <s v="1.3"/>
    <x v="47"/>
    <x v="3"/>
    <m/>
    <x v="15"/>
    <x v="6"/>
    <s v="Cat7"/>
    <s v="Patchfeld"/>
    <s v="ND1"/>
    <s v="E3.ND1"/>
    <m/>
    <s v="unten"/>
  </r>
  <r>
    <s v="Erdgeschoss"/>
    <n v="1"/>
    <s v="E3"/>
    <n v="3"/>
    <x v="2"/>
    <s v="1.3"/>
    <x v="48"/>
    <x v="3"/>
    <m/>
    <x v="11"/>
    <x v="3"/>
    <s v="NYM 5x1,5"/>
    <s v="KNX Schaltaktor"/>
    <s v="SD6"/>
    <s v="E3.SD6"/>
    <m/>
    <s v="oben"/>
  </r>
  <r>
    <s v="Erdgeschoss"/>
    <n v="1"/>
    <s v="E3"/>
    <n v="3"/>
    <x v="2"/>
    <s v="1.3"/>
    <x v="49"/>
    <x v="3"/>
    <m/>
    <x v="11"/>
    <x v="3"/>
    <s v="NYM 5x1,5"/>
    <s v="KNX Schaltaktor"/>
    <s v="SD7"/>
    <s v="E3.SD7"/>
    <m/>
    <s v="unten"/>
  </r>
  <r>
    <s v="Erdgeschoss"/>
    <n v="1"/>
    <s v="E3"/>
    <n v="3"/>
    <x v="2"/>
    <s v="1.3"/>
    <x v="50"/>
    <x v="3"/>
    <m/>
    <x v="11"/>
    <x v="3"/>
    <s v="NYM 5x1,5"/>
    <s v="KNX Schaltaktor"/>
    <s v="SD8"/>
    <s v="E3.SD8"/>
    <m/>
    <s v="unten"/>
  </r>
  <r>
    <s v="Erdgeschoss"/>
    <n v="1"/>
    <s v="E3"/>
    <n v="3"/>
    <x v="2"/>
    <s v="1.3"/>
    <x v="51"/>
    <x v="3"/>
    <m/>
    <x v="5"/>
    <x v="3"/>
    <s v="NYM 5x1,5"/>
    <s v="Hauptverteilung"/>
    <s v="SD9"/>
    <s v="E3.SD9"/>
    <m/>
    <s v="unten"/>
  </r>
  <r>
    <s v="Erdgeschoss"/>
    <n v="1"/>
    <s v="E3"/>
    <n v="3"/>
    <x v="2"/>
    <s v="1.3"/>
    <x v="52"/>
    <x v="3"/>
    <m/>
    <x v="5"/>
    <x v="3"/>
    <s v="NYM 5x1,5"/>
    <s v="Hauptverteilung"/>
    <s v="SD10"/>
    <s v="E3.SD10"/>
    <m/>
    <s v="unten"/>
  </r>
  <r>
    <s v="Erdgeschoss"/>
    <n v="1"/>
    <s v="E3"/>
    <n v="3"/>
    <x v="2"/>
    <s v="1.3"/>
    <x v="53"/>
    <x v="3"/>
    <m/>
    <x v="5"/>
    <x v="3"/>
    <s v="NYM 5x1,5"/>
    <s v="Hauptverteilung"/>
    <s v="SD11"/>
    <s v="E3.SD11"/>
    <m/>
    <s v="unten"/>
  </r>
  <r>
    <s v="Erdgeschoss"/>
    <n v="1"/>
    <s v="E3"/>
    <n v="3"/>
    <x v="2"/>
    <s v="1.3"/>
    <x v="54"/>
    <x v="3"/>
    <m/>
    <x v="15"/>
    <x v="6"/>
    <s v="Cat7"/>
    <s v="Patchfeld"/>
    <s v="ND2"/>
    <s v="E3.ND2"/>
    <m/>
    <s v="unten"/>
  </r>
  <r>
    <s v="Erdgeschoss"/>
    <n v="1"/>
    <s v="E3"/>
    <n v="3"/>
    <x v="2"/>
    <s v="1.3"/>
    <x v="55"/>
    <x v="3"/>
    <m/>
    <x v="5"/>
    <x v="3"/>
    <s v="NYM 5x1,5"/>
    <s v="Hauptverteilung"/>
    <s v="SD12"/>
    <s v="E3.SD12"/>
    <m/>
    <s v="unten"/>
  </r>
  <r>
    <s v="Erdgeschoss"/>
    <n v="1"/>
    <s v="E3"/>
    <n v="3"/>
    <x v="2"/>
    <s v="1.3"/>
    <x v="56"/>
    <x v="3"/>
    <m/>
    <x v="11"/>
    <x v="3"/>
    <s v="NYM 5x1,5"/>
    <s v="KNX Schaltaktor"/>
    <s v="SD13"/>
    <s v="E3.SD13"/>
    <m/>
    <s v="unten"/>
  </r>
  <r>
    <s v="Erdgeschoss"/>
    <n v="1"/>
    <s v="E3"/>
    <n v="3"/>
    <x v="2"/>
    <s v="1.3"/>
    <x v="57"/>
    <x v="3"/>
    <m/>
    <x v="11"/>
    <x v="3"/>
    <s v="NYM 5x1,5"/>
    <s v="KNX Schaltaktor"/>
    <s v="SD14"/>
    <s v="E3.SD14"/>
    <m/>
    <s v="unten"/>
  </r>
  <r>
    <s v="Erdgeschoss"/>
    <n v="1"/>
    <s v="E3"/>
    <n v="3"/>
    <x v="2"/>
    <s v="1.3"/>
    <x v="58"/>
    <x v="3"/>
    <m/>
    <x v="5"/>
    <x v="3"/>
    <s v="NYM 5x1,5"/>
    <s v="Hauptverteilung"/>
    <s v="SD15"/>
    <s v="E3.SD15"/>
    <m/>
    <s v="unten"/>
  </r>
  <r>
    <s v="Erdgeschoss"/>
    <n v="1"/>
    <s v="E3"/>
    <n v="3"/>
    <x v="2"/>
    <s v="1.3"/>
    <x v="59"/>
    <x v="3"/>
    <m/>
    <x v="5"/>
    <x v="3"/>
    <s v="NYM 5x1,5"/>
    <s v="Hauptverteilung"/>
    <s v="SD16"/>
    <s v="E3.SD16"/>
    <m/>
    <s v="unten"/>
  </r>
  <r>
    <s v="Erdgeschoss"/>
    <n v="1"/>
    <s v="E3"/>
    <n v="3"/>
    <x v="2"/>
    <s v="1.3"/>
    <x v="60"/>
    <x v="3"/>
    <m/>
    <x v="5"/>
    <x v="3"/>
    <s v="NYM 5x1,5"/>
    <s v="Hauptverteilung"/>
    <s v="SD17"/>
    <s v="E3.SD17"/>
    <m/>
    <s v="unten"/>
  </r>
  <r>
    <s v="Erdgeschoss"/>
    <n v="1"/>
    <s v="E3"/>
    <n v="3"/>
    <x v="2"/>
    <s v="1.3"/>
    <x v="61"/>
    <x v="3"/>
    <m/>
    <x v="15"/>
    <x v="6"/>
    <s v="Cat7"/>
    <s v="Patchfeld"/>
    <s v="ND3"/>
    <s v="E3.ND3"/>
    <m/>
    <s v="unten"/>
  </r>
  <r>
    <s v="Erdgeschoss"/>
    <n v="1"/>
    <s v="E3"/>
    <n v="3"/>
    <x v="2"/>
    <s v="1.3"/>
    <x v="62"/>
    <x v="3"/>
    <m/>
    <x v="11"/>
    <x v="3"/>
    <s v="NYM 5x1,5"/>
    <s v="KNX Schaltaktor"/>
    <s v="SD18"/>
    <s v="E3.SD18"/>
    <m/>
    <s v="oben"/>
  </r>
  <r>
    <s v="Erdgeschoss"/>
    <n v="1"/>
    <s v="E3"/>
    <n v="3"/>
    <x v="2"/>
    <s v="1.3"/>
    <x v="0"/>
    <x v="0"/>
    <m/>
    <x v="0"/>
    <x v="0"/>
    <s v="KNX"/>
    <s v="KNX-Bus"/>
    <s v="TS1"/>
    <s v="E3.TS1"/>
    <m/>
    <s v="Mitte"/>
  </r>
  <r>
    <s v="Erdgeschoss"/>
    <n v="1"/>
    <s v="E3"/>
    <n v="3"/>
    <x v="2"/>
    <s v="1.3"/>
    <x v="63"/>
    <x v="0"/>
    <m/>
    <x v="12"/>
    <x v="5"/>
    <s v="J-Y(St)Y 2x2x0,8"/>
    <s v="KNX Binäreingang"/>
    <s v="FK1"/>
    <s v="E3.FK1"/>
    <m/>
    <s v="oben"/>
  </r>
  <r>
    <s v="Erdgeschoss"/>
    <n v="1"/>
    <s v="E3"/>
    <n v="3"/>
    <x v="2"/>
    <s v="1.3"/>
    <x v="64"/>
    <x v="0"/>
    <m/>
    <x v="12"/>
    <x v="5"/>
    <s v="J-Y(St)Y 2x2x0,8"/>
    <s v="KNX Binäreingang"/>
    <s v="FK2"/>
    <s v="E3.FK2"/>
    <m/>
    <s v="oben"/>
  </r>
  <r>
    <s v="Erdgeschoss"/>
    <n v="1"/>
    <s v="E3"/>
    <n v="3"/>
    <x v="2"/>
    <s v="1.3"/>
    <x v="65"/>
    <x v="0"/>
    <m/>
    <x v="16"/>
    <x v="0"/>
    <s v="KNX"/>
    <s v="KNX-Bus"/>
    <s v="PM1"/>
    <s v="E3.PM1"/>
    <m/>
    <s v="Decke"/>
  </r>
  <r>
    <s v="Erdgeschoss"/>
    <n v="1"/>
    <s v="E3"/>
    <n v="3"/>
    <x v="2"/>
    <s v="1.3"/>
    <x v="66"/>
    <x v="1"/>
    <m/>
    <x v="2"/>
    <x v="1"/>
    <s v="LED 2x1,5"/>
    <s v="DALI EVG"/>
    <s v="BL1"/>
    <s v="E3.BL1"/>
    <m/>
    <s v="Decke"/>
  </r>
  <r>
    <s v="Erdgeschoss"/>
    <n v="1"/>
    <s v="E3"/>
    <n v="3"/>
    <x v="2"/>
    <s v="1.3"/>
    <x v="12"/>
    <x v="2"/>
    <m/>
    <x v="3"/>
    <x v="2"/>
    <s v="ÖLFLEX 3x2,5"/>
    <s v="24V Netzteil"/>
    <s v="DA1"/>
    <s v="E3.DA1"/>
    <m/>
    <m/>
  </r>
  <r>
    <s v="Erdgeschoss"/>
    <n v="1"/>
    <s v="E3"/>
    <n v="3"/>
    <x v="2"/>
    <s v="1.3"/>
    <x v="67"/>
    <x v="4"/>
    <m/>
    <x v="8"/>
    <x v="5"/>
    <s v="LS-FL 2x1,5"/>
    <s v="Server Rack"/>
    <s v="DL1"/>
    <s v="E3.DL1"/>
    <m/>
    <s v="Decke"/>
  </r>
  <r>
    <s v="Erdgeschoss"/>
    <n v="1"/>
    <s v="E3"/>
    <n v="3"/>
    <x v="2"/>
    <s v="1.3"/>
    <x v="68"/>
    <x v="4"/>
    <m/>
    <x v="8"/>
    <x v="5"/>
    <s v="LS-FL 2x1,5"/>
    <s v="Server Rack"/>
    <s v="DL2"/>
    <s v="E3.DL2"/>
    <m/>
    <s v="Decke"/>
  </r>
  <r>
    <s v="Erdgeschoss"/>
    <n v="1"/>
    <s v="E4"/>
    <n v="4"/>
    <x v="3"/>
    <s v="1.4"/>
    <x v="41"/>
    <x v="6"/>
    <m/>
    <x v="14"/>
    <x v="7"/>
    <s v="NYM 5x1,5"/>
    <s v="KNX Jalousieaktor"/>
    <s v="RS1"/>
    <s v="E4.RS1"/>
    <m/>
    <s v="oben"/>
  </r>
  <r>
    <s v="Erdgeschoss"/>
    <n v="1"/>
    <s v="E4"/>
    <n v="4"/>
    <x v="3"/>
    <s v="1.4"/>
    <x v="42"/>
    <x v="3"/>
    <m/>
    <x v="11"/>
    <x v="3"/>
    <s v="NYM 5x1,5"/>
    <s v="KNX Schaltaktor"/>
    <s v="SD1"/>
    <s v="E4.SD1"/>
    <m/>
    <s v="unten"/>
  </r>
  <r>
    <s v="Erdgeschoss"/>
    <n v="1"/>
    <s v="E4"/>
    <n v="4"/>
    <x v="3"/>
    <s v="1.4"/>
    <x v="43"/>
    <x v="3"/>
    <m/>
    <x v="5"/>
    <x v="3"/>
    <s v="NYM 5x1,5"/>
    <s v="Hauptverteilung"/>
    <s v="SD2"/>
    <s v="E4.SD2"/>
    <m/>
    <s v="unten"/>
  </r>
  <r>
    <s v="Erdgeschoss"/>
    <n v="1"/>
    <s v="E4"/>
    <n v="4"/>
    <x v="3"/>
    <s v="1.4"/>
    <x v="47"/>
    <x v="3"/>
    <m/>
    <x v="17"/>
    <x v="6"/>
    <s v="Cat7"/>
    <s v="Patchfeld"/>
    <s v="ND1"/>
    <s v="E4.ND1"/>
    <m/>
    <s v="unten"/>
  </r>
  <r>
    <s v="Erdgeschoss"/>
    <n v="1"/>
    <s v="E4"/>
    <n v="4"/>
    <x v="3"/>
    <s v="1.4"/>
    <x v="44"/>
    <x v="3"/>
    <m/>
    <x v="5"/>
    <x v="3"/>
    <s v="NYM 5x1,5"/>
    <s v="Hauptverteilung"/>
    <s v="SD3"/>
    <s v="E4.SD3"/>
    <m/>
    <s v="unten"/>
  </r>
  <r>
    <s v="Erdgeschoss"/>
    <n v="1"/>
    <s v="E4"/>
    <n v="4"/>
    <x v="3"/>
    <s v="1.4"/>
    <x v="45"/>
    <x v="3"/>
    <m/>
    <x v="5"/>
    <x v="3"/>
    <s v="NYM 5x1,5"/>
    <s v="Hauptverteilung"/>
    <s v="SD4"/>
    <s v="E4.SD4"/>
    <m/>
    <s v="unten"/>
  </r>
  <r>
    <s v="Erdgeschoss"/>
    <n v="1"/>
    <s v="E4"/>
    <n v="4"/>
    <x v="3"/>
    <s v="1.4"/>
    <x v="46"/>
    <x v="3"/>
    <m/>
    <x v="5"/>
    <x v="3"/>
    <s v="NYM 5x1,5"/>
    <s v="Hauptverteilung"/>
    <s v="SD5"/>
    <s v="E4.SD5"/>
    <m/>
    <s v="unten"/>
  </r>
  <r>
    <s v="Erdgeschoss"/>
    <n v="1"/>
    <s v="E4"/>
    <n v="4"/>
    <x v="3"/>
    <s v="1.4"/>
    <x v="69"/>
    <x v="3"/>
    <m/>
    <x v="5"/>
    <x v="3"/>
    <s v="NYM 5x1,5"/>
    <s v="Hauptverteilung"/>
    <s v="SD6"/>
    <s v="E4.SD6"/>
    <m/>
    <s v="unten"/>
  </r>
  <r>
    <s v="Erdgeschoss"/>
    <n v="1"/>
    <s v="E4"/>
    <n v="4"/>
    <x v="3"/>
    <s v="1.4"/>
    <x v="70"/>
    <x v="0"/>
    <m/>
    <x v="0"/>
    <x v="0"/>
    <s v="KNX"/>
    <s v="KNX-Bus"/>
    <s v="TS1"/>
    <s v="E4.TS1"/>
    <m/>
    <s v="Mitte"/>
  </r>
  <r>
    <s v="Erdgeschoss"/>
    <n v="1"/>
    <s v="E4"/>
    <n v="4"/>
    <x v="3"/>
    <s v="1.4"/>
    <x v="56"/>
    <x v="3"/>
    <m/>
    <x v="5"/>
    <x v="3"/>
    <s v="NYM 5x1,5"/>
    <s v="Hauptverteilung"/>
    <s v="SD7"/>
    <s v="E4.SD7"/>
    <m/>
    <s v="unten"/>
  </r>
  <r>
    <s v="Erdgeschoss"/>
    <n v="1"/>
    <s v="E4"/>
    <n v="4"/>
    <x v="3"/>
    <s v="1.4"/>
    <x v="57"/>
    <x v="3"/>
    <m/>
    <x v="5"/>
    <x v="3"/>
    <s v="NYM 5x1,5"/>
    <s v="Hauptverteilung"/>
    <s v="SD8"/>
    <s v="E4.SD8"/>
    <m/>
    <s v="unten"/>
  </r>
  <r>
    <s v="Erdgeschoss"/>
    <n v="1"/>
    <s v="E4"/>
    <n v="4"/>
    <x v="3"/>
    <s v="1.4"/>
    <x v="58"/>
    <x v="3"/>
    <m/>
    <x v="5"/>
    <x v="3"/>
    <s v="NYM 5x1,5"/>
    <s v="Hauptverteilung"/>
    <s v="SD9"/>
    <s v="E4.SD9"/>
    <m/>
    <s v="unten"/>
  </r>
  <r>
    <s v="Erdgeschoss"/>
    <n v="1"/>
    <s v="E4"/>
    <n v="4"/>
    <x v="3"/>
    <s v="1.4"/>
    <x v="62"/>
    <x v="3"/>
    <m/>
    <x v="11"/>
    <x v="3"/>
    <s v="NYM 5x1,5"/>
    <s v="KNX Schaltaktor"/>
    <s v="SD10"/>
    <s v="E4.SD10"/>
    <m/>
    <s v="oben"/>
  </r>
  <r>
    <s v="Erdgeschoss"/>
    <n v="1"/>
    <s v="E4"/>
    <n v="4"/>
    <x v="3"/>
    <s v="1.4"/>
    <x v="71"/>
    <x v="3"/>
    <m/>
    <x v="5"/>
    <x v="3"/>
    <s v="NYM 5x1,5"/>
    <s v="Hauptverteilung"/>
    <s v="SD11"/>
    <s v="E4.SD11"/>
    <m/>
    <s v="unten"/>
  </r>
  <r>
    <s v="Erdgeschoss"/>
    <n v="1"/>
    <s v="E4"/>
    <n v="4"/>
    <x v="3"/>
    <s v="1.4"/>
    <x v="72"/>
    <x v="3"/>
    <m/>
    <x v="5"/>
    <x v="3"/>
    <s v="NYM 5x1,5"/>
    <s v="Hauptverteilung"/>
    <s v="SD12"/>
    <s v="E4.SD12"/>
    <m/>
    <s v="unten"/>
  </r>
  <r>
    <s v="Erdgeschoss"/>
    <n v="1"/>
    <s v="E4"/>
    <n v="4"/>
    <x v="3"/>
    <s v="1.4"/>
    <x v="64"/>
    <x v="0"/>
    <m/>
    <x v="12"/>
    <x v="5"/>
    <s v="J-Y(St)Y 2x2x0,8"/>
    <s v="KNX Binäreingang"/>
    <s v="FK1"/>
    <s v="E4.FK1"/>
    <m/>
    <s v="oben"/>
  </r>
  <r>
    <s v="Erdgeschoss"/>
    <n v="1"/>
    <s v="E4"/>
    <n v="4"/>
    <x v="3"/>
    <s v="1.4"/>
    <x v="66"/>
    <x v="1"/>
    <m/>
    <x v="2"/>
    <x v="1"/>
    <s v="LED 2x1,5"/>
    <s v="DALI EVG"/>
    <s v="BL1"/>
    <s v="E4.BL1"/>
    <m/>
    <s v="Decke"/>
  </r>
  <r>
    <s v="Erdgeschoss"/>
    <n v="1"/>
    <s v="E4"/>
    <n v="4"/>
    <x v="3"/>
    <s v="1.4"/>
    <x v="12"/>
    <x v="2"/>
    <m/>
    <x v="3"/>
    <x v="2"/>
    <s v="ÖLFLEX 3x2,5"/>
    <s v="24V Netzteil"/>
    <s v="DA1"/>
    <s v="E4.DA1"/>
    <m/>
    <m/>
  </r>
  <r>
    <s v="Erdgeschoss"/>
    <n v="1"/>
    <s v="E4"/>
    <n v="4"/>
    <x v="3"/>
    <s v="1.4"/>
    <x v="73"/>
    <x v="1"/>
    <m/>
    <x v="2"/>
    <x v="1"/>
    <s v="LED 2x1,5"/>
    <s v="24V Netzteil"/>
    <s v="BL2"/>
    <s v="E4.BL2"/>
    <m/>
    <s v="Decke"/>
  </r>
  <r>
    <s v="Erdgeschoss"/>
    <n v="1"/>
    <s v="E4"/>
    <n v="4"/>
    <x v="3"/>
    <s v="1.4"/>
    <x v="74"/>
    <x v="2"/>
    <m/>
    <x v="3"/>
    <x v="2"/>
    <s v="ÖLFLEX 3x2,5"/>
    <s v="24V Netzteil"/>
    <s v="DA2"/>
    <s v="E4.DA2"/>
    <m/>
    <m/>
  </r>
  <r>
    <s v="Erdgeschoss"/>
    <n v="1"/>
    <s v="E4"/>
    <n v="4"/>
    <x v="3"/>
    <s v="1.4"/>
    <x v="67"/>
    <x v="4"/>
    <m/>
    <x v="8"/>
    <x v="5"/>
    <s v="LS-FL 2x1,5"/>
    <s v="Server Rack"/>
    <s v="DL1"/>
    <s v="E4.DL1"/>
    <m/>
    <s v="Decke"/>
  </r>
  <r>
    <s v="Erdgeschoss"/>
    <n v="1"/>
    <s v="E4"/>
    <n v="4"/>
    <x v="3"/>
    <s v="1.4"/>
    <x v="68"/>
    <x v="4"/>
    <m/>
    <x v="8"/>
    <x v="5"/>
    <s v="LS-FL 2x1,5"/>
    <s v="Server Rack"/>
    <s v="DL2"/>
    <s v="E4.DL2"/>
    <m/>
    <s v="Decke"/>
  </r>
  <r>
    <s v="Erdgeschoss"/>
    <n v="1"/>
    <s v="E4"/>
    <n v="4"/>
    <x v="3"/>
    <s v="1.4"/>
    <x v="65"/>
    <x v="0"/>
    <m/>
    <x v="16"/>
    <x v="0"/>
    <s v="KNX"/>
    <s v="KNX-Bus"/>
    <s v="PM1"/>
    <s v="E4.PM1"/>
    <m/>
    <s v="Decke"/>
  </r>
  <r>
    <s v="Erdgeschoss"/>
    <n v="1"/>
    <s v="E5"/>
    <n v="5"/>
    <x v="4"/>
    <s v="1.5"/>
    <x v="75"/>
    <x v="6"/>
    <m/>
    <x v="14"/>
    <x v="7"/>
    <s v="NYM 5x1,5"/>
    <s v="KNX Jalousieaktor"/>
    <s v="RS1"/>
    <s v="E5.RS1"/>
    <m/>
    <s v="oben"/>
  </r>
  <r>
    <s v="Erdgeschoss"/>
    <n v="1"/>
    <s v="E5"/>
    <n v="5"/>
    <x v="4"/>
    <s v="1.5"/>
    <x v="76"/>
    <x v="3"/>
    <m/>
    <x v="5"/>
    <x v="3"/>
    <s v="NYM 5x1,5"/>
    <s v="Hauptverteilung"/>
    <s v="SD1"/>
    <s v="E5.SD1"/>
    <m/>
    <s v="unten"/>
  </r>
  <r>
    <s v="Erdgeschoss"/>
    <n v="1"/>
    <s v="E5"/>
    <n v="5"/>
    <x v="4"/>
    <s v="1.5"/>
    <x v="77"/>
    <x v="3"/>
    <m/>
    <x v="5"/>
    <x v="3"/>
    <s v="NYM 5x1,5"/>
    <s v="Hauptverteilung"/>
    <s v="SD2"/>
    <s v="E5.SD2"/>
    <m/>
    <s v="Mitte"/>
  </r>
  <r>
    <s v="Erdgeschoss"/>
    <n v="1"/>
    <s v="E5"/>
    <n v="5"/>
    <x v="4"/>
    <s v="1.5"/>
    <x v="78"/>
    <x v="3"/>
    <m/>
    <x v="5"/>
    <x v="3"/>
    <s v="NYM 5x1,5"/>
    <s v="Hauptverteilung"/>
    <s v="SD3"/>
    <s v="E5.SD3"/>
    <m/>
    <s v="Mitte"/>
  </r>
  <r>
    <s v="Erdgeschoss"/>
    <n v="1"/>
    <s v="E5"/>
    <n v="5"/>
    <x v="4"/>
    <s v="1.5"/>
    <x v="79"/>
    <x v="3"/>
    <m/>
    <x v="5"/>
    <x v="3"/>
    <s v="NYM 5x1,5"/>
    <s v="Hauptverteilung"/>
    <s v="SD4"/>
    <s v="E5.SD4"/>
    <m/>
    <s v="Mitte"/>
  </r>
  <r>
    <s v="Erdgeschoss"/>
    <n v="1"/>
    <s v="E5"/>
    <n v="5"/>
    <x v="4"/>
    <s v="1.5"/>
    <x v="80"/>
    <x v="3"/>
    <m/>
    <x v="5"/>
    <x v="3"/>
    <s v="NYM 5x1,5"/>
    <s v="Hauptverteilung"/>
    <s v="SD5"/>
    <s v="E5.SD5"/>
    <m/>
    <s v="Mitte"/>
  </r>
  <r>
    <s v="Erdgeschoss"/>
    <n v="1"/>
    <s v="E5"/>
    <n v="5"/>
    <x v="4"/>
    <s v="1.5"/>
    <x v="81"/>
    <x v="3"/>
    <m/>
    <x v="5"/>
    <x v="3"/>
    <s v="NYM 5x1,5"/>
    <s v="Hauptverteilung"/>
    <s v="SD6"/>
    <s v="E5.SD6"/>
    <m/>
    <s v="oben"/>
  </r>
  <r>
    <s v="Erdgeschoss"/>
    <n v="1"/>
    <s v="E5"/>
    <n v="5"/>
    <x v="4"/>
    <s v="1.5"/>
    <x v="49"/>
    <x v="3"/>
    <m/>
    <x v="5"/>
    <x v="3"/>
    <s v="NYM 5x1,5"/>
    <s v="Hauptverteilung"/>
    <s v="SD7"/>
    <s v="E5.SD7"/>
    <m/>
    <s v="unten"/>
  </r>
  <r>
    <s v="Erdgeschoss"/>
    <n v="1"/>
    <s v="E5"/>
    <n v="5"/>
    <x v="4"/>
    <s v="1.5"/>
    <x v="50"/>
    <x v="3"/>
    <m/>
    <x v="5"/>
    <x v="3"/>
    <s v="NYM 5x1,5"/>
    <s v="Hauptverteilung"/>
    <s v="SD8"/>
    <s v="E5.SD8"/>
    <m/>
    <s v="unten"/>
  </r>
  <r>
    <s v="Erdgeschoss"/>
    <n v="1"/>
    <s v="E5"/>
    <n v="5"/>
    <x v="4"/>
    <s v="1.5"/>
    <x v="51"/>
    <x v="3"/>
    <m/>
    <x v="5"/>
    <x v="3"/>
    <s v="NYM 5x1,5"/>
    <s v="Hauptverteilung"/>
    <s v="SD9"/>
    <s v="E5.SD9"/>
    <m/>
    <s v="unten"/>
  </r>
  <r>
    <s v="Erdgeschoss"/>
    <n v="1"/>
    <s v="E5"/>
    <n v="5"/>
    <x v="4"/>
    <s v="1.5"/>
    <x v="23"/>
    <x v="3"/>
    <m/>
    <x v="7"/>
    <x v="3"/>
    <s v="NYM 3x1,5"/>
    <s v="KNX Schaltaktor"/>
    <s v="SD10"/>
    <s v="E5.SD10"/>
    <m/>
    <s v="Mitte"/>
  </r>
  <r>
    <s v="Erdgeschoss"/>
    <n v="1"/>
    <s v="E5"/>
    <n v="5"/>
    <x v="4"/>
    <s v="1.5"/>
    <x v="24"/>
    <x v="3"/>
    <m/>
    <x v="7"/>
    <x v="4"/>
    <s v="HDMI"/>
    <s v="Server Rack"/>
    <s v="HD1"/>
    <s v="E5.HD1"/>
    <m/>
    <s v="Mitte"/>
  </r>
  <r>
    <s v="Erdgeschoss"/>
    <n v="1"/>
    <s v="E5"/>
    <n v="5"/>
    <x v="4"/>
    <s v="1.5"/>
    <x v="26"/>
    <x v="3"/>
    <m/>
    <x v="7"/>
    <x v="6"/>
    <s v="Cat7"/>
    <s v="Server Rack"/>
    <s v="ND1"/>
    <s v="E5.ND1"/>
    <m/>
    <s v="Mitte"/>
  </r>
  <r>
    <s v="Erdgeschoss"/>
    <n v="1"/>
    <s v="E5"/>
    <n v="5"/>
    <x v="4"/>
    <s v="1.5"/>
    <x v="82"/>
    <x v="0"/>
    <m/>
    <x v="18"/>
    <x v="0"/>
    <s v="KNX"/>
    <s v="KNX-Bus"/>
    <s v="TS1"/>
    <s v="E5.TS1"/>
    <m/>
    <s v="Mitte"/>
  </r>
  <r>
    <s v="Erdgeschoss"/>
    <n v="1"/>
    <s v="E5"/>
    <n v="5"/>
    <x v="4"/>
    <s v="1.5"/>
    <x v="67"/>
    <x v="4"/>
    <m/>
    <x v="8"/>
    <x v="5"/>
    <s v="LS-FL 2x1,5"/>
    <s v="Server Rack"/>
    <s v="DL1"/>
    <s v="E5.DL1"/>
    <m/>
    <s v="Decke"/>
  </r>
  <r>
    <s v="Erdgeschoss"/>
    <n v="1"/>
    <s v="E5"/>
    <n v="5"/>
    <x v="4"/>
    <s v="1.5"/>
    <x v="68"/>
    <x v="4"/>
    <m/>
    <x v="8"/>
    <x v="5"/>
    <s v="LS-FL 2x1,5"/>
    <s v="Server Rack"/>
    <s v="DL2"/>
    <s v="E5.DL2"/>
    <m/>
    <s v="Decke"/>
  </r>
  <r>
    <s v="Erdgeschoss"/>
    <n v="1"/>
    <s v="E5"/>
    <n v="5"/>
    <x v="4"/>
    <s v="1.5"/>
    <x v="83"/>
    <x v="3"/>
    <m/>
    <x v="5"/>
    <x v="3"/>
    <s v="NYM 5x1,5"/>
    <s v="Hauptverteilung"/>
    <s v="SD11"/>
    <s v="E5.SD11"/>
    <m/>
    <s v="Boden"/>
  </r>
  <r>
    <s v="Erdgeschoss"/>
    <n v="1"/>
    <s v="E5"/>
    <n v="5"/>
    <x v="4"/>
    <s v="1.5"/>
    <x v="84"/>
    <x v="3"/>
    <m/>
    <x v="5"/>
    <x v="3"/>
    <s v="NYM 5x1,5"/>
    <s v="Hauptverteilung"/>
    <s v="SD12"/>
    <s v="E5.SD12"/>
    <m/>
    <s v="Boden"/>
  </r>
  <r>
    <s v="Erdgeschoss"/>
    <n v="1"/>
    <s v="E5"/>
    <n v="5"/>
    <x v="4"/>
    <s v="1.5"/>
    <x v="85"/>
    <x v="3"/>
    <m/>
    <x v="5"/>
    <x v="3"/>
    <s v="NYM 5x1,5"/>
    <s v="Hauptverteilung"/>
    <s v="SD13"/>
    <s v="E5.SD13"/>
    <m/>
    <s v="Boden"/>
  </r>
  <r>
    <s v="Erdgeschoss"/>
    <n v="1"/>
    <s v="E5"/>
    <n v="5"/>
    <x v="4"/>
    <s v="1.5"/>
    <x v="86"/>
    <x v="3"/>
    <m/>
    <x v="7"/>
    <x v="3"/>
    <s v="NYM 5x1,5"/>
    <s v="Hauptverteilung"/>
    <s v="SD14"/>
    <s v="E5.SD14"/>
    <m/>
    <s v="Boden"/>
  </r>
  <r>
    <s v="Erdgeschoss"/>
    <n v="1"/>
    <s v="E5"/>
    <n v="5"/>
    <x v="4"/>
    <s v="1.5"/>
    <x v="87"/>
    <x v="3"/>
    <m/>
    <x v="7"/>
    <x v="3"/>
    <s v="NYM 3x1,5"/>
    <s v="Hauptverteilung"/>
    <s v="SD15"/>
    <s v="E5.SD15"/>
    <m/>
    <s v="Boden"/>
  </r>
  <r>
    <s v="Erdgeschoss"/>
    <n v="1"/>
    <s v="E5"/>
    <n v="5"/>
    <x v="4"/>
    <s v="1.5"/>
    <x v="56"/>
    <x v="3"/>
    <m/>
    <x v="5"/>
    <x v="3"/>
    <s v="NYM 5x1,5"/>
    <s v="Hauptverteilung"/>
    <s v="SD16"/>
    <s v="E5.SD16"/>
    <m/>
    <s v="unten"/>
  </r>
  <r>
    <s v="Erdgeschoss"/>
    <n v="1"/>
    <s v="E5"/>
    <n v="5"/>
    <x v="4"/>
    <s v="1.5"/>
    <x v="57"/>
    <x v="3"/>
    <m/>
    <x v="5"/>
    <x v="3"/>
    <s v="NYM 5x1,5"/>
    <s v="Hauptverteilung"/>
    <s v="SD17"/>
    <s v="E5.SD17"/>
    <m/>
    <s v="unten"/>
  </r>
  <r>
    <s v="Erdgeschoss"/>
    <n v="1"/>
    <s v="E5"/>
    <n v="5"/>
    <x v="4"/>
    <s v="1.5"/>
    <x v="58"/>
    <x v="3"/>
    <m/>
    <x v="5"/>
    <x v="3"/>
    <s v="NYM 5x1,5"/>
    <s v="Hauptverteilung"/>
    <s v="SD18"/>
    <s v="E5.SD18"/>
    <m/>
    <s v="unten"/>
  </r>
  <r>
    <s v="Erdgeschoss"/>
    <n v="1"/>
    <s v="E5"/>
    <n v="5"/>
    <x v="4"/>
    <s v="1.5"/>
    <x v="59"/>
    <x v="3"/>
    <m/>
    <x v="5"/>
    <x v="3"/>
    <s v="NYM 5x1,5"/>
    <s v="Hauptverteilung"/>
    <s v="SD19"/>
    <s v="E5.SD19"/>
    <m/>
    <s v="unten"/>
  </r>
  <r>
    <s v="Erdgeschoss"/>
    <n v="1"/>
    <s v="E5"/>
    <n v="5"/>
    <x v="4"/>
    <s v="1.5"/>
    <x v="88"/>
    <x v="3"/>
    <m/>
    <x v="11"/>
    <x v="3"/>
    <s v="NYM 5x1,5"/>
    <s v="KNX Schaltaktor"/>
    <s v="SD20"/>
    <s v="E5.SD20"/>
    <m/>
    <s v="oben"/>
  </r>
  <r>
    <s v="Erdgeschoss"/>
    <n v="1"/>
    <s v="E5"/>
    <n v="5"/>
    <x v="4"/>
    <s v="1.5"/>
    <x v="89"/>
    <x v="0"/>
    <m/>
    <x v="18"/>
    <x v="0"/>
    <s v="KNX"/>
    <s v="KNX-Bus"/>
    <s v="TS2"/>
    <s v="E5.TS2"/>
    <m/>
    <s v="Mitte"/>
  </r>
  <r>
    <s v="Erdgeschoss"/>
    <n v="1"/>
    <s v="E5"/>
    <n v="5"/>
    <x v="4"/>
    <s v="1.5"/>
    <x v="90"/>
    <x v="0"/>
    <m/>
    <x v="12"/>
    <x v="5"/>
    <s v="J-Y(St)Y 2x2x0,8"/>
    <s v="KNX Binäreingang"/>
    <s v="FK1"/>
    <s v="E5.FK1"/>
    <m/>
    <s v="oben"/>
  </r>
  <r>
    <s v="Erdgeschoss"/>
    <n v="1"/>
    <s v="E5"/>
    <n v="5"/>
    <x v="4"/>
    <s v="1.5"/>
    <x v="91"/>
    <x v="1"/>
    <m/>
    <x v="1"/>
    <x v="1"/>
    <s v="LED 2x1,5"/>
    <s v="DALI EVG"/>
    <s v="BL1"/>
    <s v="E5.BL1"/>
    <m/>
    <s v="Boden"/>
  </r>
  <r>
    <s v="Erdgeschoss"/>
    <n v="1"/>
    <s v="E5"/>
    <n v="5"/>
    <x v="4"/>
    <s v="1.5"/>
    <x v="92"/>
    <x v="1"/>
    <m/>
    <x v="2"/>
    <x v="1"/>
    <s v="LED 2x1,5"/>
    <s v="DALI EVG"/>
    <s v="BL2"/>
    <s v="E5.BL2"/>
    <m/>
    <s v="Decke"/>
  </r>
  <r>
    <s v="Erdgeschoss"/>
    <n v="1"/>
    <s v="E5"/>
    <n v="5"/>
    <x v="4"/>
    <s v="1.5"/>
    <x v="93"/>
    <x v="1"/>
    <m/>
    <x v="2"/>
    <x v="1"/>
    <s v="LED 2x1,5"/>
    <s v="DALI EVG"/>
    <s v="BL3"/>
    <s v="E5.BL3"/>
    <m/>
    <s v="Decke"/>
  </r>
  <r>
    <s v="Erdgeschoss"/>
    <n v="1"/>
    <s v="E5"/>
    <n v="5"/>
    <x v="4"/>
    <s v="1.5"/>
    <x v="94"/>
    <x v="1"/>
    <m/>
    <x v="2"/>
    <x v="1"/>
    <s v="LED 2x1,5"/>
    <s v="DALI EVG"/>
    <s v="BL4"/>
    <s v="E5.BL4"/>
    <m/>
    <s v="Decke"/>
  </r>
  <r>
    <s v="Erdgeschoss"/>
    <n v="1"/>
    <s v="E5"/>
    <n v="5"/>
    <x v="4"/>
    <s v="1.5"/>
    <x v="95"/>
    <x v="1"/>
    <m/>
    <x v="1"/>
    <x v="1"/>
    <s v="LED 2x1,5"/>
    <s v="DALI EVG"/>
    <s v="BL5"/>
    <s v="E5.BL5"/>
    <m/>
    <s v="Mitte"/>
  </r>
  <r>
    <s v="Erdgeschoss"/>
    <n v="1"/>
    <s v="E5"/>
    <n v="5"/>
    <x v="4"/>
    <s v="1.5"/>
    <x v="96"/>
    <x v="2"/>
    <m/>
    <x v="4"/>
    <x v="2"/>
    <s v="ÖLFLEX 3x2,5"/>
    <s v="24V Netzteil"/>
    <s v="DA1"/>
    <s v="E5.DA1"/>
    <m/>
    <m/>
  </r>
  <r>
    <s v="Erdgeschoss"/>
    <n v="1"/>
    <s v="E5"/>
    <n v="5"/>
    <x v="4"/>
    <s v="1.5"/>
    <x v="12"/>
    <x v="2"/>
    <m/>
    <x v="3"/>
    <x v="2"/>
    <s v="ÖLFLEX 3x2,5"/>
    <s v="24V Netzteil"/>
    <s v="DA2"/>
    <s v="E5.DA2"/>
    <m/>
    <m/>
  </r>
  <r>
    <s v="Erdgeschoss"/>
    <n v="1"/>
    <s v="E5"/>
    <n v="5"/>
    <x v="4"/>
    <s v="1.5"/>
    <x v="97"/>
    <x v="2"/>
    <m/>
    <x v="4"/>
    <x v="2"/>
    <s v="ÖLFLEX 3x2,5"/>
    <s v="24V Netzteil"/>
    <s v="DA3"/>
    <s v="E5.DA3"/>
    <m/>
    <m/>
  </r>
  <r>
    <s v="Erdgeschoss"/>
    <n v="1"/>
    <s v="E5"/>
    <n v="5"/>
    <x v="4"/>
    <s v="1.5"/>
    <x v="98"/>
    <x v="2"/>
    <m/>
    <x v="3"/>
    <x v="2"/>
    <s v="ÖLFLEX 3x2,5"/>
    <s v="24V Netzteil"/>
    <s v="DA4"/>
    <s v="E5.DA4"/>
    <m/>
    <m/>
  </r>
  <r>
    <s v="Erdgeschoss"/>
    <n v="1"/>
    <s v="E6"/>
    <n v="6"/>
    <x v="5"/>
    <s v="1.6"/>
    <x v="0"/>
    <x v="0"/>
    <m/>
    <x v="0"/>
    <x v="0"/>
    <s v="KNX"/>
    <s v="KNX-Bus"/>
    <s v="TS1"/>
    <s v="E6.TS1"/>
    <m/>
    <m/>
  </r>
  <r>
    <s v="Erdgeschoss"/>
    <n v="1"/>
    <s v="E6"/>
    <n v="6"/>
    <x v="5"/>
    <s v="1.6"/>
    <x v="42"/>
    <x v="3"/>
    <m/>
    <x v="5"/>
    <x v="3"/>
    <s v="NYM 5x1,5"/>
    <s v="Hauptverteilung"/>
    <s v="SD1"/>
    <s v="E6.SD1"/>
    <m/>
    <s v="unten"/>
  </r>
  <r>
    <s v="Erdgeschoss"/>
    <n v="1"/>
    <s v="E6"/>
    <n v="6"/>
    <x v="5"/>
    <s v="1.6"/>
    <x v="43"/>
    <x v="3"/>
    <m/>
    <x v="5"/>
    <x v="3"/>
    <s v="NYM 5x1,5"/>
    <s v="Hauptverteilung"/>
    <s v="SD2"/>
    <s v="E6.SD2"/>
    <m/>
    <s v="unten"/>
  </r>
  <r>
    <s v="Erdgeschoss"/>
    <n v="1"/>
    <s v="E6"/>
    <n v="6"/>
    <x v="5"/>
    <s v="1.6"/>
    <x v="99"/>
    <x v="3"/>
    <m/>
    <x v="11"/>
    <x v="3"/>
    <s v="NYM 5x1,5"/>
    <s v="KNX Schaltaktor"/>
    <s v="SD3"/>
    <s v="E6.SD3"/>
    <m/>
    <s v="unten"/>
  </r>
  <r>
    <s v="Erdgeschoss"/>
    <n v="1"/>
    <s v="E6"/>
    <n v="6"/>
    <x v="5"/>
    <s v="1.6"/>
    <x v="100"/>
    <x v="3"/>
    <m/>
    <x v="11"/>
    <x v="3"/>
    <s v="NYM 5x1,5"/>
    <s v="KNX Schaltaktor"/>
    <s v="SD4"/>
    <s v="E6.SD4"/>
    <m/>
    <s v="unten"/>
  </r>
  <r>
    <s v="Erdgeschoss"/>
    <n v="1"/>
    <s v="E6"/>
    <n v="6"/>
    <x v="5"/>
    <s v="1.6"/>
    <x v="101"/>
    <x v="3"/>
    <m/>
    <x v="5"/>
    <x v="3"/>
    <s v="NYM 5x1,5"/>
    <s v="Hauptverteilung"/>
    <s v="SD5"/>
    <s v="E6.SD5"/>
    <m/>
    <s v="unten"/>
  </r>
  <r>
    <s v="Erdgeschoss"/>
    <n v="1"/>
    <s v="E6"/>
    <n v="6"/>
    <x v="5"/>
    <s v="1.6"/>
    <x v="102"/>
    <x v="3"/>
    <m/>
    <x v="5"/>
    <x v="3"/>
    <s v="NYM 5x1,5"/>
    <s v="Hauptverteilung"/>
    <s v="SD6"/>
    <s v="E6.SD6"/>
    <m/>
    <s v="unten"/>
  </r>
  <r>
    <s v="Erdgeschoss"/>
    <n v="1"/>
    <s v="E6"/>
    <n v="6"/>
    <x v="5"/>
    <s v="1.6"/>
    <x v="103"/>
    <x v="3"/>
    <m/>
    <x v="5"/>
    <x v="3"/>
    <s v="NYM 5x1,5"/>
    <s v="Hauptverteilung"/>
    <s v="SD7"/>
    <s v="E6.SD7"/>
    <m/>
    <s v="unten"/>
  </r>
  <r>
    <s v="Erdgeschoss"/>
    <n v="1"/>
    <s v="E6"/>
    <n v="6"/>
    <x v="5"/>
    <s v="1.6"/>
    <x v="104"/>
    <x v="3"/>
    <m/>
    <x v="5"/>
    <x v="3"/>
    <s v="NYM 5x1,5"/>
    <s v="Hauptverteilung"/>
    <s v="SD8"/>
    <s v="E6.SD8"/>
    <m/>
    <s v="unten"/>
  </r>
  <r>
    <s v="Erdgeschoss"/>
    <n v="1"/>
    <s v="E6"/>
    <n v="6"/>
    <x v="5"/>
    <s v="1.6"/>
    <x v="105"/>
    <x v="3"/>
    <m/>
    <x v="15"/>
    <x v="6"/>
    <s v="Cat7"/>
    <s v="Server Rack"/>
    <s v="ND1"/>
    <s v="E6.ND1"/>
    <m/>
    <s v="unten"/>
  </r>
  <r>
    <s v="Erdgeschoss"/>
    <n v="1"/>
    <s v="E6"/>
    <n v="6"/>
    <x v="5"/>
    <s v="1.6"/>
    <x v="106"/>
    <x v="3"/>
    <m/>
    <x v="11"/>
    <x v="3"/>
    <s v="NYM 5x1,5"/>
    <s v="KNX Schaltaktor"/>
    <s v="SD9"/>
    <s v="E6.SD9"/>
    <m/>
    <s v="oben"/>
  </r>
  <r>
    <s v="Erdgeschoss"/>
    <n v="1"/>
    <s v="E6"/>
    <n v="6"/>
    <x v="5"/>
    <s v="1.6"/>
    <x v="107"/>
    <x v="6"/>
    <m/>
    <x v="14"/>
    <x v="7"/>
    <s v="NYM 5x1,5"/>
    <s v="KNX Jalousieaktor"/>
    <s v="RS1"/>
    <s v="E6.RS1"/>
    <m/>
    <s v="oben"/>
  </r>
  <r>
    <s v="Erdgeschoss"/>
    <n v="1"/>
    <s v="E6"/>
    <n v="6"/>
    <x v="5"/>
    <s v="1.6"/>
    <x v="75"/>
    <x v="6"/>
    <m/>
    <x v="14"/>
    <x v="7"/>
    <s v="NYM 5x1,5"/>
    <s v="KNX Jalousieaktor"/>
    <s v="RS2"/>
    <s v="E6.RS2"/>
    <m/>
    <s v="oben"/>
  </r>
  <r>
    <s v="Erdgeschoss"/>
    <n v="1"/>
    <s v="E6"/>
    <n v="6"/>
    <x v="5"/>
    <s v="1.6"/>
    <x v="108"/>
    <x v="0"/>
    <m/>
    <x v="12"/>
    <x v="5"/>
    <s v="J-Y(St)Y 2x2x0,8"/>
    <s v="KNX Binäreingang"/>
    <s v="FK1"/>
    <s v="E6.FK1"/>
    <m/>
    <s v="oben"/>
  </r>
  <r>
    <s v="Erdgeschoss"/>
    <n v="1"/>
    <s v="E6"/>
    <n v="6"/>
    <x v="5"/>
    <s v="1.6"/>
    <x v="90"/>
    <x v="0"/>
    <m/>
    <x v="12"/>
    <x v="5"/>
    <s v="J-Y(St)Y 2x2x0,8"/>
    <s v="KNX Binäreingang"/>
    <s v="FK2"/>
    <s v="E6.FK2"/>
    <m/>
    <s v="oben"/>
  </r>
  <r>
    <s v="Erdgeschoss"/>
    <n v="1"/>
    <s v="E6"/>
    <n v="6"/>
    <x v="5"/>
    <s v="1.6"/>
    <x v="56"/>
    <x v="3"/>
    <m/>
    <x v="5"/>
    <x v="3"/>
    <s v="NYM 5x1,5"/>
    <s v="Hauptverteilung"/>
    <s v="SD10"/>
    <s v="E6.SD10"/>
    <m/>
    <s v="unten"/>
  </r>
  <r>
    <s v="Erdgeschoss"/>
    <n v="1"/>
    <s v="E6"/>
    <n v="6"/>
    <x v="5"/>
    <s v="1.6"/>
    <x v="57"/>
    <x v="3"/>
    <m/>
    <x v="5"/>
    <x v="3"/>
    <s v="NYM 5x1,5"/>
    <s v="Hauptverteilung"/>
    <s v="SD11"/>
    <s v="E6.SD11"/>
    <m/>
    <s v="unten"/>
  </r>
  <r>
    <s v="Erdgeschoss"/>
    <n v="1"/>
    <s v="E6"/>
    <n v="6"/>
    <x v="5"/>
    <s v="1.6"/>
    <x v="88"/>
    <x v="3"/>
    <m/>
    <x v="11"/>
    <x v="3"/>
    <s v="NYM 5x1,5"/>
    <s v="KNX Schaltaktor"/>
    <s v="SD12"/>
    <s v="E6.SD12"/>
    <m/>
    <s v="oben"/>
  </r>
  <r>
    <s v="Erdgeschoss"/>
    <n v="1"/>
    <s v="E6"/>
    <n v="6"/>
    <x v="5"/>
    <s v="1.6"/>
    <x v="71"/>
    <x v="3"/>
    <m/>
    <x v="5"/>
    <x v="3"/>
    <s v="NYM 5x1,5"/>
    <s v="Hauptverteilung"/>
    <s v="SD13"/>
    <s v="E6.SD13"/>
    <m/>
    <s v="unten"/>
  </r>
  <r>
    <s v="Erdgeschoss"/>
    <n v="1"/>
    <s v="E6"/>
    <n v="6"/>
    <x v="5"/>
    <s v="1.6"/>
    <x v="72"/>
    <x v="3"/>
    <m/>
    <x v="5"/>
    <x v="3"/>
    <s v="NYM 5x1,5"/>
    <s v="Hauptverteilung"/>
    <s v="SD14"/>
    <s v="E6.SD14"/>
    <m/>
    <s v="unten"/>
  </r>
  <r>
    <s v="Erdgeschoss"/>
    <n v="1"/>
    <s v="E6"/>
    <n v="6"/>
    <x v="5"/>
    <s v="1.6"/>
    <x v="109"/>
    <x v="3"/>
    <m/>
    <x v="5"/>
    <x v="3"/>
    <s v="NYM 5x1,5"/>
    <s v="Hauptverteilung"/>
    <s v="SD15"/>
    <s v="E6.SD15"/>
    <m/>
    <s v="unten"/>
  </r>
  <r>
    <s v="Erdgeschoss"/>
    <n v="1"/>
    <s v="E6"/>
    <n v="6"/>
    <x v="5"/>
    <s v="1.6"/>
    <x v="110"/>
    <x v="3"/>
    <m/>
    <x v="5"/>
    <x v="3"/>
    <s v="NYM 5x1,5"/>
    <s v="Hauptverteilung"/>
    <s v="SD16"/>
    <s v="E6.SD16"/>
    <m/>
    <s v="unten"/>
  </r>
  <r>
    <s v="Erdgeschoss"/>
    <n v="1"/>
    <s v="E6"/>
    <n v="6"/>
    <x v="5"/>
    <s v="1.6"/>
    <x v="111"/>
    <x v="3"/>
    <m/>
    <x v="11"/>
    <x v="3"/>
    <s v="NYM 5x1,5"/>
    <s v="KNX Schaltaktor"/>
    <s v="SD17"/>
    <s v="E6.SD17"/>
    <m/>
    <s v="unten"/>
  </r>
  <r>
    <s v="Erdgeschoss"/>
    <n v="1"/>
    <s v="E6"/>
    <n v="6"/>
    <x v="5"/>
    <s v="1.6"/>
    <x v="112"/>
    <x v="3"/>
    <m/>
    <x v="11"/>
    <x v="3"/>
    <s v="NYM 5x1,5"/>
    <s v="KNX Schaltaktor"/>
    <s v="SD18"/>
    <s v="E6.SD18"/>
    <m/>
    <s v="Decke"/>
  </r>
  <r>
    <s v="Erdgeschoss"/>
    <n v="1"/>
    <s v="E6"/>
    <n v="6"/>
    <x v="5"/>
    <s v="1.6"/>
    <x v="113"/>
    <x v="3"/>
    <m/>
    <x v="19"/>
    <x v="4"/>
    <s v="HDMI"/>
    <m/>
    <s v="HD1"/>
    <s v="E6.HD1"/>
    <m/>
    <s v="Decke"/>
  </r>
  <r>
    <s v="Erdgeschoss"/>
    <n v="1"/>
    <s v="E6"/>
    <n v="6"/>
    <x v="5"/>
    <s v="1.6"/>
    <x v="114"/>
    <x v="3"/>
    <m/>
    <x v="17"/>
    <x v="6"/>
    <s v="Cat7"/>
    <s v="Patchfeld"/>
    <s v="ND2"/>
    <s v="E6.ND2"/>
    <m/>
    <s v="Decke"/>
  </r>
  <r>
    <s v="Erdgeschoss"/>
    <n v="1"/>
    <s v="E6"/>
    <n v="6"/>
    <x v="5"/>
    <s v="1.6"/>
    <x v="65"/>
    <x v="0"/>
    <m/>
    <x v="16"/>
    <x v="0"/>
    <s v="KNX"/>
    <s v="KNX-Bus"/>
    <s v="PM1"/>
    <s v="E6.PM1"/>
    <m/>
    <s v="Decke"/>
  </r>
  <r>
    <s v="Erdgeschoss"/>
    <n v="1"/>
    <s v="E6"/>
    <n v="6"/>
    <x v="5"/>
    <s v="1.6"/>
    <x v="67"/>
    <x v="4"/>
    <m/>
    <x v="8"/>
    <x v="5"/>
    <s v="LS-FL 2x1,5"/>
    <s v="Server Rack"/>
    <s v="DL1"/>
    <s v="E6.DL1"/>
    <m/>
    <s v="Decke"/>
  </r>
  <r>
    <s v="Erdgeschoss"/>
    <n v="1"/>
    <s v="E6"/>
    <n v="6"/>
    <x v="5"/>
    <s v="1.6"/>
    <x v="68"/>
    <x v="4"/>
    <m/>
    <x v="8"/>
    <x v="5"/>
    <s v="LS-FL 2x1,5"/>
    <s v="Server Rack"/>
    <s v="DL2"/>
    <s v="E6.DL2"/>
    <m/>
    <s v="Decke"/>
  </r>
  <r>
    <s v="Erdgeschoss"/>
    <n v="1"/>
    <s v="E6"/>
    <n v="6"/>
    <x v="5"/>
    <s v="1.6"/>
    <x v="66"/>
    <x v="1"/>
    <m/>
    <x v="2"/>
    <x v="1"/>
    <s v="LED 2x1,5"/>
    <s v="DALI EVG"/>
    <s v="BL1"/>
    <s v="E6.BL1"/>
    <m/>
    <s v="Decke"/>
  </r>
  <r>
    <s v="Erdgeschoss"/>
    <n v="1"/>
    <s v="E6"/>
    <n v="6"/>
    <x v="5"/>
    <s v="1.6"/>
    <x v="73"/>
    <x v="1"/>
    <m/>
    <x v="1"/>
    <x v="1"/>
    <s v="LED 2x1,5"/>
    <s v="DALI EVG"/>
    <s v="BL2"/>
    <s v="E6.BL2"/>
    <m/>
    <s v="Decke"/>
  </r>
  <r>
    <s v="Erdgeschoss"/>
    <n v="1"/>
    <s v="E6"/>
    <n v="6"/>
    <x v="5"/>
    <s v="1.6"/>
    <x v="115"/>
    <x v="1"/>
    <m/>
    <x v="1"/>
    <x v="1"/>
    <s v="LED 2x1,5"/>
    <s v="DALI EVG"/>
    <s v="BL3"/>
    <s v="E6.BL3"/>
    <m/>
    <s v="Mitte"/>
  </r>
  <r>
    <s v="Erdgeschoss"/>
    <n v="1"/>
    <s v="E6"/>
    <n v="6"/>
    <x v="5"/>
    <s v="1.6"/>
    <x v="116"/>
    <x v="1"/>
    <m/>
    <x v="1"/>
    <x v="1"/>
    <s v="LED 2x1,5"/>
    <s v="DALI EVG"/>
    <s v="BL4"/>
    <s v="E6.BL4"/>
    <m/>
    <s v="oben"/>
  </r>
  <r>
    <s v="Erdgeschoss"/>
    <n v="1"/>
    <s v="E6"/>
    <n v="6"/>
    <x v="5"/>
    <s v="1.6"/>
    <x v="12"/>
    <x v="2"/>
    <m/>
    <x v="3"/>
    <x v="2"/>
    <s v="ÖLFLEX 3x2,5"/>
    <s v="24V Netzteil"/>
    <s v="DA1"/>
    <s v="E6.DA1"/>
    <m/>
    <m/>
  </r>
  <r>
    <s v="Erdgeschoss"/>
    <n v="1"/>
    <s v="E6"/>
    <n v="6"/>
    <x v="5"/>
    <s v="1.6"/>
    <x v="74"/>
    <x v="2"/>
    <m/>
    <x v="4"/>
    <x v="2"/>
    <s v="ÖLFLEX 3x2,5"/>
    <s v="24V Netzteil"/>
    <s v="DA2"/>
    <s v="E6.DA2"/>
    <m/>
    <m/>
  </r>
  <r>
    <s v="Erdgeschoss"/>
    <n v="1"/>
    <s v="E6"/>
    <n v="6"/>
    <x v="5"/>
    <s v="1.6"/>
    <x v="117"/>
    <x v="2"/>
    <m/>
    <x v="4"/>
    <x v="2"/>
    <s v="ÖLFLEX 3x2,5"/>
    <s v="24V Netzteil"/>
    <s v="DA3"/>
    <s v="E6.DA3"/>
    <m/>
    <m/>
  </r>
  <r>
    <s v="Erdgeschoss"/>
    <n v="1"/>
    <s v="E6"/>
    <n v="6"/>
    <x v="5"/>
    <s v="1.6"/>
    <x v="118"/>
    <x v="2"/>
    <m/>
    <x v="4"/>
    <x v="2"/>
    <s v="ÖLFLEX 3x2,5"/>
    <s v="24V Netzteil"/>
    <s v="DA4"/>
    <s v="E6.DA4"/>
    <m/>
    <m/>
  </r>
  <r>
    <s v="Erdgeschoss"/>
    <n v="1"/>
    <s v="E7"/>
    <n v="7"/>
    <x v="6"/>
    <s v="1.7"/>
    <x v="42"/>
    <x v="3"/>
    <m/>
    <x v="5"/>
    <x v="3"/>
    <s v="NYM 5x1,5"/>
    <s v="Hauptverteilung"/>
    <s v="SD1"/>
    <s v="E7.SD1"/>
    <m/>
    <s v="Mitte"/>
  </r>
  <r>
    <s v="Erdgeschoss"/>
    <n v="1"/>
    <s v="E7"/>
    <n v="7"/>
    <x v="6"/>
    <s v="1.7"/>
    <x v="43"/>
    <x v="3"/>
    <m/>
    <x v="5"/>
    <x v="3"/>
    <s v="NYM 5x1,5"/>
    <s v="Hauptverteilung"/>
    <s v="SD2"/>
    <s v="E7.SD2"/>
    <m/>
    <s v="Mitte"/>
  </r>
  <r>
    <s v="Erdgeschoss"/>
    <n v="1"/>
    <s v="E7"/>
    <n v="7"/>
    <x v="6"/>
    <s v="1.7"/>
    <x v="119"/>
    <x v="3"/>
    <m/>
    <x v="5"/>
    <x v="3"/>
    <s v="NYM 5x1,5"/>
    <s v="Hauptverteilung"/>
    <s v="SD3"/>
    <s v="E7.SD3"/>
    <m/>
    <s v="Mitte"/>
  </r>
  <r>
    <s v="Erdgeschoss"/>
    <n v="1"/>
    <s v="E7"/>
    <n v="7"/>
    <x v="6"/>
    <s v="1.7"/>
    <x v="56"/>
    <x v="3"/>
    <m/>
    <x v="5"/>
    <x v="3"/>
    <s v="NYM 5x1,5"/>
    <s v="Hauptverteilung"/>
    <s v="SD4"/>
    <s v="E7.SD4"/>
    <m/>
    <s v="Mitte"/>
  </r>
  <r>
    <s v="Erdgeschoss"/>
    <n v="1"/>
    <s v="E7"/>
    <n v="7"/>
    <x v="6"/>
    <s v="1.7"/>
    <x v="57"/>
    <x v="3"/>
    <m/>
    <x v="5"/>
    <x v="3"/>
    <s v="NYM 5x1,5"/>
    <s v="Hauptverteilung"/>
    <s v="SD5"/>
    <s v="E7.SD5"/>
    <m/>
    <s v="Mitte"/>
  </r>
  <r>
    <s v="Erdgeschoss"/>
    <n v="1"/>
    <s v="E7"/>
    <n v="7"/>
    <x v="6"/>
    <s v="1.7"/>
    <x v="58"/>
    <x v="3"/>
    <m/>
    <x v="5"/>
    <x v="3"/>
    <s v="NYM 5x1,5"/>
    <s v="Hauptverteilung"/>
    <s v="SD6"/>
    <s v="E7.SD6"/>
    <m/>
    <s v="Mitte"/>
  </r>
  <r>
    <s v="Erdgeschoss"/>
    <n v="1"/>
    <s v="E7"/>
    <n v="7"/>
    <x v="6"/>
    <s v="1.7"/>
    <x v="59"/>
    <x v="3"/>
    <m/>
    <x v="5"/>
    <x v="3"/>
    <s v="NYM 5x1,5"/>
    <s v="Hauptverteilung"/>
    <s v="SD7"/>
    <s v="E7.SD7"/>
    <m/>
    <s v="Mitte"/>
  </r>
  <r>
    <s v="Erdgeschoss"/>
    <n v="1"/>
    <s v="E7"/>
    <n v="7"/>
    <x v="6"/>
    <s v="1.7"/>
    <x v="60"/>
    <x v="3"/>
    <m/>
    <x v="5"/>
    <x v="3"/>
    <s v="NYM 5x1,5"/>
    <s v="Hauptverteilung"/>
    <s v="SD8"/>
    <s v="E7.SD8"/>
    <m/>
    <s v="Mitte"/>
  </r>
  <r>
    <s v="Erdgeschoss"/>
    <n v="1"/>
    <s v="E7"/>
    <n v="7"/>
    <x v="6"/>
    <s v="1.7"/>
    <x v="120"/>
    <x v="3"/>
    <m/>
    <x v="5"/>
    <x v="3"/>
    <s v="NYM 5x1,5"/>
    <s v="Hauptverteilung"/>
    <s v="SD9"/>
    <s v="E7.SD9"/>
    <m/>
    <s v="Mitte"/>
  </r>
  <r>
    <s v="Erdgeschoss"/>
    <n v="1"/>
    <s v="E7"/>
    <n v="7"/>
    <x v="6"/>
    <s v="1.7"/>
    <x v="88"/>
    <x v="3"/>
    <m/>
    <x v="11"/>
    <x v="3"/>
    <s v="NYM 5x1,5"/>
    <s v="KNX Schaltaktor"/>
    <s v="SD10"/>
    <s v="E7.SD10"/>
    <m/>
    <s v="oben"/>
  </r>
  <r>
    <s v="Erdgeschoss"/>
    <n v="1"/>
    <s v="E7"/>
    <n v="7"/>
    <x v="6"/>
    <s v="1.7"/>
    <x v="71"/>
    <x v="3"/>
    <m/>
    <x v="5"/>
    <x v="3"/>
    <s v="NYM 5x1,5"/>
    <s v="Hauptverteilung"/>
    <s v="SD11"/>
    <s v="E7.SD11"/>
    <m/>
    <s v="Mitte"/>
  </r>
  <r>
    <s v="Erdgeschoss"/>
    <n v="1"/>
    <s v="E7"/>
    <n v="7"/>
    <x v="6"/>
    <s v="1.7"/>
    <x v="90"/>
    <x v="0"/>
    <m/>
    <x v="12"/>
    <x v="5"/>
    <s v="J-Y(St)Y 2x2x0,8"/>
    <s v="KNX Binäreingang"/>
    <s v="FK1"/>
    <s v="E7.FK1"/>
    <m/>
    <s v="oben"/>
  </r>
  <r>
    <s v="Erdgeschoss"/>
    <n v="1"/>
    <s v="E7"/>
    <n v="7"/>
    <x v="6"/>
    <s v="1.7"/>
    <x v="75"/>
    <x v="6"/>
    <m/>
    <x v="14"/>
    <x v="7"/>
    <s v="NYM 5x1,5"/>
    <s v="KNX Jalousieaktor"/>
    <s v="R1"/>
    <s v="E7.R1"/>
    <m/>
    <s v="oben"/>
  </r>
  <r>
    <s v="Erdgeschoss"/>
    <n v="1"/>
    <s v="E7"/>
    <n v="7"/>
    <x v="6"/>
    <s v="1.7"/>
    <x v="67"/>
    <x v="4"/>
    <m/>
    <x v="8"/>
    <x v="5"/>
    <s v="LS-FL 2x1,5"/>
    <s v="Server Rack"/>
    <s v="DL1"/>
    <s v="E7.DL1"/>
    <m/>
    <s v="Decke"/>
  </r>
  <r>
    <s v="Erdgeschoss"/>
    <n v="1"/>
    <s v="E7"/>
    <n v="7"/>
    <x v="6"/>
    <s v="1.7"/>
    <x v="2"/>
    <x v="1"/>
    <m/>
    <x v="2"/>
    <x v="1"/>
    <s v="LED 2x1,5"/>
    <s v="DALI EVG"/>
    <s v="BL1"/>
    <s v="E7.BL1"/>
    <m/>
    <s v="Decke"/>
  </r>
  <r>
    <s v="Erdgeschoss"/>
    <n v="1"/>
    <s v="E7"/>
    <n v="7"/>
    <x v="6"/>
    <s v="1.7"/>
    <x v="3"/>
    <x v="1"/>
    <m/>
    <x v="2"/>
    <x v="1"/>
    <s v="LED 2x1,5"/>
    <s v="DALI EVG"/>
    <s v="BL2"/>
    <s v="E7.BL2"/>
    <m/>
    <s v="Decke"/>
  </r>
  <r>
    <s v="Erdgeschoss"/>
    <n v="1"/>
    <s v="E7"/>
    <n v="7"/>
    <x v="6"/>
    <s v="1.7"/>
    <x v="4"/>
    <x v="1"/>
    <m/>
    <x v="2"/>
    <x v="1"/>
    <s v="LED 2x1,5"/>
    <s v="DALI EVG"/>
    <s v="BL3"/>
    <s v="E7.BL3"/>
    <m/>
    <s v="Decke"/>
  </r>
  <r>
    <s v="Erdgeschoss"/>
    <n v="1"/>
    <s v="E7"/>
    <n v="7"/>
    <x v="6"/>
    <s v="1.7"/>
    <x v="5"/>
    <x v="1"/>
    <m/>
    <x v="2"/>
    <x v="1"/>
    <s v="LED 2x1,5"/>
    <s v="DALI EVG"/>
    <s v="BL4"/>
    <s v="E7.BL4"/>
    <m/>
    <s v="Decke"/>
  </r>
  <r>
    <s v="Erdgeschoss"/>
    <n v="1"/>
    <s v="E7"/>
    <n v="7"/>
    <x v="6"/>
    <s v="1.7"/>
    <x v="121"/>
    <x v="1"/>
    <m/>
    <x v="2"/>
    <x v="1"/>
    <s v="LED 2x1,5"/>
    <s v="DALI EVG"/>
    <s v="BL5"/>
    <s v="E7.BL5"/>
    <m/>
    <s v="oben"/>
  </r>
  <r>
    <s v="Erdgeschoss"/>
    <n v="1"/>
    <s v="E7"/>
    <n v="7"/>
    <x v="6"/>
    <s v="1.7"/>
    <x v="22"/>
    <x v="0"/>
    <m/>
    <x v="6"/>
    <x v="0"/>
    <s v="KNX"/>
    <s v="KNX-Bus"/>
    <s v="BM1"/>
    <s v="E7.BM1"/>
    <m/>
    <s v="Decke"/>
  </r>
  <r>
    <s v="Erdgeschoss"/>
    <n v="1"/>
    <s v="E7"/>
    <n v="7"/>
    <x v="6"/>
    <s v="1.7"/>
    <x v="12"/>
    <x v="2"/>
    <m/>
    <x v="3"/>
    <x v="2"/>
    <s v="ÖLFLEX 3x2,5"/>
    <s v="24V Netzteil"/>
    <s v="DA1"/>
    <s v="E7.DA1"/>
    <m/>
    <m/>
  </r>
  <r>
    <s v="Erdgeschoss"/>
    <n v="1"/>
    <s v="E7"/>
    <n v="7"/>
    <x v="6"/>
    <s v="1.7"/>
    <x v="122"/>
    <x v="2"/>
    <m/>
    <x v="3"/>
    <x v="2"/>
    <s v="ÖLFLEX 3x2,5"/>
    <s v="24V Netzteil"/>
    <s v="DA2"/>
    <s v="E7.DA2"/>
    <m/>
    <m/>
  </r>
  <r>
    <s v="Erdgeschoss"/>
    <n v="1"/>
    <s v="E8"/>
    <n v="8"/>
    <x v="7"/>
    <s v="1.8"/>
    <x v="49"/>
    <x v="3"/>
    <m/>
    <x v="5"/>
    <x v="3"/>
    <s v="NYM 5x1,5"/>
    <s v="Hauptverteilung"/>
    <s v="SD1"/>
    <s v="E8.SD1"/>
    <m/>
    <s v="unten"/>
  </r>
  <r>
    <s v="Erdgeschoss"/>
    <n v="1"/>
    <s v="E8"/>
    <n v="8"/>
    <x v="7"/>
    <s v="1.8"/>
    <x v="50"/>
    <x v="3"/>
    <m/>
    <x v="5"/>
    <x v="3"/>
    <s v="NYM 5x1,5"/>
    <s v="Hauptverteilung"/>
    <s v="SD2"/>
    <s v="E8.SD2"/>
    <m/>
    <s v="unten"/>
  </r>
  <r>
    <s v="Erdgeschoss"/>
    <n v="1"/>
    <s v="E8"/>
    <n v="8"/>
    <x v="7"/>
    <s v="1.8"/>
    <x v="51"/>
    <x v="3"/>
    <m/>
    <x v="5"/>
    <x v="3"/>
    <s v="NYM 5x1,5"/>
    <s v="Hauptverteilung"/>
    <s v="SD3"/>
    <s v="E8.SD3"/>
    <m/>
    <s v="unten"/>
  </r>
  <r>
    <s v="Erdgeschoss"/>
    <n v="1"/>
    <s v="E8"/>
    <n v="8"/>
    <x v="7"/>
    <s v="1.8"/>
    <x v="71"/>
    <x v="3"/>
    <m/>
    <x v="5"/>
    <x v="3"/>
    <s v="NYM 5x1,5"/>
    <s v="Hauptverteilung"/>
    <s v="SD4"/>
    <s v="E8.SD4"/>
    <m/>
    <s v="Mitte"/>
  </r>
  <r>
    <s v="Erdgeschoss"/>
    <n v="1"/>
    <s v="E8"/>
    <n v="8"/>
    <x v="7"/>
    <s v="1.8"/>
    <x v="72"/>
    <x v="3"/>
    <m/>
    <x v="11"/>
    <x v="3"/>
    <s v="NYM 5x1,5"/>
    <s v="KNX Schaltaktor"/>
    <s v="SD5"/>
    <s v="E8.SD5"/>
    <m/>
    <s v="Mitte"/>
  </r>
  <r>
    <s v="Erdgeschoss"/>
    <n v="1"/>
    <s v="E8"/>
    <n v="8"/>
    <x v="7"/>
    <s v="1.8"/>
    <x v="109"/>
    <x v="3"/>
    <m/>
    <x v="5"/>
    <x v="3"/>
    <s v="NYM 5x1,5"/>
    <s v="Hauptverteilung"/>
    <s v="SD6"/>
    <s v="E8.SD6"/>
    <m/>
    <s v="Mitte"/>
  </r>
  <r>
    <s v="Erdgeschoss"/>
    <n v="1"/>
    <s v="E8"/>
    <n v="8"/>
    <x v="7"/>
    <s v="1.8"/>
    <x v="110"/>
    <x v="3"/>
    <m/>
    <x v="5"/>
    <x v="3"/>
    <s v="NYM 5x1,5"/>
    <s v="Hauptverteilung"/>
    <s v="SD7"/>
    <s v="E8.SD7"/>
    <m/>
    <s v="Mitte"/>
  </r>
  <r>
    <s v="Erdgeschoss"/>
    <n v="1"/>
    <s v="E8"/>
    <n v="8"/>
    <x v="7"/>
    <s v="1.8"/>
    <x v="123"/>
    <x v="3"/>
    <m/>
    <x v="11"/>
    <x v="3"/>
    <s v="NYM 5x1,5"/>
    <s v="KNX Schaltaktor"/>
    <s v="SD8"/>
    <s v="E8.SD8"/>
    <m/>
    <s v="Mitte"/>
  </r>
  <r>
    <s v="Erdgeschoss"/>
    <n v="1"/>
    <s v="E8"/>
    <n v="8"/>
    <x v="7"/>
    <s v="1.8"/>
    <x v="124"/>
    <x v="3"/>
    <m/>
    <x v="11"/>
    <x v="3"/>
    <s v="NYM 5x1,5"/>
    <s v="KNX Schaltaktor"/>
    <s v="SD9"/>
    <s v="E8.SD9"/>
    <m/>
    <s v="Mitte"/>
  </r>
  <r>
    <s v="Erdgeschoss"/>
    <n v="1"/>
    <s v="E8"/>
    <n v="8"/>
    <x v="7"/>
    <s v="1.8"/>
    <x v="125"/>
    <x v="1"/>
    <m/>
    <x v="1"/>
    <x v="3"/>
    <s v="NYM 5x1,5"/>
    <s v="KNX Dimmer"/>
    <s v="BL1"/>
    <s v="E8.BL1"/>
    <m/>
    <s v="Decke"/>
  </r>
  <r>
    <s v="Erdgeschoss"/>
    <n v="1"/>
    <s v="E8"/>
    <n v="8"/>
    <x v="7"/>
    <s v="1.8"/>
    <x v="126"/>
    <x v="1"/>
    <m/>
    <x v="1"/>
    <x v="3"/>
    <s v="NYM 5x1,5"/>
    <s v="KNX Dimmer"/>
    <s v="BL2"/>
    <s v="E8.BL2"/>
    <m/>
    <s v="Decke"/>
  </r>
  <r>
    <s v="Erdgeschoss"/>
    <n v="1"/>
    <s v="E8"/>
    <n v="8"/>
    <x v="7"/>
    <s v="1.8"/>
    <x v="127"/>
    <x v="1"/>
    <m/>
    <x v="20"/>
    <x v="3"/>
    <s v="NYM 3x1,5"/>
    <s v="Hauptverteilung"/>
    <s v="BL3"/>
    <s v="E8.BL3"/>
    <m/>
    <s v="Decke"/>
  </r>
  <r>
    <s v="Erdgeschoss"/>
    <n v="1"/>
    <s v="E8"/>
    <n v="8"/>
    <x v="7"/>
    <s v="1.8"/>
    <x v="128"/>
    <x v="1"/>
    <m/>
    <x v="20"/>
    <x v="3"/>
    <s v="NYM 3x1,5"/>
    <s v="Hauptverteilung"/>
    <s v="BL4"/>
    <s v="E8.BL4"/>
    <m/>
    <s v="Decke"/>
  </r>
  <r>
    <s v="Erdgeschoss"/>
    <n v="1"/>
    <s v="E8"/>
    <n v="8"/>
    <x v="7"/>
    <s v="1.8"/>
    <x v="22"/>
    <x v="0"/>
    <m/>
    <x v="6"/>
    <x v="0"/>
    <s v="KNX"/>
    <s v="KNX-Bus"/>
    <s v="BM1"/>
    <s v="E8.BM1"/>
    <m/>
    <s v="Decke"/>
  </r>
  <r>
    <s v="Erdgeschoss"/>
    <n v="1"/>
    <s v="E9"/>
    <n v="9"/>
    <x v="8"/>
    <s v="1.9"/>
    <x v="22"/>
    <x v="0"/>
    <m/>
    <x v="6"/>
    <x v="3"/>
    <s v="NYM 3x1,5"/>
    <s v="Hauptverteilung"/>
    <s v="BM1"/>
    <s v="E9.BM1"/>
    <m/>
    <s v="Mitte"/>
  </r>
  <r>
    <s v="Erdgeschoss"/>
    <n v="1"/>
    <s v="E9"/>
    <n v="9"/>
    <x v="8"/>
    <s v="1.9"/>
    <x v="129"/>
    <x v="1"/>
    <m/>
    <x v="20"/>
    <x v="3"/>
    <s v="NYM 3x1,5"/>
    <s v="Hauptverteilung"/>
    <s v="BL1"/>
    <s v="E9.BL1"/>
    <m/>
    <s v="Mitte"/>
  </r>
  <r>
    <s v="Erdgeschoss"/>
    <n v="1"/>
    <s v="E9"/>
    <n v="9"/>
    <x v="8"/>
    <s v="1.9"/>
    <x v="130"/>
    <x v="1"/>
    <m/>
    <x v="20"/>
    <x v="3"/>
    <s v="NYM 3x1,5"/>
    <s v="Hauptverteilung"/>
    <s v="BL2"/>
    <s v="E9.BL2"/>
    <m/>
    <s v="Mitte"/>
  </r>
  <r>
    <s v="Obergeschoss"/>
    <n v="2"/>
    <s v="O1"/>
    <n v="1"/>
    <x v="9"/>
    <s v="2.1"/>
    <x v="42"/>
    <x v="3"/>
    <m/>
    <x v="11"/>
    <x v="3"/>
    <s v="NYM 5x1,5"/>
    <s v="KNX Schaltaktor"/>
    <s v="SD1"/>
    <s v="O1.SD1"/>
    <m/>
    <s v="unten"/>
  </r>
  <r>
    <s v="Obergeschoss"/>
    <n v="2"/>
    <s v="O1"/>
    <n v="1"/>
    <x v="9"/>
    <s v="2.1"/>
    <x v="43"/>
    <x v="3"/>
    <m/>
    <x v="5"/>
    <x v="3"/>
    <s v="NYM 5x1,5"/>
    <s v="Hauptverteilung"/>
    <s v="SD2"/>
    <s v="O1.SD2"/>
    <m/>
    <s v="unten"/>
  </r>
  <r>
    <s v="Obergeschoss"/>
    <n v="2"/>
    <s v="O1"/>
    <n v="1"/>
    <x v="9"/>
    <s v="2.1"/>
    <x v="44"/>
    <x v="3"/>
    <m/>
    <x v="5"/>
    <x v="3"/>
    <s v="NYM 5x1,5"/>
    <s v="Hauptverteilung"/>
    <s v="SD3"/>
    <s v="O1.SD3"/>
    <m/>
    <s v="unten"/>
  </r>
  <r>
    <s v="Obergeschoss"/>
    <n v="2"/>
    <s v="O1"/>
    <n v="1"/>
    <x v="9"/>
    <s v="2.1"/>
    <x v="47"/>
    <x v="3"/>
    <m/>
    <x v="15"/>
    <x v="6"/>
    <s v="Cat7"/>
    <s v="Patchfeld"/>
    <s v="ND1"/>
    <s v="O1.ND1"/>
    <m/>
    <s v="unten"/>
  </r>
  <r>
    <s v="Obergeschoss"/>
    <n v="2"/>
    <s v="O1"/>
    <n v="1"/>
    <x v="9"/>
    <s v="2.1"/>
    <x v="48"/>
    <x v="3"/>
    <m/>
    <x v="11"/>
    <x v="3"/>
    <s v="NYM 5x1,5"/>
    <s v="KNX Schaltaktor"/>
    <s v="SD4"/>
    <s v="O1.SD4"/>
    <m/>
    <s v="oben"/>
  </r>
  <r>
    <s v="Obergeschoss"/>
    <n v="2"/>
    <s v="O1"/>
    <n v="1"/>
    <x v="9"/>
    <s v="2.1"/>
    <x v="40"/>
    <x v="6"/>
    <m/>
    <x v="10"/>
    <x v="7"/>
    <s v="NYM 5x1,5"/>
    <s v="KNX Jalousieaktor"/>
    <s v="R1"/>
    <s v="O1.R1"/>
    <m/>
    <s v="oben"/>
  </r>
  <r>
    <s v="Obergeschoss"/>
    <n v="2"/>
    <s v="O1"/>
    <n v="1"/>
    <x v="9"/>
    <s v="2.1"/>
    <x v="90"/>
    <x v="0"/>
    <m/>
    <x v="12"/>
    <x v="5"/>
    <s v="J-Y(St)Y 2x2x0,8"/>
    <s v="KNX Binäreingang"/>
    <s v="FK1"/>
    <s v="O1.FK1"/>
    <m/>
    <s v="oben"/>
  </r>
  <r>
    <s v="Obergeschoss"/>
    <n v="2"/>
    <s v="O1"/>
    <n v="1"/>
    <x v="9"/>
    <s v="2.1"/>
    <x v="41"/>
    <x v="6"/>
    <m/>
    <x v="10"/>
    <x v="7"/>
    <s v="NYM 5x1,5"/>
    <s v="KNX Jalousieaktor"/>
    <s v="R2"/>
    <s v="O1.R2"/>
    <m/>
    <s v="oben"/>
  </r>
  <r>
    <s v="Obergeschoss"/>
    <n v="2"/>
    <s v="O1"/>
    <n v="1"/>
    <x v="9"/>
    <s v="2.1"/>
    <x v="64"/>
    <x v="0"/>
    <m/>
    <x v="12"/>
    <x v="5"/>
    <s v="J-Y(St)Y 2x2x0,8"/>
    <s v="KNX Binäreingang"/>
    <s v="FK2"/>
    <s v="O1.FK2"/>
    <m/>
    <s v="unten"/>
  </r>
  <r>
    <s v="Obergeschoss"/>
    <n v="2"/>
    <s v="O1"/>
    <n v="1"/>
    <x v="9"/>
    <s v="2.1"/>
    <x v="49"/>
    <x v="3"/>
    <m/>
    <x v="11"/>
    <x v="3"/>
    <s v="NYM 5x1,5"/>
    <s v="KNX Schaltaktor"/>
    <s v="SD5"/>
    <s v="O1.SD5"/>
    <m/>
    <s v="unten"/>
  </r>
  <r>
    <s v="Obergeschoss"/>
    <n v="2"/>
    <s v="O1"/>
    <n v="1"/>
    <x v="9"/>
    <s v="2.1"/>
    <x v="50"/>
    <x v="3"/>
    <m/>
    <x v="5"/>
    <x v="3"/>
    <s v="NYM 5x1,5"/>
    <s v="Hauptverteilung"/>
    <s v="SD6"/>
    <s v="O1.SD6"/>
    <m/>
    <s v="unten"/>
  </r>
  <r>
    <s v="Obergeschoss"/>
    <n v="2"/>
    <s v="O1"/>
    <n v="1"/>
    <x v="9"/>
    <s v="2.1"/>
    <x v="51"/>
    <x v="3"/>
    <m/>
    <x v="5"/>
    <x v="3"/>
    <s v="NYM 5x1,5"/>
    <s v="Hauptverteilung"/>
    <s v="SD7"/>
    <s v="O1.SD7"/>
    <m/>
    <s v="unten"/>
  </r>
  <r>
    <s v="Obergeschoss"/>
    <n v="2"/>
    <s v="O1"/>
    <n v="1"/>
    <x v="9"/>
    <s v="2.1"/>
    <x v="54"/>
    <x v="3"/>
    <m/>
    <x v="15"/>
    <x v="6"/>
    <s v="Cat7"/>
    <s v="Patchfeld"/>
    <s v="ND2"/>
    <s v="O1.ND2"/>
    <m/>
    <s v="unten"/>
  </r>
  <r>
    <s v="Obergeschoss"/>
    <n v="2"/>
    <s v="O1"/>
    <n v="1"/>
    <x v="9"/>
    <s v="2.1"/>
    <x v="52"/>
    <x v="3"/>
    <m/>
    <x v="5"/>
    <x v="3"/>
    <s v="NYM 5x1,5"/>
    <s v="Hauptverteilung"/>
    <s v="SD8"/>
    <s v="O1.SD8"/>
    <m/>
    <s v="unten"/>
  </r>
  <r>
    <s v="Obergeschoss"/>
    <n v="2"/>
    <s v="O1"/>
    <n v="1"/>
    <x v="9"/>
    <s v="2.1"/>
    <x v="0"/>
    <x v="0"/>
    <m/>
    <x v="0"/>
    <x v="0"/>
    <s v="KNX"/>
    <s v="KNX-Bus"/>
    <s v="TS1"/>
    <s v="O1.TS1"/>
    <m/>
    <s v="Mitte"/>
  </r>
  <r>
    <s v="Obergeschoss"/>
    <n v="2"/>
    <s v="O1"/>
    <n v="1"/>
    <x v="9"/>
    <s v="2.1"/>
    <x v="49"/>
    <x v="3"/>
    <m/>
    <x v="11"/>
    <x v="3"/>
    <s v="NYM 5x1,5"/>
    <s v="KNX Schaltaktor"/>
    <s v="SD9"/>
    <s v="O1.SD9"/>
    <m/>
    <s v="unten"/>
  </r>
  <r>
    <s v="Obergeschoss"/>
    <n v="2"/>
    <s v="O1"/>
    <n v="1"/>
    <x v="9"/>
    <s v="2.1"/>
    <x v="50"/>
    <x v="3"/>
    <m/>
    <x v="5"/>
    <x v="3"/>
    <s v="NYM 5x1,5"/>
    <s v="Hauptverteilung"/>
    <s v="SD10"/>
    <s v="O1.SD10"/>
    <m/>
    <s v="unten"/>
  </r>
  <r>
    <s v="Obergeschoss"/>
    <n v="2"/>
    <s v="O1"/>
    <n v="1"/>
    <x v="9"/>
    <s v="2.1"/>
    <x v="51"/>
    <x v="3"/>
    <m/>
    <x v="5"/>
    <x v="3"/>
    <s v="NYM 5x1,5"/>
    <s v="Hauptverteilung"/>
    <s v="SD11"/>
    <s v="O1.SD11"/>
    <m/>
    <s v="unten"/>
  </r>
  <r>
    <s v="Obergeschoss"/>
    <n v="2"/>
    <s v="O1"/>
    <n v="1"/>
    <x v="9"/>
    <s v="2.1"/>
    <x v="54"/>
    <x v="3"/>
    <m/>
    <x v="15"/>
    <x v="6"/>
    <s v="Cat7"/>
    <s v="Patchfeld"/>
    <s v="ND3"/>
    <s v="O1.ND3"/>
    <m/>
    <s v="unten"/>
  </r>
  <r>
    <s v="Obergeschoss"/>
    <n v="2"/>
    <s v="O1"/>
    <n v="1"/>
    <x v="9"/>
    <s v="2.1"/>
    <x v="62"/>
    <x v="3"/>
    <m/>
    <x v="11"/>
    <x v="3"/>
    <s v="NYM 5x1,5"/>
    <s v="KNX Schaltaktor"/>
    <s v="SD12"/>
    <s v="O1.SD12"/>
    <m/>
    <s v="oben"/>
  </r>
  <r>
    <s v="Obergeschoss"/>
    <n v="2"/>
    <s v="O1"/>
    <n v="1"/>
    <x v="9"/>
    <s v="2.1"/>
    <x v="71"/>
    <x v="3"/>
    <m/>
    <x v="5"/>
    <x v="3"/>
    <s v="NYM 5x1,5"/>
    <s v="Hauptverteilung"/>
    <s v="SD13"/>
    <s v="O1.SD13"/>
    <m/>
    <s v="unten"/>
  </r>
  <r>
    <s v="Obergeschoss"/>
    <n v="2"/>
    <s v="O1"/>
    <n v="1"/>
    <x v="9"/>
    <s v="2.1"/>
    <x v="67"/>
    <x v="4"/>
    <m/>
    <x v="8"/>
    <x v="5"/>
    <s v="LS-FL 2x1,5"/>
    <s v="Server Rack"/>
    <s v="DL1"/>
    <s v="O1.DL1"/>
    <m/>
    <s v="Decke"/>
  </r>
  <r>
    <s v="Obergeschoss"/>
    <n v="2"/>
    <s v="O1"/>
    <n v="1"/>
    <x v="9"/>
    <s v="2.1"/>
    <x v="68"/>
    <x v="4"/>
    <m/>
    <x v="8"/>
    <x v="5"/>
    <s v="LS-FL 2x1,5"/>
    <s v="Server Rack"/>
    <s v="DL2"/>
    <s v="O1.DL2"/>
    <m/>
    <s v="Decke"/>
  </r>
  <r>
    <s v="Obergeschoss"/>
    <n v="2"/>
    <s v="O1"/>
    <n v="1"/>
    <x v="9"/>
    <s v="2.1"/>
    <x v="65"/>
    <x v="0"/>
    <m/>
    <x v="16"/>
    <x v="0"/>
    <s v="KNX"/>
    <s v="KNX-Bus"/>
    <s v="PM1"/>
    <s v="O1.PM1"/>
    <m/>
    <s v="Decke"/>
  </r>
  <r>
    <s v="Obergeschoss"/>
    <n v="2"/>
    <s v="O1"/>
    <n v="1"/>
    <x v="9"/>
    <s v="2.1"/>
    <x v="66"/>
    <x v="1"/>
    <m/>
    <x v="2"/>
    <x v="1"/>
    <s v="LED 2x1,5"/>
    <s v="DALI EVG"/>
    <s v="BL1"/>
    <s v="O1.BL1"/>
    <m/>
    <s v="Decke"/>
  </r>
  <r>
    <s v="Obergeschoss"/>
    <n v="2"/>
    <s v="O1"/>
    <n v="1"/>
    <x v="9"/>
    <s v="2.1"/>
    <x v="12"/>
    <x v="2"/>
    <m/>
    <x v="3"/>
    <x v="2"/>
    <s v="ÖLFLEX 3x2,5"/>
    <s v="24V Netzteil"/>
    <s v="DA1"/>
    <s v="O1.DA1"/>
    <m/>
    <m/>
  </r>
  <r>
    <s v="Obergeschoss"/>
    <n v="2"/>
    <s v="O2"/>
    <n v="2"/>
    <x v="10"/>
    <s v="2.2"/>
    <x v="42"/>
    <x v="3"/>
    <m/>
    <x v="11"/>
    <x v="3"/>
    <s v="NYM 5x1,5"/>
    <s v="KNX Schaltaktor"/>
    <s v="SD1"/>
    <s v="O2.SD1"/>
    <m/>
    <s v="unten"/>
  </r>
  <r>
    <s v="Obergeschoss"/>
    <n v="2"/>
    <s v="O2"/>
    <n v="2"/>
    <x v="10"/>
    <s v="2.2"/>
    <x v="43"/>
    <x v="3"/>
    <m/>
    <x v="5"/>
    <x v="3"/>
    <s v="NYM 5x1,5"/>
    <s v="Hauptverteilung"/>
    <s v="SD2"/>
    <s v="O2.SD2"/>
    <m/>
    <s v="unten"/>
  </r>
  <r>
    <s v="Obergeschoss"/>
    <n v="2"/>
    <s v="O2"/>
    <n v="2"/>
    <x v="10"/>
    <s v="2.2"/>
    <x v="44"/>
    <x v="3"/>
    <m/>
    <x v="5"/>
    <x v="3"/>
    <s v="NYM 5x1,5"/>
    <s v="Hauptverteilung"/>
    <s v="SD3"/>
    <s v="O2.SD3"/>
    <m/>
    <s v="unten"/>
  </r>
  <r>
    <s v="Obergeschoss"/>
    <n v="2"/>
    <s v="O2"/>
    <n v="2"/>
    <x v="10"/>
    <s v="2.2"/>
    <x v="47"/>
    <x v="3"/>
    <m/>
    <x v="15"/>
    <x v="6"/>
    <s v="Cat7"/>
    <s v="Patchfeld"/>
    <s v="ND1"/>
    <s v="O2.ND1"/>
    <m/>
    <s v="unten"/>
  </r>
  <r>
    <s v="Obergeschoss"/>
    <n v="2"/>
    <s v="O2"/>
    <n v="2"/>
    <x v="10"/>
    <s v="2.2"/>
    <x v="49"/>
    <x v="3"/>
    <m/>
    <x v="5"/>
    <x v="3"/>
    <s v="NYM 5x1,5"/>
    <s v="Hauptverteilung"/>
    <s v="SD4"/>
    <s v="O2.SD4"/>
    <m/>
    <s v="unten"/>
  </r>
  <r>
    <s v="Obergeschoss"/>
    <n v="2"/>
    <s v="O2"/>
    <n v="2"/>
    <x v="10"/>
    <s v="2.2"/>
    <x v="50"/>
    <x v="3"/>
    <m/>
    <x v="5"/>
    <x v="3"/>
    <s v="NYM 5x1,5"/>
    <s v="Hauptverteilung"/>
    <s v="SD5"/>
    <s v="O2.SD5"/>
    <m/>
    <s v="unten"/>
  </r>
  <r>
    <s v="Obergeschoss"/>
    <n v="2"/>
    <s v="O2"/>
    <n v="2"/>
    <x v="10"/>
    <s v="2.2"/>
    <x v="0"/>
    <x v="0"/>
    <m/>
    <x v="0"/>
    <x v="0"/>
    <s v="KNX"/>
    <s v="KNX-Bus"/>
    <s v="TS1"/>
    <s v="O2.TS1"/>
    <m/>
    <s v="Mitte"/>
  </r>
  <r>
    <s v="Obergeschoss"/>
    <n v="2"/>
    <s v="O2"/>
    <n v="2"/>
    <x v="10"/>
    <s v="2.2"/>
    <x v="56"/>
    <x v="3"/>
    <m/>
    <x v="11"/>
    <x v="3"/>
    <s v="NYM 5x1,5"/>
    <s v="KNX Schaltaktor"/>
    <s v="SD6"/>
    <s v="O2.SD6"/>
    <m/>
    <s v="unten"/>
  </r>
  <r>
    <s v="Obergeschoss"/>
    <n v="2"/>
    <s v="O2"/>
    <n v="2"/>
    <x v="10"/>
    <s v="2.2"/>
    <x v="57"/>
    <x v="3"/>
    <m/>
    <x v="5"/>
    <x v="3"/>
    <s v="NYM 5x1,5"/>
    <s v="Hauptverteilung"/>
    <s v="SD7"/>
    <s v="O2.SD7"/>
    <m/>
    <s v="unten"/>
  </r>
  <r>
    <s v="Obergeschoss"/>
    <n v="2"/>
    <s v="O2"/>
    <n v="2"/>
    <x v="10"/>
    <s v="2.2"/>
    <x v="90"/>
    <x v="0"/>
    <m/>
    <x v="12"/>
    <x v="5"/>
    <s v="J-Y(St)Y 2x2x0,8"/>
    <s v="KNX Binäreingang"/>
    <s v="FK1"/>
    <s v="O2.FK1"/>
    <m/>
    <s v="oben"/>
  </r>
  <r>
    <s v="Obergeschoss"/>
    <n v="2"/>
    <s v="O2"/>
    <n v="2"/>
    <x v="10"/>
    <s v="2.2"/>
    <x v="75"/>
    <x v="6"/>
    <m/>
    <x v="10"/>
    <x v="7"/>
    <s v="NYM 5x1,5"/>
    <s v="KNX Jalousieaktor"/>
    <s v="R1"/>
    <s v="O2.R1"/>
    <m/>
    <s v="oben"/>
  </r>
  <r>
    <s v="Obergeschoss"/>
    <n v="2"/>
    <s v="O2"/>
    <n v="2"/>
    <x v="10"/>
    <s v="2.2"/>
    <x v="88"/>
    <x v="3"/>
    <m/>
    <x v="11"/>
    <x v="3"/>
    <s v="NYM 5x1,5"/>
    <s v="KNX Schaltaktor"/>
    <s v="SD8"/>
    <s v="O2.SD8"/>
    <m/>
    <s v="oben"/>
  </r>
  <r>
    <s v="Obergeschoss"/>
    <n v="2"/>
    <s v="O2"/>
    <n v="2"/>
    <x v="10"/>
    <s v="2.2"/>
    <x v="71"/>
    <x v="3"/>
    <m/>
    <x v="11"/>
    <x v="3"/>
    <s v="NYM 5x1,5"/>
    <s v="KNX Schaltaktor"/>
    <s v="SD9"/>
    <s v="O2.SD9"/>
    <m/>
    <s v="unten"/>
  </r>
  <r>
    <s v="Obergeschoss"/>
    <n v="2"/>
    <s v="O2"/>
    <n v="2"/>
    <x v="10"/>
    <s v="2.2"/>
    <x v="72"/>
    <x v="3"/>
    <m/>
    <x v="5"/>
    <x v="3"/>
    <s v="NYM 5x1,5"/>
    <s v="Hauptverteilung"/>
    <s v="SD10"/>
    <s v="O2.SD10"/>
    <m/>
    <s v="unten"/>
  </r>
  <r>
    <s v="Obergeschoss"/>
    <n v="2"/>
    <s v="O2"/>
    <n v="2"/>
    <x v="10"/>
    <s v="2.2"/>
    <x v="109"/>
    <x v="3"/>
    <m/>
    <x v="5"/>
    <x v="3"/>
    <s v="NYM 5x1,5"/>
    <s v="Hauptverteilung"/>
    <s v="SD11"/>
    <s v="O2.SD11"/>
    <m/>
    <s v="unten"/>
  </r>
  <r>
    <s v="Obergeschoss"/>
    <n v="2"/>
    <s v="O2"/>
    <n v="2"/>
    <x v="10"/>
    <s v="2.2"/>
    <x v="131"/>
    <x v="3"/>
    <m/>
    <x v="15"/>
    <x v="6"/>
    <s v="Cat7"/>
    <s v="Patchfeld"/>
    <s v="ND2"/>
    <s v="O2.ND2"/>
    <m/>
    <s v="unten"/>
  </r>
  <r>
    <s v="Obergeschoss"/>
    <n v="2"/>
    <s v="O2"/>
    <n v="2"/>
    <x v="10"/>
    <s v="2.2"/>
    <x v="64"/>
    <x v="0"/>
    <m/>
    <x v="12"/>
    <x v="5"/>
    <s v="J-Y(St)Y 2x2x0,8"/>
    <s v="KNX Binäreingang"/>
    <s v="FK2"/>
    <s v="O2.FK2"/>
    <m/>
    <s v="oben"/>
  </r>
  <r>
    <s v="Obergeschoss"/>
    <n v="2"/>
    <s v="O2"/>
    <n v="2"/>
    <x v="10"/>
    <s v="2.2"/>
    <x v="41"/>
    <x v="6"/>
    <m/>
    <x v="10"/>
    <x v="7"/>
    <s v="NYM 5x1,5"/>
    <s v="KNX Jalousieaktor"/>
    <s v="R2"/>
    <s v="O2.R2"/>
    <m/>
    <s v="oben"/>
  </r>
  <r>
    <s v="Obergeschoss"/>
    <n v="2"/>
    <s v="O2"/>
    <n v="2"/>
    <x v="10"/>
    <s v="2.2"/>
    <x v="62"/>
    <x v="3"/>
    <m/>
    <x v="11"/>
    <x v="3"/>
    <s v="NYM 5x1,5"/>
    <s v="KNX Schaltaktor"/>
    <s v="SD12"/>
    <s v="O2.SD12"/>
    <m/>
    <s v="oben"/>
  </r>
  <r>
    <s v="Obergeschoss"/>
    <n v="2"/>
    <s v="O2"/>
    <n v="2"/>
    <x v="10"/>
    <s v="2.2"/>
    <x v="67"/>
    <x v="4"/>
    <m/>
    <x v="8"/>
    <x v="5"/>
    <s v="LS-FL 2x1,5"/>
    <s v="Server Rack"/>
    <s v="DL1"/>
    <s v="O2.DL1"/>
    <m/>
    <s v="Decke"/>
  </r>
  <r>
    <s v="Obergeschoss"/>
    <n v="2"/>
    <s v="O2"/>
    <n v="2"/>
    <x v="10"/>
    <s v="2.2"/>
    <x v="68"/>
    <x v="4"/>
    <m/>
    <x v="8"/>
    <x v="5"/>
    <s v="LS-FL 2x1,5"/>
    <s v="Server Rack"/>
    <s v="DL2"/>
    <s v="O2.DL2"/>
    <m/>
    <s v="Decke"/>
  </r>
  <r>
    <s v="Obergeschoss"/>
    <n v="2"/>
    <s v="O2"/>
    <n v="2"/>
    <x v="10"/>
    <s v="2.2"/>
    <x v="65"/>
    <x v="0"/>
    <m/>
    <x v="16"/>
    <x v="0"/>
    <s v="KNX"/>
    <s v="KNX-Bus"/>
    <s v="PM1"/>
    <s v="O2.PM1"/>
    <m/>
    <s v="Decke"/>
  </r>
  <r>
    <s v="Obergeschoss"/>
    <n v="2"/>
    <s v="O2"/>
    <n v="2"/>
    <x v="10"/>
    <s v="2.2"/>
    <x v="66"/>
    <x v="1"/>
    <m/>
    <x v="2"/>
    <x v="1"/>
    <s v="LED 2x1,5"/>
    <s v="DALI EVG"/>
    <s v="BLn"/>
    <s v="O2.BLn"/>
    <m/>
    <s v="Decke"/>
  </r>
  <r>
    <s v="Obergeschoss"/>
    <n v="2"/>
    <s v="O2"/>
    <n v="2"/>
    <x v="10"/>
    <s v="2.2"/>
    <x v="12"/>
    <x v="2"/>
    <m/>
    <x v="3"/>
    <x v="2"/>
    <s v="ÖLFLEX 3x2,5"/>
    <s v="24V Netzteil"/>
    <s v="DA1"/>
    <s v="O2.DA1"/>
    <m/>
    <m/>
  </r>
  <r>
    <s v="Obergeschoss"/>
    <n v="2"/>
    <s v="O3"/>
    <n v="3"/>
    <x v="0"/>
    <s v="2.3"/>
    <x v="23"/>
    <x v="3"/>
    <m/>
    <x v="7"/>
    <x v="3"/>
    <s v="NYM 3x1,5"/>
    <s v="KNX Schaltaktor"/>
    <s v="SD1"/>
    <s v="O3.SD1"/>
    <m/>
    <s v="Mitte"/>
  </r>
  <r>
    <s v="Obergeschoss"/>
    <n v="2"/>
    <s v="O3"/>
    <n v="3"/>
    <x v="0"/>
    <s v="2.3"/>
    <x v="24"/>
    <x v="3"/>
    <m/>
    <x v="7"/>
    <x v="4"/>
    <s v="HDMI"/>
    <s v="Server Rack"/>
    <s v="HD1"/>
    <s v="O3.HD1"/>
    <m/>
    <s v="Mitte"/>
  </r>
  <r>
    <s v="Obergeschoss"/>
    <n v="2"/>
    <s v="O3"/>
    <n v="3"/>
    <x v="0"/>
    <s v="2.3"/>
    <x v="26"/>
    <x v="3"/>
    <m/>
    <x v="7"/>
    <x v="6"/>
    <s v="Cat7"/>
    <s v="Server Rack"/>
    <s v="ND1"/>
    <s v="O3.ND1"/>
    <m/>
    <s v="Mitte"/>
  </r>
  <r>
    <s v="Obergeschoss"/>
    <n v="2"/>
    <s v="O3"/>
    <n v="3"/>
    <x v="0"/>
    <s v="2.3"/>
    <x v="49"/>
    <x v="3"/>
    <m/>
    <x v="5"/>
    <x v="3"/>
    <s v="NYM 5x1,5"/>
    <s v="Hauptverteilung"/>
    <s v="SD2"/>
    <s v="O3.SD2"/>
    <m/>
    <s v="unten"/>
  </r>
  <r>
    <s v="Obergeschoss"/>
    <n v="2"/>
    <s v="O3"/>
    <n v="3"/>
    <x v="0"/>
    <s v="2.3"/>
    <x v="50"/>
    <x v="3"/>
    <m/>
    <x v="5"/>
    <x v="3"/>
    <s v="NYM 5x1,5"/>
    <s v="Hauptverteilung"/>
    <s v="SD3"/>
    <s v="O3.SD3"/>
    <m/>
    <s v="unten"/>
  </r>
  <r>
    <s v="Obergeschoss"/>
    <n v="2"/>
    <s v="O3"/>
    <n v="3"/>
    <x v="0"/>
    <s v="2.3"/>
    <x v="56"/>
    <x v="3"/>
    <m/>
    <x v="5"/>
    <x v="3"/>
    <s v="NYM 5x1,5"/>
    <s v="Hauptverteilung"/>
    <s v="SD4"/>
    <s v="O3.SD4"/>
    <m/>
    <s v="unten"/>
  </r>
  <r>
    <s v="Obergeschoss"/>
    <n v="2"/>
    <s v="O3"/>
    <n v="3"/>
    <x v="0"/>
    <s v="2.3"/>
    <x v="57"/>
    <x v="3"/>
    <m/>
    <x v="5"/>
    <x v="3"/>
    <s v="NYM 5x1,5"/>
    <s v="Hauptverteilung"/>
    <s v="SD5"/>
    <s v="O3.SD5"/>
    <m/>
    <s v="unten"/>
  </r>
  <r>
    <s v="Obergeschoss"/>
    <n v="2"/>
    <s v="O3"/>
    <n v="3"/>
    <x v="0"/>
    <s v="2.3"/>
    <x v="71"/>
    <x v="3"/>
    <m/>
    <x v="5"/>
    <x v="3"/>
    <s v="NYM 5x1,5"/>
    <s v="Hauptverteilung"/>
    <s v="SD6"/>
    <s v="O3.SD6"/>
    <m/>
    <s v="unten"/>
  </r>
  <r>
    <s v="Obergeschoss"/>
    <n v="2"/>
    <s v="O3"/>
    <n v="3"/>
    <x v="0"/>
    <s v="2.3"/>
    <x v="67"/>
    <x v="4"/>
    <m/>
    <x v="8"/>
    <x v="5"/>
    <s v="LS-FL 2x1,5"/>
    <s v="Server Rack"/>
    <s v="DL1"/>
    <s v="O3.DL1"/>
    <m/>
    <s v="Decke"/>
  </r>
  <r>
    <s v="Obergeschoss"/>
    <n v="2"/>
    <s v="O3"/>
    <n v="3"/>
    <x v="0"/>
    <s v="2.3"/>
    <x v="22"/>
    <x v="0"/>
    <m/>
    <x v="6"/>
    <x v="0"/>
    <s v="KNX"/>
    <s v="KNX-Bus"/>
    <s v="BM1"/>
    <s v="O3.BM1"/>
    <m/>
    <s v="Decke"/>
  </r>
  <r>
    <s v="Obergeschoss"/>
    <n v="2"/>
    <s v="O3"/>
    <n v="3"/>
    <x v="0"/>
    <s v="2.3"/>
    <x v="66"/>
    <x v="1"/>
    <m/>
    <x v="2"/>
    <x v="1"/>
    <s v="LED 2x1,5"/>
    <s v="DALI EVG"/>
    <s v="BL1"/>
    <s v="O3.BL1"/>
    <m/>
    <s v="Decke"/>
  </r>
  <r>
    <s v="Obergeschoss"/>
    <n v="2"/>
    <s v="O3"/>
    <n v="3"/>
    <x v="0"/>
    <s v="2.3"/>
    <x v="132"/>
    <x v="3"/>
    <m/>
    <x v="7"/>
    <x v="8"/>
    <s v="NYM 3x1,5"/>
    <s v="KNX Heizungsaktor"/>
    <s v="SMn"/>
    <s v="O3.SMn"/>
    <m/>
    <s v="unten"/>
  </r>
  <r>
    <s v="Obergeschoss"/>
    <n v="2"/>
    <s v="O3"/>
    <n v="3"/>
    <x v="0"/>
    <s v="2.3"/>
    <x v="133"/>
    <x v="1"/>
    <m/>
    <x v="1"/>
    <x v="1"/>
    <s v="LED 2x1,5"/>
    <s v="DALI EVG"/>
    <s v="BL2"/>
    <s v="O3.BL2"/>
    <m/>
    <s v="Mitte"/>
  </r>
  <r>
    <s v="Obergeschoss"/>
    <n v="2"/>
    <s v="O3"/>
    <n v="3"/>
    <x v="0"/>
    <s v="2.3"/>
    <x v="12"/>
    <x v="2"/>
    <m/>
    <x v="3"/>
    <x v="2"/>
    <s v="ÖLFLEX 3x2,5"/>
    <s v="24V Netzteil"/>
    <s v="DA1"/>
    <s v="O3.DA1"/>
    <m/>
    <m/>
  </r>
  <r>
    <s v="Obergeschoss"/>
    <n v="2"/>
    <s v="O3"/>
    <n v="3"/>
    <x v="0"/>
    <s v="2.3"/>
    <x v="134"/>
    <x v="2"/>
    <m/>
    <x v="4"/>
    <x v="2"/>
    <s v="ÖLFLEX 3x2,5"/>
    <s v="24V Netzteil"/>
    <s v="DA2"/>
    <s v="O3.DA2"/>
    <m/>
    <m/>
  </r>
  <r>
    <s v="Obergeschoss"/>
    <n v="2"/>
    <s v="O4"/>
    <n v="4"/>
    <x v="11"/>
    <s v="2.4"/>
    <x v="40"/>
    <x v="6"/>
    <m/>
    <x v="10"/>
    <x v="7"/>
    <s v="NYM 5x1,5"/>
    <s v="KNX Jalousieaktor"/>
    <s v="R1"/>
    <s v="O4.R1"/>
    <m/>
    <s v="oben"/>
  </r>
  <r>
    <s v="Obergeschoss"/>
    <n v="2"/>
    <s v="O4"/>
    <n v="4"/>
    <x v="11"/>
    <s v="2.4"/>
    <x v="48"/>
    <x v="3"/>
    <m/>
    <x v="11"/>
    <x v="3"/>
    <s v="NYM 5x1,5"/>
    <s v="KNX Schaltaktor"/>
    <s v="SD1"/>
    <s v="O4.SD1"/>
    <m/>
    <s v="oben"/>
  </r>
  <r>
    <s v="Obergeschoss"/>
    <n v="2"/>
    <s v="O4"/>
    <n v="4"/>
    <x v="11"/>
    <s v="2.4"/>
    <x v="135"/>
    <x v="1"/>
    <m/>
    <x v="1"/>
    <x v="1"/>
    <s v="NYM 5x1,5"/>
    <s v="DALI UP-Dimmer"/>
    <s v="BL1"/>
    <s v="O4.BL1"/>
    <m/>
    <s v="Decke"/>
  </r>
  <r>
    <s v="Obergeschoss"/>
    <n v="2"/>
    <s v="O4"/>
    <n v="4"/>
    <x v="11"/>
    <s v="2.4"/>
    <x v="136"/>
    <x v="2"/>
    <m/>
    <x v="13"/>
    <x v="3"/>
    <s v="NYM 5x1,5"/>
    <s v="Hauptverteilung"/>
    <s v="DA1"/>
    <s v="O4.DA1"/>
    <m/>
    <m/>
  </r>
  <r>
    <s v="Obergeschoss"/>
    <n v="2"/>
    <s v="O4"/>
    <n v="4"/>
    <x v="11"/>
    <s v="2.4"/>
    <x v="137"/>
    <x v="1"/>
    <m/>
    <x v="1"/>
    <x v="1"/>
    <s v="LED 2x1,5"/>
    <s v="DALI EVG"/>
    <s v="BL2"/>
    <s v="O4.BL2"/>
    <m/>
    <s v="Mitte"/>
  </r>
  <r>
    <s v="Obergeschoss"/>
    <n v="2"/>
    <s v="O4"/>
    <n v="4"/>
    <x v="11"/>
    <s v="2.4"/>
    <x v="138"/>
    <x v="2"/>
    <m/>
    <x v="4"/>
    <x v="2"/>
    <s v="LED 2x1,5"/>
    <s v="24V Netzteil"/>
    <s v="DA2"/>
    <s v="O4.DA2"/>
    <m/>
    <m/>
  </r>
  <r>
    <s v="Obergeschoss"/>
    <n v="2"/>
    <s v="O4"/>
    <n v="4"/>
    <x v="11"/>
    <s v="2.4"/>
    <x v="139"/>
    <x v="0"/>
    <m/>
    <x v="6"/>
    <x v="0"/>
    <s v="KNX"/>
    <s v="KNX Schaltaktor"/>
    <s v="BM1"/>
    <s v="O4.BM1"/>
    <m/>
    <s v="Mitte"/>
  </r>
  <r>
    <s v="Obergeschoss"/>
    <n v="2"/>
    <s v="O4"/>
    <n v="4"/>
    <x v="11"/>
    <s v="2.4"/>
    <x v="140"/>
    <x v="0"/>
    <m/>
    <x v="6"/>
    <x v="0"/>
    <s v="KNX"/>
    <s v="KNX Schaltaktor"/>
    <s v="BM2"/>
    <s v="O4.BM2"/>
    <m/>
    <s v="Mitte"/>
  </r>
  <r>
    <s v="Obergeschoss"/>
    <n v="2"/>
    <s v="O5"/>
    <n v="5"/>
    <x v="12"/>
    <s v="2.5"/>
    <x v="40"/>
    <x v="6"/>
    <m/>
    <x v="10"/>
    <x v="7"/>
    <s v="NYM 5x1,5"/>
    <s v="KNX Jalousieaktor"/>
    <s v="R1"/>
    <s v="O5.R1"/>
    <m/>
    <s v="oben"/>
  </r>
  <r>
    <s v="Obergeschoss"/>
    <n v="2"/>
    <s v="O5"/>
    <n v="5"/>
    <x v="12"/>
    <s v="2.5"/>
    <x v="48"/>
    <x v="3"/>
    <m/>
    <x v="11"/>
    <x v="3"/>
    <s v="NYM 5x1,5"/>
    <s v="KNX Schaltaktor"/>
    <s v="SD1"/>
    <s v="O5.SD1"/>
    <m/>
    <s v="oben"/>
  </r>
  <r>
    <s v="Obergeschoss"/>
    <n v="2"/>
    <s v="O5"/>
    <n v="5"/>
    <x v="12"/>
    <s v="2.5"/>
    <x v="42"/>
    <x v="3"/>
    <m/>
    <x v="5"/>
    <x v="3"/>
    <s v="NYM 5x1,5"/>
    <s v="Hauptverteilung"/>
    <s v="SD2"/>
    <s v="O5.SD2"/>
    <m/>
    <s v="unten"/>
  </r>
  <r>
    <s v="Obergeschoss"/>
    <n v="2"/>
    <s v="O5"/>
    <n v="5"/>
    <x v="12"/>
    <s v="2.5"/>
    <x v="63"/>
    <x v="0"/>
    <m/>
    <x v="12"/>
    <x v="5"/>
    <s v="J-Y(St)Y 2x2x0,8"/>
    <s v="KNX Binäreingang"/>
    <s v="FK1"/>
    <s v="O5.FK1"/>
    <m/>
    <s v="oben"/>
  </r>
  <r>
    <s v="Obergeschoss"/>
    <n v="2"/>
    <s v="O5"/>
    <n v="5"/>
    <x v="12"/>
    <s v="2.5"/>
    <x v="28"/>
    <x v="3"/>
    <m/>
    <x v="7"/>
    <x v="3"/>
    <s v="NYM 3x1,5"/>
    <s v="Hauptverteilung"/>
    <s v="SD4"/>
    <s v="O5.SD4"/>
    <m/>
    <s v="unten"/>
  </r>
  <r>
    <s v="Obergeschoss"/>
    <n v="2"/>
    <s v="O5"/>
    <n v="5"/>
    <x v="12"/>
    <s v="2.5"/>
    <x v="107"/>
    <x v="6"/>
    <m/>
    <x v="10"/>
    <x v="7"/>
    <s v="NYM 5x1,5"/>
    <s v="KNX Jalousieaktor"/>
    <s v="R2"/>
    <s v="O5.R2"/>
    <m/>
    <s v="oben"/>
  </r>
  <r>
    <s v="Obergeschoss"/>
    <n v="2"/>
    <s v="O5"/>
    <n v="5"/>
    <x v="12"/>
    <s v="2.5"/>
    <x v="106"/>
    <x v="3"/>
    <m/>
    <x v="11"/>
    <x v="3"/>
    <s v="NYM 5x1,5"/>
    <s v="KNX Schaltaktor"/>
    <s v="SD5"/>
    <s v="O5.SD5"/>
    <m/>
    <s v="oben"/>
  </r>
  <r>
    <s v="Obergeschoss"/>
    <n v="2"/>
    <s v="O5"/>
    <n v="5"/>
    <x v="12"/>
    <s v="2.5"/>
    <x v="108"/>
    <x v="0"/>
    <m/>
    <x v="12"/>
    <x v="5"/>
    <s v="J-Y(St)Y 2x2x0,8"/>
    <s v="KNX Binäreingang"/>
    <s v="FK2"/>
    <s v="O5.FK2"/>
    <m/>
    <s v="oben"/>
  </r>
  <r>
    <s v="Obergeschoss"/>
    <n v="2"/>
    <s v="O5"/>
    <n v="5"/>
    <x v="12"/>
    <s v="2.5"/>
    <x v="141"/>
    <x v="3"/>
    <m/>
    <x v="5"/>
    <x v="3"/>
    <s v="NYM 5x1,5"/>
    <s v="Hauptverteilung"/>
    <s v="SD5"/>
    <s v="O5.SD5"/>
    <m/>
    <s v="unten"/>
  </r>
  <r>
    <s v="Obergeschoss"/>
    <n v="2"/>
    <s v="O5"/>
    <n v="5"/>
    <x v="12"/>
    <s v="2.5"/>
    <x v="56"/>
    <x v="3"/>
    <m/>
    <x v="5"/>
    <x v="3"/>
    <s v="NYM 5x1,5"/>
    <s v="Hauptverteilung"/>
    <s v="SD6"/>
    <s v="O5.SD6"/>
    <m/>
    <s v="unten"/>
  </r>
  <r>
    <s v="Obergeschoss"/>
    <n v="2"/>
    <s v="O5"/>
    <n v="5"/>
    <x v="12"/>
    <s v="2.5"/>
    <x v="57"/>
    <x v="3"/>
    <m/>
    <x v="5"/>
    <x v="3"/>
    <s v="NYM 5x1,5"/>
    <s v="Hauptverteilung"/>
    <s v="SD7"/>
    <s v="O5.SD7"/>
    <m/>
    <s v="unten"/>
  </r>
  <r>
    <s v="Obergeschoss"/>
    <n v="2"/>
    <s v="O5"/>
    <n v="5"/>
    <x v="12"/>
    <s v="2.5"/>
    <x v="58"/>
    <x v="3"/>
    <m/>
    <x v="5"/>
    <x v="3"/>
    <s v="NYM 5x1,5"/>
    <s v="Hauptverteilung"/>
    <s v="SD8"/>
    <s v="O5.SD8"/>
    <m/>
    <s v="unten"/>
  </r>
  <r>
    <s v="Obergeschoss"/>
    <n v="2"/>
    <s v="O5"/>
    <n v="5"/>
    <x v="12"/>
    <s v="2.5"/>
    <x v="71"/>
    <x v="3"/>
    <m/>
    <x v="5"/>
    <x v="3"/>
    <s v="NYM 5x1,5"/>
    <s v="Hauptverteilung"/>
    <s v="SD9"/>
    <s v="O5.SD9"/>
    <m/>
    <s v="unten"/>
  </r>
  <r>
    <s v="Obergeschoss"/>
    <n v="2"/>
    <s v="O5"/>
    <n v="5"/>
    <x v="12"/>
    <s v="2.5"/>
    <x v="0"/>
    <x v="0"/>
    <m/>
    <x v="0"/>
    <x v="0"/>
    <s v="KNX"/>
    <s v="KNX-Bus"/>
    <s v="TS1"/>
    <s v="O5.TS1"/>
    <m/>
    <s v="Mitte"/>
  </r>
  <r>
    <s v="Obergeschoss"/>
    <n v="2"/>
    <s v="O5"/>
    <n v="5"/>
    <x v="12"/>
    <s v="2.5"/>
    <x v="29"/>
    <x v="3"/>
    <m/>
    <x v="5"/>
    <x v="3"/>
    <s v="NYM 5x1,5"/>
    <s v="Hauptverteilung"/>
    <s v="SD10"/>
    <s v="O5.SD10"/>
    <m/>
    <s v="Mitte"/>
  </r>
  <r>
    <s v="Obergeschoss"/>
    <n v="2"/>
    <s v="O5"/>
    <n v="5"/>
    <x v="12"/>
    <s v="2.5"/>
    <x v="30"/>
    <x v="3"/>
    <m/>
    <x v="5"/>
    <x v="3"/>
    <s v="NYM 5x1,5"/>
    <s v="Hauptverteilung"/>
    <s v="SD11"/>
    <s v="O5.SD11"/>
    <m/>
    <s v="Mitte"/>
  </r>
  <r>
    <s v="Obergeschoss"/>
    <n v="2"/>
    <s v="O5"/>
    <n v="5"/>
    <x v="12"/>
    <s v="2.5"/>
    <x v="142"/>
    <x v="3"/>
    <m/>
    <x v="5"/>
    <x v="3"/>
    <s v="NYM 5x1,5"/>
    <s v="Hauptverteilung"/>
    <s v="SD12"/>
    <s v="O5.SD12"/>
    <m/>
    <s v="Mitte"/>
  </r>
  <r>
    <s v="Obergeschoss"/>
    <n v="2"/>
    <s v="O5"/>
    <n v="5"/>
    <x v="12"/>
    <s v="2.5"/>
    <x v="143"/>
    <x v="3"/>
    <m/>
    <x v="5"/>
    <x v="3"/>
    <s v="NYM 5x1,5"/>
    <s v="Hauptverteilung"/>
    <s v="SD13"/>
    <s v="O5.SD13"/>
    <m/>
    <s v="Mitte"/>
  </r>
  <r>
    <s v="Obergeschoss"/>
    <n v="2"/>
    <s v="O5"/>
    <n v="5"/>
    <x v="12"/>
    <s v="2.5"/>
    <x v="65"/>
    <x v="0"/>
    <m/>
    <x v="16"/>
    <x v="0"/>
    <s v="KNX"/>
    <s v="KNX-Bus"/>
    <s v="PM1"/>
    <s v="O5.PM1"/>
    <m/>
    <s v="Decke"/>
  </r>
  <r>
    <s v="Obergeschoss"/>
    <n v="2"/>
    <s v="O5"/>
    <n v="5"/>
    <x v="12"/>
    <s v="2.5"/>
    <x v="67"/>
    <x v="4"/>
    <m/>
    <x v="8"/>
    <x v="5"/>
    <s v="LS-FL 2x1,5"/>
    <s v="Server Rack"/>
    <s v="DL1"/>
    <s v="O5.DL1"/>
    <m/>
    <s v="Decke"/>
  </r>
  <r>
    <s v="Obergeschoss"/>
    <n v="2"/>
    <s v="O5"/>
    <n v="5"/>
    <x v="12"/>
    <s v="2.5"/>
    <x v="68"/>
    <x v="4"/>
    <m/>
    <x v="8"/>
    <x v="5"/>
    <s v="LS-FL 2x1,5"/>
    <s v="Server Rack"/>
    <s v="DL2"/>
    <s v="O5.DL2"/>
    <m/>
    <s v="Decke"/>
  </r>
  <r>
    <s v="Obergeschoss"/>
    <n v="2"/>
    <s v="O5"/>
    <n v="5"/>
    <x v="12"/>
    <s v="2.5"/>
    <x v="66"/>
    <x v="1"/>
    <m/>
    <x v="2"/>
    <x v="1"/>
    <s v="LED 2x1,5"/>
    <s v="DALI EVG"/>
    <s v="BL1"/>
    <s v="O5.BL1"/>
    <m/>
    <s v="Decke"/>
  </r>
  <r>
    <s v="Obergeschoss"/>
    <n v="2"/>
    <s v="O5"/>
    <n v="5"/>
    <x v="12"/>
    <s v="2.5"/>
    <x v="12"/>
    <x v="2"/>
    <m/>
    <x v="3"/>
    <x v="2"/>
    <s v="ÖLFLEX 3x2,5"/>
    <s v="24V Netzteil"/>
    <s v="DA1"/>
    <s v="O5.DA1"/>
    <m/>
    <m/>
  </r>
  <r>
    <s v="Obergeschoss"/>
    <n v="2"/>
    <s v="O5"/>
    <n v="5"/>
    <x v="12"/>
    <s v="2.5"/>
    <x v="144"/>
    <x v="1"/>
    <m/>
    <x v="1"/>
    <x v="1"/>
    <s v="LED 2x1,5"/>
    <s v="DALI EVG"/>
    <s v="BL2"/>
    <s v="O5.BL2"/>
    <m/>
    <s v="Mitte"/>
  </r>
  <r>
    <s v="Obergeschoss"/>
    <n v="2"/>
    <s v="O5"/>
    <n v="5"/>
    <x v="12"/>
    <s v="2.5"/>
    <x v="145"/>
    <x v="1"/>
    <m/>
    <x v="1"/>
    <x v="1"/>
    <s v="LED 2x1,5"/>
    <s v="DALI EVG"/>
    <s v="BL3"/>
    <s v="O5.BL3"/>
    <m/>
    <s v="Mitte"/>
  </r>
  <r>
    <s v="Obergeschoss"/>
    <n v="2"/>
    <s v="O5"/>
    <n v="5"/>
    <x v="12"/>
    <s v="2.5"/>
    <x v="146"/>
    <x v="1"/>
    <m/>
    <x v="1"/>
    <x v="1"/>
    <s v="LED 2x1,5"/>
    <s v="DALI EVG"/>
    <s v="BL4"/>
    <s v="O5.BL4"/>
    <m/>
    <s v="oben"/>
  </r>
  <r>
    <s v="Obergeschoss"/>
    <n v="2"/>
    <s v="O5"/>
    <n v="5"/>
    <x v="12"/>
    <s v="2.5"/>
    <x v="147"/>
    <x v="1"/>
    <m/>
    <x v="1"/>
    <x v="1"/>
    <s v="LED 2x1,5"/>
    <s v="DALI EVG"/>
    <s v="BL5"/>
    <s v="O5.BL5"/>
    <m/>
    <s v="Mitte"/>
  </r>
  <r>
    <s v="Obergeschoss"/>
    <n v="2"/>
    <s v="O5"/>
    <n v="5"/>
    <x v="12"/>
    <s v="2.5"/>
    <x v="148"/>
    <x v="1"/>
    <m/>
    <x v="1"/>
    <x v="1"/>
    <s v="LED 2x1,5"/>
    <s v="DALI EVG"/>
    <s v="BL6"/>
    <s v="O5.BL6"/>
    <m/>
    <s v="Mitte"/>
  </r>
  <r>
    <s v="Obergeschoss"/>
    <n v="2"/>
    <s v="O5"/>
    <n v="5"/>
    <x v="12"/>
    <s v="2.5"/>
    <x v="149"/>
    <x v="2"/>
    <m/>
    <x v="4"/>
    <x v="2"/>
    <s v="ÖLFLEX 3x2,5"/>
    <s v="24V Netzteil"/>
    <s v="DA2"/>
    <s v="O5.DA2"/>
    <m/>
    <m/>
  </r>
  <r>
    <s v="Obergeschoss"/>
    <n v="2"/>
    <s v="O5"/>
    <n v="5"/>
    <x v="12"/>
    <s v="2.5"/>
    <x v="150"/>
    <x v="3"/>
    <m/>
    <x v="7"/>
    <x v="2"/>
    <s v="ÖLFLEX 3x2,5"/>
    <s v="24V Netzteil"/>
    <s v="SD14"/>
    <s v="O5.SD14"/>
    <m/>
    <s v="oben"/>
  </r>
  <r>
    <s v="Obergeschoss"/>
    <n v="2"/>
    <s v="O6"/>
    <n v="6"/>
    <x v="13"/>
    <s v="2.6"/>
    <x v="42"/>
    <x v="3"/>
    <m/>
    <x v="5"/>
    <x v="3"/>
    <s v="NYM 5x1,5"/>
    <s v="Hauptverteilung"/>
    <s v="SD1"/>
    <s v="O6.SD1"/>
    <m/>
    <s v="oben"/>
  </r>
  <r>
    <s v="Obergeschoss"/>
    <n v="2"/>
    <s v="O6"/>
    <n v="6"/>
    <x v="13"/>
    <s v="2.6"/>
    <x v="43"/>
    <x v="3"/>
    <m/>
    <x v="5"/>
    <x v="3"/>
    <s v="NYM 5x1,5"/>
    <s v="Hauptverteilung"/>
    <s v="SD2"/>
    <s v="O6.SD2"/>
    <m/>
    <s v="oben"/>
  </r>
  <r>
    <s v="Obergeschoss"/>
    <n v="2"/>
    <s v="O6"/>
    <n v="6"/>
    <x v="13"/>
    <s v="2.6"/>
    <x v="44"/>
    <x v="3"/>
    <m/>
    <x v="5"/>
    <x v="3"/>
    <s v="NYM 5x1,5"/>
    <s v="Hauptverteilung"/>
    <s v="SD3"/>
    <s v="O6.SD3"/>
    <m/>
    <s v="oben"/>
  </r>
  <r>
    <s v="Obergeschoss"/>
    <n v="2"/>
    <s v="O6"/>
    <n v="6"/>
    <x v="13"/>
    <s v="2.6"/>
    <x v="45"/>
    <x v="3"/>
    <m/>
    <x v="5"/>
    <x v="3"/>
    <s v="NYM 5x1,5"/>
    <s v="Hauptverteilung"/>
    <s v="SD4"/>
    <s v="O6.SD4"/>
    <m/>
    <s v="oben"/>
  </r>
  <r>
    <s v="Obergeschoss"/>
    <n v="2"/>
    <s v="O6"/>
    <n v="6"/>
    <x v="13"/>
    <s v="2.6"/>
    <x v="107"/>
    <x v="6"/>
    <m/>
    <x v="10"/>
    <x v="7"/>
    <s v="NYM 5x1,5"/>
    <s v="KNX Jalousieaktor"/>
    <s v="R1"/>
    <s v="O6.R1"/>
    <m/>
    <s v="oben"/>
  </r>
  <r>
    <s v="Obergeschoss"/>
    <n v="2"/>
    <s v="O6"/>
    <n v="6"/>
    <x v="13"/>
    <s v="2.6"/>
    <x v="106"/>
    <x v="3"/>
    <m/>
    <x v="11"/>
    <x v="3"/>
    <s v="NYM 5x1,5"/>
    <s v="KNX Schaltaktor"/>
    <s v="SD5"/>
    <s v="O6.SD5"/>
    <m/>
    <s v="oben"/>
  </r>
  <r>
    <s v="Obergeschoss"/>
    <n v="2"/>
    <s v="O6"/>
    <n v="6"/>
    <x v="13"/>
    <s v="2.6"/>
    <x v="108"/>
    <x v="0"/>
    <m/>
    <x v="12"/>
    <x v="5"/>
    <s v="J-Y(St)Y 2x2x0,8"/>
    <s v="KNX Binäreingang"/>
    <s v="FK1"/>
    <s v="O6.FK1"/>
    <m/>
    <s v="oben"/>
  </r>
  <r>
    <s v="Obergeschoss"/>
    <n v="2"/>
    <s v="O6"/>
    <n v="6"/>
    <x v="13"/>
    <s v="2.6"/>
    <x v="151"/>
    <x v="3"/>
    <m/>
    <x v="5"/>
    <x v="3"/>
    <s v="NYM 5x1,5"/>
    <s v="Hauptverteilung"/>
    <s v="SD6"/>
    <s v="O6.SD6"/>
    <m/>
    <s v="unten"/>
  </r>
  <r>
    <s v="Obergeschoss"/>
    <n v="2"/>
    <s v="O6"/>
    <n v="6"/>
    <x v="13"/>
    <s v="2.6"/>
    <x v="0"/>
    <x v="0"/>
    <m/>
    <x v="18"/>
    <x v="0"/>
    <s v="KNX"/>
    <s v="KNX-Bus"/>
    <s v="TS1"/>
    <s v="O6.TS1"/>
    <m/>
    <s v="Mitte"/>
  </r>
  <r>
    <s v="Obergeschoss"/>
    <n v="2"/>
    <s v="O6"/>
    <n v="6"/>
    <x v="13"/>
    <s v="2.6"/>
    <x v="56"/>
    <x v="3"/>
    <m/>
    <x v="5"/>
    <x v="3"/>
    <s v="NYM 5x1,5"/>
    <s v="Hauptverteilung"/>
    <s v="SD7"/>
    <s v="O6.SD7"/>
    <m/>
    <s v="oben"/>
  </r>
  <r>
    <s v="Obergeschoss"/>
    <n v="2"/>
    <s v="O6"/>
    <n v="6"/>
    <x v="13"/>
    <s v="2.6"/>
    <x v="57"/>
    <x v="3"/>
    <m/>
    <x v="5"/>
    <x v="3"/>
    <s v="NYM 5x1,5"/>
    <s v="Hauptverteilung"/>
    <s v="SD8"/>
    <s v="O6.SD8"/>
    <m/>
    <s v="oben"/>
  </r>
  <r>
    <s v="Obergeschoss"/>
    <n v="2"/>
    <s v="O6"/>
    <n v="6"/>
    <x v="13"/>
    <s v="2.6"/>
    <x v="22"/>
    <x v="0"/>
    <m/>
    <x v="6"/>
    <x v="0"/>
    <s v="KNX"/>
    <s v="KNX-Bus"/>
    <s v="BM1"/>
    <s v="O6.BM1"/>
    <m/>
    <s v="Decke"/>
  </r>
  <r>
    <s v="Obergeschoss"/>
    <n v="2"/>
    <s v="O6"/>
    <n v="6"/>
    <x v="13"/>
    <s v="2.6"/>
    <x v="67"/>
    <x v="4"/>
    <m/>
    <x v="8"/>
    <x v="5"/>
    <s v="LS-FL 2x1,5"/>
    <s v="Server Rack"/>
    <s v="DL1"/>
    <s v="O6.DL1"/>
    <m/>
    <s v="Decke"/>
  </r>
  <r>
    <s v="Obergeschoss"/>
    <n v="2"/>
    <s v="O6"/>
    <n v="6"/>
    <x v="13"/>
    <s v="2.6"/>
    <x v="94"/>
    <x v="1"/>
    <m/>
    <x v="2"/>
    <x v="1"/>
    <s v="LED 2x1,5"/>
    <s v="DALI EVG"/>
    <s v="BL1"/>
    <s v="O6.BL1"/>
    <m/>
    <s v="Decke"/>
  </r>
  <r>
    <s v="Obergeschoss"/>
    <n v="2"/>
    <s v="O6"/>
    <n v="6"/>
    <x v="13"/>
    <s v="2.6"/>
    <x v="152"/>
    <x v="1"/>
    <m/>
    <x v="1"/>
    <x v="1"/>
    <s v="LED 2x1,5"/>
    <s v="DALI EVG"/>
    <s v="BL2"/>
    <s v="O6.BL2"/>
    <m/>
    <s v="oben"/>
  </r>
  <r>
    <s v="Obergeschoss"/>
    <n v="2"/>
    <s v="O6"/>
    <n v="6"/>
    <x v="13"/>
    <s v="2.6"/>
    <x v="153"/>
    <x v="1"/>
    <m/>
    <x v="1"/>
    <x v="1"/>
    <s v="LED 2x1,5"/>
    <s v="DALI EVG"/>
    <s v="BL3"/>
    <s v="O6.BL3"/>
    <m/>
    <s v="oben"/>
  </r>
  <r>
    <s v="Obergeschoss"/>
    <n v="2"/>
    <s v="O6"/>
    <n v="6"/>
    <x v="13"/>
    <s v="2.6"/>
    <x v="98"/>
    <x v="2"/>
    <m/>
    <x v="3"/>
    <x v="2"/>
    <s v="ÖLFLEX 3x2,5"/>
    <s v="24V Netzteil"/>
    <s v="DA1"/>
    <s v="O6.DA1"/>
    <m/>
    <m/>
  </r>
  <r>
    <s v="Obergeschoss"/>
    <n v="2"/>
    <s v="O6"/>
    <n v="6"/>
    <x v="13"/>
    <s v="2.6"/>
    <x v="154"/>
    <x v="2"/>
    <m/>
    <x v="4"/>
    <x v="2"/>
    <s v="ÖLFLEX 3x2,5"/>
    <s v="24V Netzteil"/>
    <s v="DA2"/>
    <s v="O6.DA2"/>
    <m/>
    <m/>
  </r>
  <r>
    <s v="Obergeschoss"/>
    <n v="2"/>
    <s v="O7"/>
    <n v="7"/>
    <x v="14"/>
    <s v="2.7"/>
    <x v="155"/>
    <x v="0"/>
    <m/>
    <x v="18"/>
    <x v="0"/>
    <s v="KNX"/>
    <s v="KNX-Bus"/>
    <s v="TS1"/>
    <s v="O7.TS1"/>
    <m/>
    <s v="Mitte"/>
  </r>
  <r>
    <s v="Obergeschoss"/>
    <n v="2"/>
    <s v="O7"/>
    <n v="7"/>
    <x v="14"/>
    <s v="2.7"/>
    <x v="156"/>
    <x v="0"/>
    <m/>
    <x v="0"/>
    <x v="0"/>
    <s v="KNX"/>
    <s v="KNX-Bus"/>
    <s v="TS2"/>
    <s v="O7.TS2"/>
    <m/>
    <s v="Mitte"/>
  </r>
  <r>
    <s v="Obergeschoss"/>
    <n v="2"/>
    <s v="O7"/>
    <n v="7"/>
    <x v="14"/>
    <s v="2.7"/>
    <x v="42"/>
    <x v="3"/>
    <m/>
    <x v="5"/>
    <x v="3"/>
    <s v="NYM 5x1,5"/>
    <s v="Hauptverteilung"/>
    <s v="SD1"/>
    <s v="O7.SD1"/>
    <m/>
    <s v="unten"/>
  </r>
  <r>
    <s v="Obergeschoss"/>
    <n v="2"/>
    <s v="O7"/>
    <n v="7"/>
    <x v="14"/>
    <s v="2.7"/>
    <x v="43"/>
    <x v="3"/>
    <m/>
    <x v="5"/>
    <x v="3"/>
    <s v="NYM 5x1,5"/>
    <s v="Hauptverteilung"/>
    <s v="SD2"/>
    <s v="O7.SD2"/>
    <m/>
    <s v="unten"/>
  </r>
  <r>
    <s v="Obergeschoss"/>
    <n v="2"/>
    <s v="O7"/>
    <n v="7"/>
    <x v="14"/>
    <s v="2.7"/>
    <x v="44"/>
    <x v="3"/>
    <m/>
    <x v="5"/>
    <x v="3"/>
    <s v="NYM 5x1,5"/>
    <s v="Hauptverteilung"/>
    <s v="SD3"/>
    <s v="O7.SD3"/>
    <m/>
    <s v="unten"/>
  </r>
  <r>
    <s v="Obergeschoss"/>
    <n v="2"/>
    <s v="O7"/>
    <n v="7"/>
    <x v="14"/>
    <s v="2.7"/>
    <x v="45"/>
    <x v="3"/>
    <m/>
    <x v="5"/>
    <x v="3"/>
    <s v="NYM 5x1,5"/>
    <s v="Hauptverteilung"/>
    <s v="SD4"/>
    <s v="O7.SD4"/>
    <m/>
    <s v="unten"/>
  </r>
  <r>
    <s v="Obergeschoss"/>
    <n v="2"/>
    <s v="O7"/>
    <n v="7"/>
    <x v="14"/>
    <s v="2.7"/>
    <x v="22"/>
    <x v="0"/>
    <m/>
    <x v="6"/>
    <x v="0"/>
    <s v="KNX"/>
    <s v="KNX Schaltaktor"/>
    <s v="BM1"/>
    <s v="O7.BM1"/>
    <m/>
    <s v="unten"/>
  </r>
  <r>
    <s v="Obergeschoss"/>
    <n v="2"/>
    <s v="O7"/>
    <n v="7"/>
    <x v="14"/>
    <s v="2.7"/>
    <x v="107"/>
    <x v="6"/>
    <m/>
    <x v="10"/>
    <x v="7"/>
    <s v="NYM 5x1,5"/>
    <s v="KNX Jalousieaktor"/>
    <s v="R1"/>
    <s v="O7.R1"/>
    <m/>
    <s v="oben"/>
  </r>
  <r>
    <s v="Obergeschoss"/>
    <n v="2"/>
    <s v="O7"/>
    <n v="7"/>
    <x v="14"/>
    <s v="2.7"/>
    <x v="106"/>
    <x v="3"/>
    <m/>
    <x v="11"/>
    <x v="3"/>
    <s v="NYM 5x1,5"/>
    <s v="KNX Schaltaktor"/>
    <s v="SD5"/>
    <s v="O7.SD5"/>
    <m/>
    <s v="oben"/>
  </r>
  <r>
    <s v="Obergeschoss"/>
    <n v="2"/>
    <s v="O7"/>
    <n v="7"/>
    <x v="14"/>
    <s v="2.7"/>
    <x v="108"/>
    <x v="0"/>
    <m/>
    <x v="12"/>
    <x v="5"/>
    <s v="J-Y(St)Y 2x2x0,8"/>
    <s v="KNX Binäreingang"/>
    <s v="FK1"/>
    <s v="O7.FK1"/>
    <m/>
    <s v="oben"/>
  </r>
  <r>
    <s v="Obergeschoss"/>
    <n v="2"/>
    <s v="O7"/>
    <n v="7"/>
    <x v="14"/>
    <s v="2.7"/>
    <x v="75"/>
    <x v="6"/>
    <m/>
    <x v="10"/>
    <x v="7"/>
    <s v="NYM 5x1,5"/>
    <s v="KNX Jalousieaktor"/>
    <s v="R1"/>
    <s v="O7.R1"/>
    <m/>
    <s v="oben"/>
  </r>
  <r>
    <s v="Obergeschoss"/>
    <n v="2"/>
    <s v="O7"/>
    <n v="7"/>
    <x v="14"/>
    <s v="2.7"/>
    <x v="88"/>
    <x v="3"/>
    <m/>
    <x v="11"/>
    <x v="3"/>
    <s v="NYM 5x1,5"/>
    <s v="KNX Schaltaktor"/>
    <s v="SD5"/>
    <s v="O7.SD5"/>
    <m/>
    <s v="oben"/>
  </r>
  <r>
    <s v="Obergeschoss"/>
    <n v="2"/>
    <s v="O7"/>
    <n v="7"/>
    <x v="14"/>
    <s v="2.7"/>
    <x v="90"/>
    <x v="0"/>
    <m/>
    <x v="12"/>
    <x v="5"/>
    <s v="J-Y(St)Y 2x2x0,8"/>
    <s v="KNX Binäreingang"/>
    <s v="FK1"/>
    <s v="O7.FK1"/>
    <m/>
    <s v="oben"/>
  </r>
  <r>
    <s v="Obergeschoss"/>
    <n v="2"/>
    <s v="O7"/>
    <n v="7"/>
    <x v="14"/>
    <s v="2.7"/>
    <x v="56"/>
    <x v="3"/>
    <m/>
    <x v="5"/>
    <x v="3"/>
    <s v="NYM 5x1,5"/>
    <s v="Hauptverteilung"/>
    <s v="SD6"/>
    <s v="O7.SD6"/>
    <m/>
    <s v="unten"/>
  </r>
  <r>
    <s v="Obergeschoss"/>
    <n v="2"/>
    <s v="O7"/>
    <n v="7"/>
    <x v="14"/>
    <s v="2.7"/>
    <x v="57"/>
    <x v="3"/>
    <m/>
    <x v="5"/>
    <x v="3"/>
    <s v="NYM 5x1,5"/>
    <s v="Hauptverteilung"/>
    <s v="SD7"/>
    <s v="O7.SD7"/>
    <m/>
    <s v="unten"/>
  </r>
  <r>
    <s v="Obergeschoss"/>
    <n v="2"/>
    <s v="O7"/>
    <n v="7"/>
    <x v="14"/>
    <s v="2.7"/>
    <x v="58"/>
    <x v="3"/>
    <m/>
    <x v="5"/>
    <x v="3"/>
    <s v="NYM 5x1,5"/>
    <s v="Hauptverteilung"/>
    <s v="SD8"/>
    <s v="O7.SD8"/>
    <m/>
    <s v="unten"/>
  </r>
  <r>
    <s v="Obergeschoss"/>
    <n v="2"/>
    <s v="O7"/>
    <n v="7"/>
    <x v="14"/>
    <s v="2.7"/>
    <x v="59"/>
    <x v="3"/>
    <m/>
    <x v="5"/>
    <x v="3"/>
    <s v="NYM 5x1,5"/>
    <s v="Hauptverteilung"/>
    <s v="SD9"/>
    <s v="O7.SD9"/>
    <m/>
    <s v="unten"/>
  </r>
  <r>
    <s v="Obergeschoss"/>
    <n v="2"/>
    <s v="O7"/>
    <n v="7"/>
    <x v="14"/>
    <s v="2.7"/>
    <x v="61"/>
    <x v="3"/>
    <m/>
    <x v="15"/>
    <x v="6"/>
    <s v="Cat7"/>
    <s v="Patchfeld"/>
    <s v="ND1"/>
    <s v="O7.ND1"/>
    <m/>
    <s v="unten"/>
  </r>
  <r>
    <s v="Obergeschoss"/>
    <n v="2"/>
    <s v="O7"/>
    <n v="7"/>
    <x v="14"/>
    <s v="2.7"/>
    <x v="65"/>
    <x v="0"/>
    <m/>
    <x v="6"/>
    <x v="0"/>
    <s v="KNX"/>
    <s v="KNX-Bus"/>
    <s v="PM1"/>
    <s v="O7.PM1"/>
    <m/>
    <s v="Decke"/>
  </r>
  <r>
    <s v="Obergeschoss"/>
    <n v="2"/>
    <s v="O7"/>
    <n v="7"/>
    <x v="14"/>
    <s v="2.7"/>
    <x v="67"/>
    <x v="4"/>
    <m/>
    <x v="8"/>
    <x v="5"/>
    <s v="LS-FL 2x1,5"/>
    <s v="Server Rack"/>
    <s v="DL1"/>
    <s v="O7.DL1"/>
    <m/>
    <s v="Decke"/>
  </r>
  <r>
    <s v="Obergeschoss"/>
    <n v="2"/>
    <s v="O7"/>
    <n v="7"/>
    <x v="14"/>
    <s v="2.7"/>
    <x v="68"/>
    <x v="4"/>
    <m/>
    <x v="8"/>
    <x v="5"/>
    <s v="LS-FL 2x1,5"/>
    <s v="Server Rack"/>
    <s v="DL2"/>
    <s v="O7.DL2"/>
    <m/>
    <s v="Decke"/>
  </r>
  <r>
    <s v="Obergeschoss"/>
    <n v="2"/>
    <s v="O7"/>
    <n v="7"/>
    <x v="14"/>
    <s v="2.7"/>
    <x v="66"/>
    <x v="1"/>
    <m/>
    <x v="2"/>
    <x v="1"/>
    <s v="LED 2x1,5"/>
    <s v="DALI EVG"/>
    <s v="BL1"/>
    <s v="O7.BL1"/>
    <m/>
    <s v="Decke"/>
  </r>
  <r>
    <s v="Obergeschoss"/>
    <n v="2"/>
    <s v="O7"/>
    <n v="7"/>
    <x v="14"/>
    <s v="2.7"/>
    <x v="157"/>
    <x v="1"/>
    <m/>
    <x v="1"/>
    <x v="1"/>
    <s v="LED 2x1,5"/>
    <s v="DALI EVG"/>
    <s v="BL2"/>
    <s v="O7.BL2"/>
    <m/>
    <s v="Decke"/>
  </r>
  <r>
    <s v="Obergeschoss"/>
    <n v="2"/>
    <s v="O7"/>
    <n v="7"/>
    <x v="14"/>
    <s v="2.7"/>
    <x v="158"/>
    <x v="1"/>
    <m/>
    <x v="1"/>
    <x v="1"/>
    <s v="LED 2x1,5"/>
    <s v="DALI EVG"/>
    <s v="BL3"/>
    <s v="O7.BL3"/>
    <m/>
    <s v="Mitte"/>
  </r>
  <r>
    <s v="Obergeschoss"/>
    <n v="2"/>
    <s v="O7"/>
    <n v="7"/>
    <x v="14"/>
    <s v="2.7"/>
    <x v="12"/>
    <x v="2"/>
    <m/>
    <x v="3"/>
    <x v="2"/>
    <s v="ÖLFLEX 3x2,5"/>
    <s v="24V Netzteil"/>
    <s v="DA1"/>
    <s v="O7.DA1"/>
    <m/>
    <m/>
  </r>
  <r>
    <s v="Obergeschoss"/>
    <n v="2"/>
    <s v="O7"/>
    <n v="7"/>
    <x v="14"/>
    <s v="2.7"/>
    <x v="159"/>
    <x v="2"/>
    <m/>
    <x v="4"/>
    <x v="2"/>
    <s v="ÖLFLEX 3x2,5"/>
    <s v="24V Netzteil"/>
    <s v="DA2"/>
    <s v="O7.DA2"/>
    <m/>
    <m/>
  </r>
  <r>
    <s v="Obergeschoss"/>
    <n v="2"/>
    <s v="O7"/>
    <n v="8"/>
    <x v="15"/>
    <s v="2.8"/>
    <x v="0"/>
    <x v="0"/>
    <m/>
    <x v="0"/>
    <x v="0"/>
    <s v="KNX"/>
    <s v="KNX-Bus"/>
    <s v="TS1"/>
    <s v="O7.TS1"/>
    <m/>
    <s v="Mitte"/>
  </r>
  <r>
    <s v="Obergeschoss"/>
    <n v="2"/>
    <s v="O7"/>
    <n v="8"/>
    <x v="15"/>
    <s v="2.8"/>
    <x v="42"/>
    <x v="3"/>
    <m/>
    <x v="5"/>
    <x v="3"/>
    <s v="NYM 5x1,5"/>
    <s v="Hauptverteilung"/>
    <s v="SD1"/>
    <s v="O7.SD1"/>
    <m/>
    <s v="unten"/>
  </r>
  <r>
    <s v="Obergeschoss"/>
    <n v="2"/>
    <s v="O7"/>
    <n v="8"/>
    <x v="15"/>
    <s v="2.8"/>
    <x v="49"/>
    <x v="3"/>
    <m/>
    <x v="11"/>
    <x v="3"/>
    <s v="NYM 5x1,5"/>
    <s v="KNX Schaltaktor"/>
    <s v="SD2"/>
    <s v="O7.SD2"/>
    <m/>
    <s v="unten"/>
  </r>
  <r>
    <s v="Obergeschoss"/>
    <n v="2"/>
    <s v="O7"/>
    <n v="8"/>
    <x v="15"/>
    <s v="2.8"/>
    <x v="50"/>
    <x v="3"/>
    <m/>
    <x v="5"/>
    <x v="3"/>
    <s v="NYM 5x1,5"/>
    <s v="Hauptverteilung"/>
    <s v="SD3"/>
    <s v="O7.SD3"/>
    <m/>
    <s v="unten"/>
  </r>
  <r>
    <s v="Obergeschoss"/>
    <n v="2"/>
    <s v="O7"/>
    <n v="8"/>
    <x v="15"/>
    <s v="2.8"/>
    <x v="51"/>
    <x v="3"/>
    <m/>
    <x v="5"/>
    <x v="3"/>
    <s v="NYM 5x1,5"/>
    <s v="Hauptverteilung"/>
    <s v="SD4"/>
    <s v="O7.SD4"/>
    <m/>
    <s v="unten"/>
  </r>
  <r>
    <s v="Obergeschoss"/>
    <n v="2"/>
    <s v="O7"/>
    <n v="8"/>
    <x v="15"/>
    <s v="2.8"/>
    <x v="54"/>
    <x v="3"/>
    <m/>
    <x v="15"/>
    <x v="6"/>
    <s v="Cat7"/>
    <s v="Patchfeld"/>
    <s v="ND1"/>
    <s v="O7.ND1"/>
    <m/>
    <s v="unten"/>
  </r>
  <r>
    <s v="Obergeschoss"/>
    <n v="2"/>
    <s v="O7"/>
    <n v="8"/>
    <x v="15"/>
    <s v="2.8"/>
    <x v="75"/>
    <x v="6"/>
    <m/>
    <x v="10"/>
    <x v="7"/>
    <s v="NYM 5x1,5"/>
    <s v="KNX Jalousieaktor"/>
    <s v="R1"/>
    <s v="O7.R1"/>
    <m/>
    <s v="oben"/>
  </r>
  <r>
    <s v="Obergeschoss"/>
    <n v="2"/>
    <s v="O7"/>
    <n v="8"/>
    <x v="15"/>
    <s v="2.8"/>
    <x v="88"/>
    <x v="3"/>
    <m/>
    <x v="11"/>
    <x v="3"/>
    <s v="NYM 5x1,5"/>
    <s v="KNX Schaltaktor"/>
    <s v="SD5"/>
    <s v="O7.SD5"/>
    <m/>
    <s v="oben"/>
  </r>
  <r>
    <s v="Obergeschoss"/>
    <n v="2"/>
    <s v="O7"/>
    <n v="8"/>
    <x v="15"/>
    <s v="2.8"/>
    <x v="90"/>
    <x v="0"/>
    <m/>
    <x v="12"/>
    <x v="5"/>
    <s v="J-Y(St)Y 2x2x0,8"/>
    <s v="KNX Binäreingang"/>
    <s v="FK1"/>
    <s v="O7.FK1"/>
    <m/>
    <s v="oben"/>
  </r>
  <r>
    <s v="Obergeschoss"/>
    <n v="2"/>
    <s v="O7"/>
    <n v="8"/>
    <x v="15"/>
    <s v="2.8"/>
    <x v="56"/>
    <x v="3"/>
    <m/>
    <x v="5"/>
    <x v="3"/>
    <s v="NYM 5x1,5"/>
    <s v="Hauptverteilung"/>
    <s v="SD6"/>
    <s v="O7.SD6"/>
    <m/>
    <s v="unten"/>
  </r>
  <r>
    <s v="Obergeschoss"/>
    <n v="2"/>
    <s v="O7"/>
    <n v="8"/>
    <x v="15"/>
    <s v="2.8"/>
    <x v="57"/>
    <x v="3"/>
    <m/>
    <x v="5"/>
    <x v="3"/>
    <s v="NYM 5x1,5"/>
    <s v="Hauptverteilung"/>
    <s v="SD7"/>
    <s v="O7.SD7"/>
    <m/>
    <s v="unten"/>
  </r>
  <r>
    <s v="Obergeschoss"/>
    <n v="2"/>
    <s v="O7"/>
    <n v="8"/>
    <x v="15"/>
    <s v="2.8"/>
    <x v="71"/>
    <x v="3"/>
    <m/>
    <x v="5"/>
    <x v="3"/>
    <s v="NYM 5x1,5"/>
    <s v="Hauptverteilung"/>
    <s v="SD8"/>
    <s v="O7.SD8"/>
    <m/>
    <s v="oben"/>
  </r>
  <r>
    <s v="Obergeschoss"/>
    <n v="2"/>
    <s v="O7"/>
    <n v="8"/>
    <x v="15"/>
    <s v="2.8"/>
    <x v="72"/>
    <x v="3"/>
    <m/>
    <x v="5"/>
    <x v="3"/>
    <s v="NYM 5x1,5"/>
    <s v="Hauptverteilung"/>
    <s v="SD9"/>
    <s v="O7.SD9"/>
    <m/>
    <s v="oben"/>
  </r>
  <r>
    <s v="Obergeschoss"/>
    <n v="2"/>
    <s v="O7"/>
    <n v="8"/>
    <x v="15"/>
    <s v="2.8"/>
    <x v="67"/>
    <x v="4"/>
    <m/>
    <x v="8"/>
    <x v="5"/>
    <s v="LS-FL 2x1,5"/>
    <s v="Server Rack"/>
    <s v="DL1"/>
    <s v="O7.DL1"/>
    <m/>
    <s v="Decke"/>
  </r>
  <r>
    <s v="Obergeschoss"/>
    <n v="2"/>
    <s v="O7"/>
    <n v="8"/>
    <x v="15"/>
    <s v="2.8"/>
    <x v="65"/>
    <x v="0"/>
    <m/>
    <x v="6"/>
    <x v="0"/>
    <s v="KNX"/>
    <s v="KNX-Bus"/>
    <s v="PM1"/>
    <s v="O7.PM1"/>
    <m/>
    <s v="Decke"/>
  </r>
  <r>
    <s v="Obergeschoss"/>
    <n v="2"/>
    <s v="O7"/>
    <n v="8"/>
    <x v="15"/>
    <s v="2.8"/>
    <x v="66"/>
    <x v="1"/>
    <m/>
    <x v="2"/>
    <x v="1"/>
    <s v="LED 2x1,5"/>
    <s v="DALI EVG"/>
    <s v="BL1"/>
    <s v="O7.BL1"/>
    <m/>
    <s v="Decke"/>
  </r>
  <r>
    <s v="Obergeschoss"/>
    <n v="2"/>
    <s v="O7"/>
    <n v="8"/>
    <x v="15"/>
    <s v="2.8"/>
    <x v="12"/>
    <x v="2"/>
    <m/>
    <x v="3"/>
    <x v="2"/>
    <s v="ÖLFLEX 3x2,5"/>
    <s v="24V Netzteil"/>
    <s v="DA1"/>
    <s v="O7.DA1"/>
    <m/>
    <s v="Decke"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  <r>
    <m/>
    <m/>
    <m/>
    <m/>
    <x v="16"/>
    <m/>
    <x v="160"/>
    <x v="7"/>
    <m/>
    <x v="8"/>
    <x v="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13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6" indent="0" outline="1" outlineData="1" multipleFieldFilters="0" colHeaderCaption="Verbindung">
  <location ref="N3:P9" firstHeaderRow="1" firstDataRow="2" firstDataCol="1" rowPageCount="1" colPageCount="1"/>
  <pivotFields count="17">
    <pivotField showAll="0"/>
    <pivotField showAll="0"/>
    <pivotField showAll="0"/>
    <pivotField showAll="0"/>
    <pivotField axis="axisRow" showAll="0">
      <items count="36">
        <item x="13"/>
        <item m="1" x="31"/>
        <item m="1" x="32"/>
        <item m="1" x="24"/>
        <item m="1" x="17"/>
        <item m="1" x="20"/>
        <item x="3"/>
        <item x="0"/>
        <item m="1" x="30"/>
        <item m="1" x="28"/>
        <item m="1" x="22"/>
        <item m="1" x="21"/>
        <item m="1" x="27"/>
        <item m="1" x="25"/>
        <item x="9"/>
        <item x="10"/>
        <item x="4"/>
        <item m="1" x="34"/>
        <item m="1" x="23"/>
        <item m="1" x="33"/>
        <item m="1" x="29"/>
        <item m="1" x="19"/>
        <item m="1" x="18"/>
        <item m="1" x="26"/>
        <item x="1"/>
        <item x="5"/>
        <item x="16"/>
        <item x="2"/>
        <item x="6"/>
        <item x="7"/>
        <item x="8"/>
        <item x="11"/>
        <item x="12"/>
        <item x="14"/>
        <item x="15"/>
        <item t="default"/>
      </items>
    </pivotField>
    <pivotField showAll="0"/>
    <pivotField axis="axisPage" multipleItemSelectionAllowed="1" showAll="0">
      <items count="283">
        <item h="1" m="1" x="260"/>
        <item h="1" m="1" x="250"/>
        <item h="1" m="1" x="222"/>
        <item h="1" m="1" x="214"/>
        <item h="1" m="1" x="270"/>
        <item h="1" m="1" x="261"/>
        <item h="1" m="1" x="219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167"/>
        <item h="1" m="1" x="187"/>
        <item h="1" m="1" x="188"/>
        <item h="1" m="1" x="175"/>
        <item h="1" m="1" x="224"/>
        <item h="1" m="1" x="242"/>
        <item h="1" m="1" x="220"/>
        <item h="1" m="1" x="180"/>
        <item h="1" m="1" x="221"/>
        <item h="1" m="1" x="189"/>
        <item h="1" m="1" x="173"/>
        <item h="1" m="1" x="247"/>
        <item h="1" m="1" x="244"/>
        <item h="1" m="1" x="212"/>
        <item h="1" m="1" x="236"/>
        <item h="1" m="1" x="243"/>
        <item h="1" m="1" x="245"/>
        <item h="1" m="1" x="179"/>
        <item h="1" m="1" x="264"/>
        <item h="1" m="1" x="268"/>
        <item h="1" m="1" x="275"/>
        <item h="1" m="1" x="263"/>
        <item h="1" m="1" x="218"/>
        <item h="1" m="1" x="240"/>
        <item h="1" m="1" x="226"/>
        <item h="1" m="1" x="241"/>
        <item h="1" m="1" x="272"/>
        <item h="1" m="1" x="172"/>
        <item h="1" m="1" x="246"/>
        <item h="1" m="1" x="215"/>
        <item h="1" m="1" x="216"/>
        <item h="1" m="1" x="265"/>
        <item h="1" m="1" x="269"/>
        <item h="1" m="1" x="279"/>
        <item h="1" m="1" x="186"/>
        <item h="1" m="1" x="271"/>
        <item h="1" m="1" x="213"/>
        <item h="1" m="1" x="229"/>
        <item h="1" m="1" x="174"/>
        <item h="1" m="1" x="223"/>
        <item h="1" m="1" x="177"/>
        <item x="2"/>
        <item x="3"/>
        <item x="4"/>
        <item x="5"/>
        <item x="6"/>
        <item x="7"/>
        <item x="8"/>
        <item x="9"/>
        <item m="1" x="211"/>
        <item m="1" x="237"/>
        <item m="1" x="238"/>
        <item m="1" x="239"/>
        <item h="1" m="1" x="165"/>
        <item h="1" x="16"/>
        <item h="1" x="17"/>
        <item h="1" x="18"/>
        <item h="1" x="19"/>
        <item h="1" m="1" x="202"/>
        <item h="1" m="1" x="234"/>
        <item h="1" m="1" x="227"/>
        <item h="1" m="1" x="228"/>
        <item h="1" m="1" x="183"/>
        <item h="1" m="1" x="208"/>
        <item h="1" m="1" x="209"/>
        <item h="1" m="1" x="207"/>
        <item h="1" x="119"/>
        <item h="1" m="1" x="210"/>
        <item h="1" m="1" x="200"/>
        <item h="1" m="1" x="276"/>
        <item h="1" m="1" x="277"/>
        <item h="1" m="1" x="278"/>
        <item h="1" x="81"/>
        <item h="1" m="1" x="204"/>
        <item h="1" m="1" x="201"/>
        <item h="1" m="1" x="203"/>
        <item h="1" m="1" x="185"/>
        <item h="1" m="1" x="205"/>
        <item h="1" m="1" x="273"/>
        <item h="1" m="1" x="274"/>
        <item h="1" m="1" x="233"/>
        <item h="1" m="1" x="206"/>
        <item h="1" m="1" x="184"/>
        <item h="1" m="1" x="235"/>
        <item h="1" m="1" x="230"/>
        <item h="1" m="1" x="182"/>
        <item h="1" m="1" x="232"/>
        <item h="1" x="99"/>
        <item h="1" x="100"/>
        <item h="1" m="1" x="181"/>
        <item h="1" m="1" x="248"/>
        <item h="1" m="1" x="249"/>
        <item h="1" m="1" x="251"/>
        <item h="1" m="1" x="217"/>
        <item h="1" m="1" x="262"/>
        <item h="1" m="1" x="280"/>
        <item h="1" m="1" x="281"/>
        <item h="1" m="1" x="225"/>
        <item h="1" m="1" x="178"/>
        <item m="1" x="193"/>
        <item m="1" x="194"/>
        <item m="1" x="195"/>
        <item m="1" x="196"/>
        <item m="1" x="197"/>
        <item m="1" x="198"/>
        <item m="1" x="199"/>
        <item h="1" m="1" x="168"/>
        <item h="1" m="1" x="266"/>
        <item h="1" m="1" x="267"/>
        <item h="1" m="1" x="231"/>
        <item h="1" m="1" x="171"/>
        <item m="1" x="190"/>
        <item m="1" x="191"/>
        <item m="1" x="192"/>
        <item h="1" m="1" x="169"/>
        <item h="1" m="1" x="170"/>
        <item h="1" m="1" x="176"/>
        <item h="1" m="1" x="161"/>
        <item h="1" x="160"/>
        <item h="1" m="1" x="166"/>
        <item h="1" x="1"/>
        <item h="1" x="10"/>
        <item h="1" x="11"/>
        <item h="1" x="12"/>
        <item h="1" x="13"/>
        <item h="1" x="14"/>
        <item h="1" x="15"/>
        <item h="1" x="20"/>
        <item h="1" x="21"/>
        <item h="1" x="22"/>
        <item h="1" x="24"/>
        <item h="1" x="25"/>
        <item h="1" x="26"/>
        <item h="1" x="27"/>
        <item h="1" x="28"/>
        <item h="1" x="29"/>
        <item h="1" x="30"/>
        <item h="1" m="1" x="162"/>
        <item h="1" m="1" x="163"/>
        <item h="1" m="1" x="164"/>
        <item h="1" x="34"/>
        <item h="1" x="35"/>
        <item h="1" x="36"/>
        <item h="1" x="37"/>
        <item h="1" x="38"/>
        <item h="1" x="39"/>
        <item h="1" x="0"/>
        <item h="1" x="23"/>
        <item h="1" x="31"/>
        <item h="1" x="32"/>
        <item h="1" x="33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9"/>
        <item h="1" x="70"/>
        <item h="1" x="89"/>
        <item h="1" x="67"/>
        <item h="1" x="68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2"/>
        <item h="1" x="83"/>
        <item h="1" x="84"/>
        <item h="1" x="85"/>
        <item h="1" x="86"/>
        <item h="1" x="87"/>
        <item h="1" x="88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t="default"/>
      </items>
    </pivotField>
    <pivotField axis="axisRow" dataField="1" showAll="0">
      <items count="12">
        <item x="1"/>
        <item x="6"/>
        <item m="1" x="9"/>
        <item m="1" x="10"/>
        <item x="0"/>
        <item x="3"/>
        <item x="5"/>
        <item m="1" x="8"/>
        <item x="7"/>
        <item x="2"/>
        <item x="4"/>
        <item t="default"/>
      </items>
    </pivotField>
    <pivotField showAll="0"/>
    <pivotField axis="axisRow" showAll="0" defaultSubtotal="0">
      <items count="40">
        <item x="7"/>
        <item m="1" x="33"/>
        <item x="6"/>
        <item m="1" x="21"/>
        <item x="1"/>
        <item m="1" x="30"/>
        <item m="1" x="24"/>
        <item m="1" x="38"/>
        <item m="1" x="28"/>
        <item m="1" x="31"/>
        <item m="1" x="27"/>
        <item m="1" x="34"/>
        <item m="1" x="23"/>
        <item x="11"/>
        <item x="20"/>
        <item x="5"/>
        <item m="1" x="32"/>
        <item m="1" x="29"/>
        <item m="1" x="25"/>
        <item m="1" x="36"/>
        <item x="18"/>
        <item x="0"/>
        <item m="1" x="35"/>
        <item m="1" x="22"/>
        <item m="1" x="37"/>
        <item m="1" x="39"/>
        <item m="1" x="26"/>
        <item x="8"/>
        <item x="2"/>
        <item x="3"/>
        <item x="4"/>
        <item x="9"/>
        <item x="10"/>
        <item x="12"/>
        <item x="13"/>
        <item x="14"/>
        <item x="15"/>
        <item x="16"/>
        <item x="17"/>
        <item x="19"/>
      </items>
    </pivotField>
    <pivotField axis="axisCol" showAll="0">
      <items count="13">
        <item h="1" x="3"/>
        <item h="1" x="7"/>
        <item h="1" x="8"/>
        <item x="2"/>
        <item x="1"/>
        <item h="1" x="5"/>
        <item h="1" x="0"/>
        <item h="1" m="1" x="10"/>
        <item h="1" m="1" x="11"/>
        <item h="1" x="9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9"/>
    <field x="4"/>
  </rowFields>
  <rowItems count="5">
    <i>
      <x/>
    </i>
    <i r="1">
      <x v="28"/>
    </i>
    <i r="2">
      <x v="7"/>
    </i>
    <i r="2">
      <x v="28"/>
    </i>
    <i t="grand">
      <x/>
    </i>
  </rowItems>
  <colFields count="1">
    <field x="10"/>
  </colFields>
  <colItems count="2">
    <i>
      <x v="4"/>
    </i>
    <i t="grand">
      <x/>
    </i>
  </colItems>
  <pageFields count="1">
    <pageField fld="6" hier="-1"/>
  </pageFields>
  <dataFields count="1">
    <dataField name="Anzahl von Spots" fld="7" subtotal="count" baseField="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6" indent="0" outline="1" outlineData="1" multipleFieldFilters="0" rowHeaderCaption="Geräte/Gewerke/Gewerke/Gewerke/Gewerke" colHeaderCaption="Verbindung">
  <location ref="A3:K33" firstHeaderRow="1" firstDataRow="2" firstDataCol="1"/>
  <pivotFields count="17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2">
        <item x="1"/>
        <item x="6"/>
        <item m="1" x="9"/>
        <item m="1" x="10"/>
        <item x="0"/>
        <item x="3"/>
        <item x="5"/>
        <item m="1" x="8"/>
        <item x="7"/>
        <item x="2"/>
        <item x="4"/>
        <item t="default"/>
      </items>
    </pivotField>
    <pivotField showAll="0"/>
    <pivotField axis="axisRow" showAll="0">
      <items count="41">
        <item m="1" x="33"/>
        <item x="6"/>
        <item x="1"/>
        <item m="1" x="28"/>
        <item m="1" x="31"/>
        <item m="1" x="27"/>
        <item x="11"/>
        <item x="20"/>
        <item x="5"/>
        <item m="1" x="29"/>
        <item x="18"/>
        <item x="0"/>
        <item m="1" x="35"/>
        <item m="1" x="22"/>
        <item m="1" x="39"/>
        <item m="1" x="21"/>
        <item m="1" x="32"/>
        <item m="1" x="34"/>
        <item m="1" x="36"/>
        <item m="1" x="37"/>
        <item x="7"/>
        <item m="1" x="23"/>
        <item m="1" x="24"/>
        <item m="1" x="25"/>
        <item m="1" x="30"/>
        <item m="1" x="38"/>
        <item m="1" x="26"/>
        <item x="8"/>
        <item x="2"/>
        <item x="3"/>
        <item x="4"/>
        <item x="9"/>
        <item x="10"/>
        <item x="12"/>
        <item x="13"/>
        <item x="14"/>
        <item x="15"/>
        <item x="16"/>
        <item x="17"/>
        <item x="19"/>
        <item t="default"/>
      </items>
    </pivotField>
    <pivotField axis="axisCol" showAll="0">
      <items count="13">
        <item x="3"/>
        <item x="7"/>
        <item x="8"/>
        <item x="1"/>
        <item x="0"/>
        <item m="1" x="10"/>
        <item m="1" x="11"/>
        <item x="2"/>
        <item x="5"/>
        <item h="1" x="9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7"/>
    <field x="9"/>
  </rowFields>
  <rowItems count="29">
    <i>
      <x/>
    </i>
    <i r="1">
      <x v="2"/>
    </i>
    <i r="1">
      <x v="7"/>
    </i>
    <i r="1">
      <x v="28"/>
    </i>
    <i>
      <x v="1"/>
    </i>
    <i r="1">
      <x v="32"/>
    </i>
    <i r="1">
      <x v="35"/>
    </i>
    <i>
      <x v="4"/>
    </i>
    <i r="1">
      <x v="1"/>
    </i>
    <i r="1">
      <x v="10"/>
    </i>
    <i r="1">
      <x v="11"/>
    </i>
    <i r="1">
      <x v="33"/>
    </i>
    <i r="1">
      <x v="37"/>
    </i>
    <i>
      <x v="5"/>
    </i>
    <i r="1">
      <x v="6"/>
    </i>
    <i r="1">
      <x v="8"/>
    </i>
    <i r="1">
      <x v="20"/>
    </i>
    <i r="1">
      <x v="36"/>
    </i>
    <i r="1">
      <x v="38"/>
    </i>
    <i r="1">
      <x v="39"/>
    </i>
    <i>
      <x v="6"/>
    </i>
    <i r="1">
      <x v="31"/>
    </i>
    <i>
      <x v="9"/>
    </i>
    <i r="1">
      <x v="29"/>
    </i>
    <i r="1">
      <x v="30"/>
    </i>
    <i r="1">
      <x v="34"/>
    </i>
    <i>
      <x v="10"/>
    </i>
    <i r="1">
      <x v="27"/>
    </i>
    <i t="grand">
      <x/>
    </i>
  </rowItems>
  <colFields count="1">
    <field x="10"/>
  </colFields>
  <colItems count="10">
    <i>
      <x/>
    </i>
    <i>
      <x v="1"/>
    </i>
    <i>
      <x v="2"/>
    </i>
    <i>
      <x v="3"/>
    </i>
    <i>
      <x v="4"/>
    </i>
    <i>
      <x v="7"/>
    </i>
    <i>
      <x v="8"/>
    </i>
    <i>
      <x v="10"/>
    </i>
    <i>
      <x v="11"/>
    </i>
    <i t="grand">
      <x/>
    </i>
  </colItems>
  <dataFields count="1">
    <dataField name="Anzahl von Geräte/Gewerk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7" cacheId="0" applyNumberFormats="0" applyBorderFormats="0" applyFontFormats="0" applyPatternFormats="0" applyAlignmentFormats="0" applyWidthHeightFormats="1" dataCaption="Werte" updatedVersion="6" minRefreshableVersion="3" useAutoFormatting="1" subtotalHiddenItems="1" itemPrintTitles="1" createdVersion="6" indent="0" outline="1" outlineData="1" multipleFieldFilters="0" rowHeaderCaption="Geräte" colHeaderCaption="Verbindung">
  <location ref="S125:U142" firstHeaderRow="1" firstDataRow="1" firstDataCol="0"/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lektro_Planung.xlsx!Tabelle132">
        <x15:activeTabTopLevelEntity name="[Tabelle13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4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6" indent="0" outline="1" outlineData="1" multipleFieldFilters="0" colHeaderCaption="Verbindung">
  <location ref="N20:P27" firstHeaderRow="1" firstDataRow="2" firstDataCol="1"/>
  <pivotFields count="17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2">
        <item x="1"/>
        <item x="6"/>
        <item m="1" x="9"/>
        <item m="1" x="10"/>
        <item x="0"/>
        <item x="3"/>
        <item x="5"/>
        <item m="1" x="8"/>
        <item x="7"/>
        <item x="2"/>
        <item x="4"/>
        <item t="default"/>
      </items>
    </pivotField>
    <pivotField showAll="0"/>
    <pivotField axis="axisRow" showAll="0">
      <items count="41">
        <item x="7"/>
        <item m="1" x="33"/>
        <item x="6"/>
        <item m="1" x="21"/>
        <item x="1"/>
        <item m="1" x="30"/>
        <item m="1" x="24"/>
        <item m="1" x="38"/>
        <item m="1" x="28"/>
        <item m="1" x="31"/>
        <item m="1" x="27"/>
        <item m="1" x="34"/>
        <item m="1" x="23"/>
        <item x="11"/>
        <item x="20"/>
        <item x="5"/>
        <item m="1" x="32"/>
        <item m="1" x="29"/>
        <item m="1" x="25"/>
        <item m="1" x="36"/>
        <item x="18"/>
        <item x="0"/>
        <item m="1" x="35"/>
        <item m="1" x="22"/>
        <item m="1" x="37"/>
        <item m="1" x="39"/>
        <item m="1" x="26"/>
        <item x="8"/>
        <item x="2"/>
        <item x="3"/>
        <item x="4"/>
        <item x="9"/>
        <item x="10"/>
        <item x="12"/>
        <item x="13"/>
        <item x="14"/>
        <item x="15"/>
        <item x="16"/>
        <item x="17"/>
        <item x="19"/>
        <item t="default"/>
      </items>
    </pivotField>
    <pivotField axis="axisCol" showAll="0">
      <items count="13">
        <item h="1" x="3"/>
        <item h="1" x="7"/>
        <item h="1" x="8"/>
        <item h="1" x="2"/>
        <item h="1" x="1"/>
        <item h="1" x="5"/>
        <item x="0"/>
        <item h="1" m="1" x="10"/>
        <item h="1" m="1" x="11"/>
        <item h="1" x="9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7"/>
    <field x="9"/>
  </rowFields>
  <rowItems count="6">
    <i>
      <x v="4"/>
    </i>
    <i r="1">
      <x v="2"/>
    </i>
    <i r="1">
      <x v="20"/>
    </i>
    <i r="1">
      <x v="21"/>
    </i>
    <i r="1">
      <x v="37"/>
    </i>
    <i t="grand">
      <x/>
    </i>
  </rowItems>
  <colFields count="1">
    <field x="10"/>
  </colFields>
  <colItems count="2">
    <i>
      <x v="6"/>
    </i>
    <i t="grand">
      <x/>
    </i>
  </colItems>
  <dataFields count="1">
    <dataField name="Anzahl von Spots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32" displayName="Tabelle132" ref="B3:Q406" totalsRowCount="1" headerRowDxfId="56">
  <autoFilter ref="B3:Q405" xr:uid="{00000000-0009-0000-0100-000001000000}"/>
  <sortState xmlns:xlrd2="http://schemas.microsoft.com/office/spreadsheetml/2017/richdata2" ref="B4:Q405">
    <sortCondition ref="E3:E405"/>
  </sortState>
  <tableColumns count="16">
    <tableColumn id="1" xr3:uid="{00000000-0010-0000-0000-000001000000}" name="Zone" dataDxfId="55"/>
    <tableColumn id="18" xr3:uid="{00000000-0010-0000-0000-000012000000}" name="Zonennr." dataDxfId="54" totalsRowDxfId="53"/>
    <tableColumn id="2" xr3:uid="{00000000-0010-0000-0000-000002000000}" name="Raumcode"/>
    <tableColumn id="23" xr3:uid="{00000000-0010-0000-0000-000017000000}" name="Raumnr." dataDxfId="52" totalsRowDxfId="51"/>
    <tableColumn id="3" xr3:uid="{00000000-0010-0000-0000-000003000000}" name="Raum"/>
    <tableColumn id="14" xr3:uid="{00000000-0010-0000-0000-00000E000000}" name="Gesamtnr." dataDxfId="50"/>
    <tableColumn id="4" xr3:uid="{00000000-0010-0000-0000-000004000000}" name="Bezeichnung"/>
    <tableColumn id="5" xr3:uid="{00000000-0010-0000-0000-000005000000}" name="Geräte/Gewerke"/>
    <tableColumn id="7" xr3:uid="{00000000-0010-0000-0000-000007000000}" name="Kategorie"/>
    <tableColumn id="8" xr3:uid="{00000000-0010-0000-0000-000008000000}" name="Verbindung"/>
    <tableColumn id="16" xr3:uid="{55C261F8-AEA6-4097-AD35-46BAE6258F30}" name="Leitungsart"/>
    <tableColumn id="17" xr3:uid="{64DD9EFA-144C-4611-AF2E-5C7F78564E32}" name="Ziel"/>
    <tableColumn id="9" xr3:uid="{00000000-0010-0000-0000-000009000000}" name="Code"/>
    <tableColumn id="13" xr3:uid="{00000000-0010-0000-0000-00000D000000}" name="Gesamtcode" dataDxfId="49"/>
    <tableColumn id="11" xr3:uid="{00000000-0010-0000-0000-00000B000000}" name="Leitung Code"/>
    <tableColumn id="12" xr3:uid="{00000000-0010-0000-0000-00000C000000}" name="Installationszone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elle7" displayName="Tabelle7" ref="B3:O675" totalsRowCount="1" headerRowDxfId="48">
  <autoFilter ref="B3:O674" xr:uid="{00000000-0009-0000-0100-000007000000}"/>
  <sortState xmlns:xlrd2="http://schemas.microsoft.com/office/spreadsheetml/2017/richdata2" ref="B160:O322">
    <sortCondition ref="B3:B674"/>
  </sortState>
  <tableColumns count="14">
    <tableColumn id="1" xr3:uid="{00000000-0010-0000-0200-000001000000}" name="Gesamtcode" totalsRowFunction="count"/>
    <tableColumn id="2" xr3:uid="{00000000-0010-0000-0200-000002000000}" name="Zone" dataDxfId="47" totalsRowDxfId="46">
      <calculatedColumnFormula>INDEX(Tabelle132[Zone],MATCH(Tabelle7[[#This Row],[Gesamtcode]],Tabelle132[Gesamtcode],0))</calculatedColumnFormula>
    </tableColumn>
    <tableColumn id="3" xr3:uid="{00000000-0010-0000-0200-000003000000}" name="Raum" dataDxfId="45" totalsRowDxfId="44">
      <calculatedColumnFormula>INDEX(Tabelle132[Raum],MATCH(Tabelle7[[#This Row],[Gesamtcode]],Tabelle132[Gesamtcode],0))</calculatedColumnFormula>
    </tableColumn>
    <tableColumn id="4" xr3:uid="{00000000-0010-0000-0200-000004000000}" name="Bezeichnung" dataDxfId="43" totalsRowDxfId="42">
      <calculatedColumnFormula>INDEX(Tabelle132[Bezeichnung],MATCH(Tabelle7[[#This Row],[Gesamtcode]],Tabelle132[Gesamtcode],0))</calculatedColumnFormula>
    </tableColumn>
    <tableColumn id="5" xr3:uid="{00000000-0010-0000-0200-000005000000}" name="Gewerke" dataDxfId="41" totalsRowDxfId="40">
      <calculatedColumnFormula>"_"&amp;INDEX(Tabelle132[Geräte/Gewerke],MATCH(Tabelle7[[#This Row],[Gesamtcode]],Tabelle132[Gesamtcode],0))</calculatedColumnFormula>
    </tableColumn>
    <tableColumn id="6" xr3:uid="{00000000-0010-0000-0200-000006000000}" name="Hauptgruppe" dataDxfId="39" totalsRowDxfId="38">
      <calculatedColumnFormula>INDEX(Tabelle13[Gewerknr.],MATCH(Tabelle7[[#This Row],[Gewerke]],Tabelle13[Hauptgruppe],0))</calculatedColumnFormula>
    </tableColumn>
    <tableColumn id="7" xr3:uid="{00000000-0010-0000-0200-000007000000}" name="Funktionsbereiche"/>
    <tableColumn id="8" xr3:uid="{00000000-0010-0000-0200-000008000000}" name="Mittelgruppe" dataDxfId="37" totalsRowDxfId="36">
      <calculatedColumnFormula>INDEX(Tabelle134[Funktionsbereichsnr.],MATCH(Tabelle7[[#This Row],[Funktionsbereiche]],INDIRECT("Tabelle134["&amp;Tabelle7[[#This Row],[Gewerke]]&amp;"]"),0))</calculatedColumnFormula>
    </tableColumn>
    <tableColumn id="9" xr3:uid="{00000000-0010-0000-0200-000009000000}" name="Funktion" dataDxfId="35" totalsRowDxfId="34">
      <calculatedColumnFormula>Tabelle7[[#This Row],[Gesamtcode]]&amp;"_"&amp;Tabelle7[[#This Row],[Zone]]&amp;"_"&amp;Tabelle7[[#This Row],[Raum]]&amp;"_"&amp;Tabelle7[[#This Row],[Bezeichnung]]</calculatedColumnFormula>
    </tableColumn>
    <tableColumn id="10" xr3:uid="{00000000-0010-0000-0200-00000A000000}" name="Untergruppe" dataDxfId="33" totalsRowDxfId="32"/>
    <tableColumn id="17" xr3:uid="{00000000-0010-0000-0200-000011000000}" name="Gruppenadresse (HG/-/-)" dataDxfId="31">
      <calculatedColumnFormula>Tabelle7[[#This Row],[Hauptgruppe]]&amp;"/-/-"</calculatedColumnFormula>
    </tableColumn>
    <tableColumn id="16" xr3:uid="{00000000-0010-0000-0200-000010000000}" name="Gruppenadresse (HG/MG/-)" dataDxfId="30">
      <calculatedColumnFormula>Tabelle7[[#This Row],[Hauptgruppe]]&amp;"/"&amp;Tabelle7[[#This Row],[Mittelgruppe]]&amp;"/-"</calculatedColumnFormula>
    </tableColumn>
    <tableColumn id="11" xr3:uid="{00000000-0010-0000-0200-00000B000000}" name="Gruppenadresse" dataDxfId="29" totalsRowDxfId="28">
      <calculatedColumnFormula>Tabelle7[[#This Row],[Hauptgruppe]]&amp;"/"&amp;Tabelle7[[#This Row],[Mittelgruppe]]&amp;"/"&amp;Tabelle7[[#This Row],[Untergruppe]]</calculatedColumnFormula>
    </tableColumn>
    <tableColumn id="15" xr3:uid="{00000000-0010-0000-0200-00000F000000}" name="Beschreibung" dataDxfId="27">
      <calculatedColumnFormula>INDEX(Tabelle6[Aktor],MATCH(Tabelle7[[#This Row],[Gesamtcode]],Tabelle6[Gesamtcode],0))&amp;" "&amp;INDEX(Tabelle6[Aktorkanal],MATCH(Tabelle7[[#This Row],[Gesamtcode]],Tabelle6[Gesamtcode],0))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elle13" displayName="Tabelle13" ref="B3:D12" totalsRowShown="0" headerRowDxfId="26">
  <autoFilter ref="B3:D12" xr:uid="{00000000-0009-0000-0100-000002000000}"/>
  <sortState xmlns:xlrd2="http://schemas.microsoft.com/office/spreadsheetml/2017/richdata2" ref="B4:C10">
    <sortCondition ref="C3:C10"/>
  </sortState>
  <tableColumns count="3">
    <tableColumn id="27" xr3:uid="{00000000-0010-0000-0300-00001B000000}" name="Gewerknr."/>
    <tableColumn id="6" xr3:uid="{00000000-0010-0000-0300-000006000000}" name="Gewerk" dataDxfId="25">
      <calculatedColumnFormula>INDEX(Metadaten!$C$3:$C$11,MATCH(Tabelle13[[#This Row],[Gewerknr.]],Metadaten!$B$3:$B$11,0))</calculatedColumnFormula>
    </tableColumn>
    <tableColumn id="1" xr3:uid="{00000000-0010-0000-0300-000001000000}" name="Hauptgruppe" dataDxfId="24">
      <calculatedColumnFormula>"_"&amp;Tabelle13[[#This Row],[Gewerk]]</calculatedColumnFormula>
    </tableColumn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le134" displayName="Tabelle134" ref="G3:P11" totalsRowShown="0" dataDxfId="23">
  <autoFilter ref="G3:P11" xr:uid="{00000000-0009-0000-0100-000003000000}"/>
  <tableColumns count="10">
    <tableColumn id="30" xr3:uid="{00000000-0010-0000-0400-00001E000000}" name="Funktionsbereichsnr." dataDxfId="22"/>
    <tableColumn id="7" xr3:uid="{00000000-0010-0000-0400-000007000000}" name="_Zentral" dataDxfId="21"/>
    <tableColumn id="8" xr3:uid="{00000000-0010-0000-0400-000008000000}" name="_Steckdosen" dataDxfId="20"/>
    <tableColumn id="29" xr3:uid="{00000000-0010-0000-0400-00001D000000}" name="_Beschattung" dataDxfId="19"/>
    <tableColumn id="31" xr3:uid="{00000000-0010-0000-0400-00001F000000}" name="_Beleuchtung" dataDxfId="18"/>
    <tableColumn id="1" xr3:uid="{00000000-0010-0000-0400-000001000000}" name="_HeizungKlimaLüftung" dataDxfId="17"/>
    <tableColumn id="2" xr3:uid="{00000000-0010-0000-0400-000002000000}" name="_Sensoren" dataDxfId="16"/>
    <tableColumn id="3" xr3:uid="{00000000-0010-0000-0400-000003000000}" name="_Bewässerung" dataDxfId="15"/>
    <tableColumn id="4" xr3:uid="{00000000-0010-0000-0400-000004000000}" name="_Zugriffskontrolle" dataDxfId="14"/>
    <tableColumn id="5" xr3:uid="{00000000-0010-0000-0400-000005000000}" name="_MeldungenAlarm" dataDxfId="13"/>
  </tableColumns>
  <tableStyleInfo name="TableStyleMedium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le6" displayName="Tabelle6" ref="B3:S270" totalsRowCount="1">
  <autoFilter ref="B3:S269" xr:uid="{00000000-0009-0000-0100-000006000000}"/>
  <sortState xmlns:xlrd2="http://schemas.microsoft.com/office/spreadsheetml/2017/richdata2" ref="B4:S269">
    <sortCondition ref="C3:C269"/>
  </sortState>
  <tableColumns count="18">
    <tableColumn id="1" xr3:uid="{00000000-0010-0000-0100-000001000000}" name="Zone" dataDxfId="12" totalsRowDxfId="11">
      <calculatedColumnFormula>Raumbuch!B4</calculatedColumnFormula>
    </tableColumn>
    <tableColumn id="3" xr3:uid="{00000000-0010-0000-0100-000003000000}" name="Raumcode">
      <calculatedColumnFormula>Raumbuch!D4</calculatedColumnFormula>
    </tableColumn>
    <tableColumn id="5" xr3:uid="{00000000-0010-0000-0100-000005000000}" name="Raum">
      <calculatedColumnFormula>Raumbuch!F4</calculatedColumnFormula>
    </tableColumn>
    <tableColumn id="21" xr3:uid="{00000000-0010-0000-0100-000015000000}" name="Gesamtnr.">
      <calculatedColumnFormula>Raumbuch!G4</calculatedColumnFormula>
    </tableColumn>
    <tableColumn id="6" xr3:uid="{00000000-0010-0000-0100-000006000000}" name="Bezeichnung">
      <calculatedColumnFormula>Raumbuch!H4</calculatedColumnFormula>
    </tableColumn>
    <tableColumn id="7" xr3:uid="{00000000-0010-0000-0100-000007000000}" name="Geräte/Gewerke">
      <calculatedColumnFormula>Raumbuch!I4</calculatedColumnFormula>
    </tableColumn>
    <tableColumn id="9" xr3:uid="{00000000-0010-0000-0100-000009000000}" name="Kategorie">
      <calculatedColumnFormula>Raumbuch!J4</calculatedColumnFormula>
    </tableColumn>
    <tableColumn id="10" xr3:uid="{00000000-0010-0000-0100-00000A000000}" name="Verbindung">
      <calculatedColumnFormula>Raumbuch!K4</calculatedColumnFormula>
    </tableColumn>
    <tableColumn id="11" xr3:uid="{00000000-0010-0000-0100-00000B000000}" name="Code">
      <calculatedColumnFormula>Raumbuch!N4</calculatedColumnFormula>
    </tableColumn>
    <tableColumn id="20" xr3:uid="{00000000-0010-0000-0100-000014000000}" name="Gesamtcode">
      <calculatedColumnFormula>Raumbuch!O4</calculatedColumnFormula>
    </tableColumn>
    <tableColumn id="14" xr3:uid="{00000000-0010-0000-0100-00000E000000}" name="Anzahl Reihenklemme" totalsRowFunction="sum" dataDxfId="10" totalsRowDxfId="9"/>
    <tableColumn id="15" xr3:uid="{00000000-0010-0000-0100-00000F000000}" name="Hilfe1" dataDxfId="8" totalsRowDxfId="7"/>
    <tableColumn id="16" xr3:uid="{00000000-0010-0000-0100-000010000000}" name="Hilfe2" dataDxfId="6" totalsRowDxfId="5">
      <calculatedColumnFormula>ROUNDUP(M4,0)</calculatedColumnFormula>
    </tableColumn>
    <tableColumn id="17" xr3:uid="{00000000-0010-0000-0100-000011000000}" name="Reihenklemme" dataDxfId="4" totalsRowDxfId="3">
      <calculatedColumnFormula>IF(L4&gt;0,"RK"&amp;N4,"-")</calculatedColumnFormula>
    </tableColumn>
    <tableColumn id="22" xr3:uid="{00000000-0010-0000-0100-000016000000}" name="Aktor"/>
    <tableColumn id="23" xr3:uid="{00000000-0010-0000-0100-000017000000}" name="Aktorkanal"/>
    <tableColumn id="18" xr3:uid="{00000000-0010-0000-0100-000012000000}" name="RCD"/>
    <tableColumn id="19" xr3:uid="{00000000-0010-0000-0100-000013000000}" name="L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elle4" displayName="Tabelle4" ref="K3:T19" totalsRowShown="0" headerRowDxfId="2" headerRowBorderDxfId="1" tableBorderDxfId="0">
  <autoFilter ref="K3:T19" xr:uid="{00000000-0009-0000-0100-000004000000}"/>
  <tableColumns count="10">
    <tableColumn id="1" xr3:uid="{00000000-0010-0000-0500-000001000000}" name="Zentral"/>
    <tableColumn id="2" xr3:uid="{00000000-0010-0000-0500-000002000000}" name="Steckdosen"/>
    <tableColumn id="3" xr3:uid="{00000000-0010-0000-0500-000003000000}" name="Beschattung"/>
    <tableColumn id="4" xr3:uid="{00000000-0010-0000-0500-000004000000}" name="Beleuchtung"/>
    <tableColumn id="5" xr3:uid="{00000000-0010-0000-0500-000005000000}" name="HeizungKlimaLüftung"/>
    <tableColumn id="6" xr3:uid="{00000000-0010-0000-0500-000006000000}" name="Sensoren"/>
    <tableColumn id="7" xr3:uid="{00000000-0010-0000-0500-000007000000}" name="Bewässerung"/>
    <tableColumn id="8" xr3:uid="{00000000-0010-0000-0500-000008000000}" name="Zugriffskontrolle"/>
    <tableColumn id="10" xr3:uid="{FB29580F-4D4B-49F3-A9BB-CE4D501CCA97}" name="Audio"/>
    <tableColumn id="9" xr3:uid="{00000000-0010-0000-0500-000009000000}" name="MeldungenAlar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1"/>
  </sheetPr>
  <dimension ref="A1:U142"/>
  <sheetViews>
    <sheetView zoomScale="70" zoomScaleNormal="70" workbookViewId="0">
      <selection activeCell="G28" sqref="G28"/>
    </sheetView>
  </sheetViews>
  <sheetFormatPr baseColWidth="10" defaultColWidth="11" defaultRowHeight="15.75" x14ac:dyDescent="0.25"/>
  <cols>
    <col min="1" max="1" width="44.25" bestFit="1" customWidth="1"/>
    <col min="2" max="2" width="13.875" bestFit="1" customWidth="1"/>
    <col min="3" max="3" width="20.625" bestFit="1" customWidth="1"/>
    <col min="4" max="4" width="16.75" bestFit="1" customWidth="1"/>
    <col min="5" max="5" width="5.125" bestFit="1" customWidth="1"/>
    <col min="6" max="6" width="4.625" bestFit="1" customWidth="1"/>
    <col min="7" max="7" width="7.625" bestFit="1" customWidth="1"/>
    <col min="8" max="8" width="20.125" bestFit="1" customWidth="1"/>
    <col min="9" max="9" width="6" bestFit="1" customWidth="1"/>
    <col min="10" max="10" width="8.5" bestFit="1" customWidth="1"/>
    <col min="11" max="12" width="14.625" bestFit="1" customWidth="1"/>
    <col min="13" max="13" width="11.375" bestFit="1" customWidth="1"/>
    <col min="14" max="14" width="21.875" bestFit="1" customWidth="1"/>
    <col min="15" max="15" width="21" bestFit="1" customWidth="1"/>
    <col min="16" max="16" width="14.625" bestFit="1" customWidth="1"/>
    <col min="17" max="17" width="14.125" bestFit="1" customWidth="1"/>
    <col min="18" max="18" width="7.125" bestFit="1" customWidth="1"/>
    <col min="19" max="19" width="4.625" bestFit="1" customWidth="1"/>
    <col min="20" max="20" width="19.5" bestFit="1" customWidth="1"/>
    <col min="21" max="21" width="4.25" bestFit="1" customWidth="1"/>
    <col min="22" max="22" width="3.875" bestFit="1" customWidth="1"/>
    <col min="23" max="23" width="7" bestFit="1" customWidth="1"/>
    <col min="24" max="24" width="14.125" bestFit="1" customWidth="1"/>
    <col min="25" max="25" width="14.75" bestFit="1" customWidth="1"/>
    <col min="26" max="26" width="21" bestFit="1" customWidth="1"/>
    <col min="27" max="27" width="9.375" bestFit="1" customWidth="1"/>
    <col min="28" max="28" width="12" bestFit="1" customWidth="1"/>
    <col min="29" max="29" width="14.75" bestFit="1" customWidth="1"/>
    <col min="30" max="30" width="13.875" bestFit="1" customWidth="1"/>
    <col min="31" max="31" width="4.5" bestFit="1" customWidth="1"/>
    <col min="32" max="32" width="7.875" bestFit="1" customWidth="1"/>
    <col min="33" max="33" width="14.125" bestFit="1" customWidth="1"/>
    <col min="34" max="34" width="13.625" bestFit="1" customWidth="1"/>
    <col min="35" max="35" width="15.625" bestFit="1" customWidth="1"/>
    <col min="36" max="36" width="13.625" bestFit="1" customWidth="1"/>
    <col min="37" max="37" width="8.5" bestFit="1" customWidth="1"/>
    <col min="38" max="38" width="7.875" bestFit="1" customWidth="1"/>
    <col min="39" max="39" width="4.25" bestFit="1" customWidth="1"/>
    <col min="40" max="40" width="6.25" bestFit="1" customWidth="1"/>
    <col min="41" max="41" width="26.375" bestFit="1" customWidth="1"/>
    <col min="42" max="42" width="11.625" bestFit="1" customWidth="1"/>
    <col min="43" max="43" width="15.375" bestFit="1" customWidth="1"/>
    <col min="44" max="44" width="16.875" bestFit="1" customWidth="1"/>
    <col min="45" max="45" width="10.5" bestFit="1" customWidth="1"/>
    <col min="46" max="46" width="12.875" bestFit="1" customWidth="1"/>
    <col min="47" max="47" width="14.75" bestFit="1" customWidth="1"/>
  </cols>
  <sheetData>
    <row r="1" spans="1:16" x14ac:dyDescent="0.25">
      <c r="N1" s="1" t="s">
        <v>0</v>
      </c>
      <c r="O1" t="s">
        <v>1</v>
      </c>
    </row>
    <row r="3" spans="1:16" x14ac:dyDescent="0.25">
      <c r="A3" s="1" t="s">
        <v>2</v>
      </c>
      <c r="B3" s="1" t="s">
        <v>3</v>
      </c>
      <c r="N3" s="1" t="s">
        <v>4</v>
      </c>
      <c r="O3" s="1" t="s">
        <v>3</v>
      </c>
    </row>
    <row r="4" spans="1:16" x14ac:dyDescent="0.25">
      <c r="A4" s="1" t="s">
        <v>5</v>
      </c>
      <c r="B4" t="s">
        <v>6</v>
      </c>
      <c r="C4" t="s">
        <v>7</v>
      </c>
      <c r="D4" t="s">
        <v>8</v>
      </c>
      <c r="E4" t="s">
        <v>9</v>
      </c>
      <c r="F4" t="s">
        <v>10</v>
      </c>
      <c r="G4" t="s">
        <v>13</v>
      </c>
      <c r="H4" t="s">
        <v>14</v>
      </c>
      <c r="I4" t="s">
        <v>1615</v>
      </c>
      <c r="J4" t="s">
        <v>104</v>
      </c>
      <c r="K4" t="s">
        <v>15</v>
      </c>
      <c r="N4" s="1" t="s">
        <v>16</v>
      </c>
      <c r="O4" t="s">
        <v>9</v>
      </c>
      <c r="P4" t="s">
        <v>15</v>
      </c>
    </row>
    <row r="5" spans="1:16" x14ac:dyDescent="0.25">
      <c r="A5" s="2" t="s">
        <v>17</v>
      </c>
      <c r="B5">
        <v>6</v>
      </c>
      <c r="E5">
        <v>53</v>
      </c>
      <c r="K5">
        <v>59</v>
      </c>
      <c r="N5" s="2" t="s">
        <v>17</v>
      </c>
      <c r="O5">
        <v>12</v>
      </c>
      <c r="P5">
        <v>12</v>
      </c>
    </row>
    <row r="6" spans="1:16" x14ac:dyDescent="0.25">
      <c r="A6" s="8" t="s">
        <v>18</v>
      </c>
      <c r="B6">
        <v>2</v>
      </c>
      <c r="E6">
        <v>22</v>
      </c>
      <c r="K6">
        <v>24</v>
      </c>
      <c r="N6" s="8" t="s">
        <v>1614</v>
      </c>
    </row>
    <row r="7" spans="1:16" x14ac:dyDescent="0.25">
      <c r="A7" s="8" t="s">
        <v>19</v>
      </c>
      <c r="B7">
        <v>4</v>
      </c>
      <c r="K7">
        <v>4</v>
      </c>
      <c r="N7" s="51" t="s">
        <v>28</v>
      </c>
      <c r="O7">
        <v>8</v>
      </c>
      <c r="P7">
        <v>8</v>
      </c>
    </row>
    <row r="8" spans="1:16" x14ac:dyDescent="0.25">
      <c r="A8" s="8" t="s">
        <v>1614</v>
      </c>
      <c r="E8">
        <v>31</v>
      </c>
      <c r="K8">
        <v>31</v>
      </c>
      <c r="N8" s="51" t="s">
        <v>1807</v>
      </c>
      <c r="O8">
        <v>4</v>
      </c>
      <c r="P8">
        <v>4</v>
      </c>
    </row>
    <row r="9" spans="1:16" x14ac:dyDescent="0.25">
      <c r="A9" s="2" t="s">
        <v>21</v>
      </c>
      <c r="C9">
        <v>19</v>
      </c>
      <c r="K9">
        <v>19</v>
      </c>
      <c r="N9" s="2" t="s">
        <v>15</v>
      </c>
      <c r="O9">
        <v>12</v>
      </c>
      <c r="P9">
        <v>12</v>
      </c>
    </row>
    <row r="10" spans="1:16" x14ac:dyDescent="0.25">
      <c r="A10" s="8" t="s">
        <v>87</v>
      </c>
      <c r="C10">
        <v>13</v>
      </c>
      <c r="K10">
        <v>13</v>
      </c>
    </row>
    <row r="11" spans="1:16" x14ac:dyDescent="0.25">
      <c r="A11" s="8" t="s">
        <v>1616</v>
      </c>
      <c r="C11">
        <v>6</v>
      </c>
      <c r="K11">
        <v>6</v>
      </c>
    </row>
    <row r="12" spans="1:16" x14ac:dyDescent="0.25">
      <c r="A12" s="2" t="s">
        <v>29</v>
      </c>
      <c r="B12">
        <v>1</v>
      </c>
      <c r="F12">
        <v>30</v>
      </c>
      <c r="H12">
        <v>18</v>
      </c>
      <c r="K12">
        <v>49</v>
      </c>
    </row>
    <row r="13" spans="1:16" x14ac:dyDescent="0.25">
      <c r="A13" s="8" t="s">
        <v>33</v>
      </c>
      <c r="B13">
        <v>1</v>
      </c>
      <c r="F13">
        <v>10</v>
      </c>
      <c r="K13">
        <v>11</v>
      </c>
    </row>
    <row r="14" spans="1:16" x14ac:dyDescent="0.25">
      <c r="A14" s="8" t="s">
        <v>35</v>
      </c>
      <c r="F14">
        <v>4</v>
      </c>
      <c r="K14">
        <v>4</v>
      </c>
    </row>
    <row r="15" spans="1:16" x14ac:dyDescent="0.25">
      <c r="A15" s="8" t="s">
        <v>37</v>
      </c>
      <c r="F15">
        <v>10</v>
      </c>
      <c r="K15">
        <v>10</v>
      </c>
    </row>
    <row r="16" spans="1:16" x14ac:dyDescent="0.25">
      <c r="A16" s="8" t="s">
        <v>1618</v>
      </c>
      <c r="H16">
        <v>18</v>
      </c>
      <c r="K16">
        <v>18</v>
      </c>
    </row>
    <row r="17" spans="1:16" x14ac:dyDescent="0.25">
      <c r="A17" s="8" t="s">
        <v>1617</v>
      </c>
      <c r="F17">
        <v>6</v>
      </c>
      <c r="K17">
        <v>6</v>
      </c>
    </row>
    <row r="18" spans="1:16" x14ac:dyDescent="0.25">
      <c r="A18" s="2" t="s">
        <v>46</v>
      </c>
      <c r="B18">
        <v>172</v>
      </c>
      <c r="D18">
        <v>1</v>
      </c>
      <c r="G18">
        <v>1</v>
      </c>
      <c r="I18">
        <v>4</v>
      </c>
      <c r="J18">
        <v>16</v>
      </c>
      <c r="K18">
        <v>194</v>
      </c>
      <c r="N18" s="52" t="s">
        <v>36</v>
      </c>
      <c r="O18">
        <f>COUNT(O6:O16)</f>
        <v>3</v>
      </c>
      <c r="P18">
        <f>COUNT(P6:P16)</f>
        <v>3</v>
      </c>
    </row>
    <row r="19" spans="1:16" x14ac:dyDescent="0.25">
      <c r="A19" s="8" t="s">
        <v>47</v>
      </c>
      <c r="B19">
        <v>40</v>
      </c>
      <c r="K19">
        <v>40</v>
      </c>
    </row>
    <row r="20" spans="1:16" x14ac:dyDescent="0.25">
      <c r="A20" s="8" t="s">
        <v>48</v>
      </c>
      <c r="B20">
        <v>125</v>
      </c>
      <c r="K20">
        <v>125</v>
      </c>
      <c r="N20" s="1" t="s">
        <v>4</v>
      </c>
      <c r="O20" s="1" t="s">
        <v>3</v>
      </c>
    </row>
    <row r="21" spans="1:16" x14ac:dyDescent="0.25">
      <c r="A21" s="8" t="s">
        <v>49</v>
      </c>
      <c r="B21">
        <v>7</v>
      </c>
      <c r="D21">
        <v>1</v>
      </c>
      <c r="G21">
        <v>1</v>
      </c>
      <c r="I21">
        <v>3</v>
      </c>
      <c r="J21">
        <v>3</v>
      </c>
      <c r="K21">
        <v>15</v>
      </c>
      <c r="N21" s="1" t="s">
        <v>16</v>
      </c>
      <c r="O21" t="s">
        <v>10</v>
      </c>
      <c r="P21" t="s">
        <v>15</v>
      </c>
    </row>
    <row r="22" spans="1:16" x14ac:dyDescent="0.25">
      <c r="A22" s="8" t="s">
        <v>1680</v>
      </c>
      <c r="J22">
        <v>11</v>
      </c>
      <c r="K22">
        <v>11</v>
      </c>
      <c r="N22" s="2" t="s">
        <v>29</v>
      </c>
      <c r="O22">
        <v>30</v>
      </c>
      <c r="P22">
        <v>30</v>
      </c>
    </row>
    <row r="23" spans="1:16" x14ac:dyDescent="0.25">
      <c r="A23" s="8" t="s">
        <v>1679</v>
      </c>
      <c r="J23">
        <v>2</v>
      </c>
      <c r="K23">
        <v>2</v>
      </c>
      <c r="N23" s="8" t="s">
        <v>33</v>
      </c>
      <c r="O23">
        <v>10</v>
      </c>
      <c r="P23">
        <v>10</v>
      </c>
    </row>
    <row r="24" spans="1:16" x14ac:dyDescent="0.25">
      <c r="A24" s="8" t="s">
        <v>1615</v>
      </c>
      <c r="I24">
        <v>1</v>
      </c>
      <c r="K24">
        <v>1</v>
      </c>
      <c r="N24" s="8" t="s">
        <v>35</v>
      </c>
      <c r="O24">
        <v>4</v>
      </c>
      <c r="P24">
        <v>4</v>
      </c>
    </row>
    <row r="25" spans="1:16" x14ac:dyDescent="0.25">
      <c r="A25" s="2" t="s">
        <v>50</v>
      </c>
      <c r="G25">
        <v>1</v>
      </c>
      <c r="K25">
        <v>1</v>
      </c>
      <c r="N25" s="8" t="s">
        <v>37</v>
      </c>
      <c r="O25">
        <v>10</v>
      </c>
      <c r="P25">
        <v>10</v>
      </c>
    </row>
    <row r="26" spans="1:16" x14ac:dyDescent="0.25">
      <c r="A26" s="8" t="s">
        <v>1597</v>
      </c>
      <c r="G26">
        <v>1</v>
      </c>
      <c r="K26">
        <v>1</v>
      </c>
      <c r="N26" s="8" t="s">
        <v>1617</v>
      </c>
      <c r="O26">
        <v>6</v>
      </c>
      <c r="P26">
        <v>6</v>
      </c>
    </row>
    <row r="27" spans="1:16" x14ac:dyDescent="0.25">
      <c r="A27" s="2" t="s">
        <v>255</v>
      </c>
      <c r="B27">
        <v>2</v>
      </c>
      <c r="G27">
        <v>31</v>
      </c>
      <c r="K27">
        <v>33</v>
      </c>
      <c r="N27" s="2" t="s">
        <v>15</v>
      </c>
      <c r="O27">
        <v>30</v>
      </c>
      <c r="P27">
        <v>30</v>
      </c>
    </row>
    <row r="28" spans="1:16" x14ac:dyDescent="0.25">
      <c r="A28" s="8" t="s">
        <v>1657</v>
      </c>
      <c r="G28">
        <v>17</v>
      </c>
      <c r="K28">
        <v>17</v>
      </c>
    </row>
    <row r="29" spans="1:16" x14ac:dyDescent="0.25">
      <c r="A29" s="8" t="s">
        <v>1656</v>
      </c>
      <c r="G29">
        <v>14</v>
      </c>
      <c r="K29">
        <v>14</v>
      </c>
    </row>
    <row r="30" spans="1:16" x14ac:dyDescent="0.25">
      <c r="A30" s="8" t="s">
        <v>1695</v>
      </c>
      <c r="B30">
        <v>2</v>
      </c>
      <c r="K30">
        <v>2</v>
      </c>
    </row>
    <row r="31" spans="1:16" x14ac:dyDescent="0.25">
      <c r="A31" s="2" t="s">
        <v>1676</v>
      </c>
      <c r="H31">
        <v>22</v>
      </c>
      <c r="K31">
        <v>22</v>
      </c>
    </row>
    <row r="32" spans="1:16" x14ac:dyDescent="0.25">
      <c r="A32" s="8" t="s">
        <v>1619</v>
      </c>
      <c r="H32">
        <v>22</v>
      </c>
      <c r="K32">
        <v>22</v>
      </c>
    </row>
    <row r="33" spans="1:13" x14ac:dyDescent="0.25">
      <c r="A33" s="2" t="s">
        <v>15</v>
      </c>
      <c r="B33">
        <v>181</v>
      </c>
      <c r="C33">
        <v>19</v>
      </c>
      <c r="D33">
        <v>1</v>
      </c>
      <c r="E33">
        <v>53</v>
      </c>
      <c r="F33">
        <v>30</v>
      </c>
      <c r="G33">
        <v>33</v>
      </c>
      <c r="H33">
        <v>40</v>
      </c>
      <c r="I33">
        <v>4</v>
      </c>
      <c r="J33">
        <v>16</v>
      </c>
      <c r="K33">
        <v>377</v>
      </c>
    </row>
    <row r="42" spans="1:13" x14ac:dyDescent="0.25">
      <c r="B42" s="10" t="s">
        <v>53</v>
      </c>
      <c r="C42" s="10" t="s">
        <v>54</v>
      </c>
      <c r="D42" s="10" t="s">
        <v>52</v>
      </c>
      <c r="E42" s="10" t="s">
        <v>9</v>
      </c>
      <c r="F42" s="10" t="s">
        <v>55</v>
      </c>
      <c r="G42" s="10" t="s">
        <v>11</v>
      </c>
      <c r="H42" s="10" t="s">
        <v>56</v>
      </c>
      <c r="I42" s="10" t="s">
        <v>57</v>
      </c>
      <c r="J42" s="10" t="s">
        <v>58</v>
      </c>
      <c r="K42" s="10" t="s">
        <v>35</v>
      </c>
      <c r="L42" s="10" t="s">
        <v>59</v>
      </c>
      <c r="M42" s="10" t="s">
        <v>60</v>
      </c>
    </row>
    <row r="43" spans="1:13" x14ac:dyDescent="0.25">
      <c r="A43" s="9" t="s">
        <v>61</v>
      </c>
      <c r="B43" s="24" t="e">
        <f>SUMIFS(Tabelle6[Anzahl Reihenklemme],Tabelle6[Geräte/Gewerke],"Steckdosen",Tabelle6[Kategorie],"mit Schaltaktor")+GETPIVOTDATA("Geräte/Gewerke",$A$3,"Geräte/Gewerke","Beleuchtung","Kategorie","nicht dimmbar","Verbindung","230 V AC")-GETPIVOTDATA("Geräte/Gewerke",$N$3,"Verbindung","230 V AC")+O18+GETPIVOTDATA("Geräte/Gewerke",$A$3,"Geräte/Gewerke","Bewässerung","Kategorie","Ventilaktor","Verbindung","230 V AC")</f>
        <v>#REF!</v>
      </c>
      <c r="C43">
        <f>GETPIVOTDATA("Geräte/Gewerke",$A$3,"Geräte/Gewerke","Beschattung","Verbindung","230 V AC - Beschattung")</f>
        <v>19</v>
      </c>
      <c r="D43" t="e">
        <f>GETPIVOTDATA("Geräte/Gewerke",$A$3,"Geräte/Gewerke","HeizungKlimaLüftung","Verbindung","230 V AC - Heizung")</f>
        <v>#REF!</v>
      </c>
      <c r="E43">
        <f>P18</f>
        <v>3</v>
      </c>
      <c r="F43">
        <f>GETPIVOTDATA("Geräte/Gewerke",$A$3,"Geräte/Gewerke","Sensoren","Verbindung","DIGITAL (potentialfrei)")</f>
        <v>18</v>
      </c>
      <c r="G43" t="e">
        <f>GETPIVOTDATA("Geräte/Gewerke",$A$3,"Verbindung","PoE")</f>
        <v>#REF!</v>
      </c>
      <c r="H43">
        <f>GETPIVOTDATA("Geräte/Gewerke",$A$3,"Geräte/Gewerke","Sensoren","Kategorie","Bewegungsmelder","Verbindung","KNX")</f>
        <v>10</v>
      </c>
      <c r="I43" t="e">
        <f>GETPIVOTDATA("Geräte/Gewerke",$A$3,"Geräte/Gewerke","Sensoren","Kategorie","Bewegungsmelder - außen","Verbindung","KNX")</f>
        <v>#REF!</v>
      </c>
      <c r="J43" t="e">
        <f>GETPIVOTDATA("Geräte/Gewerke",$A$3,"Geräte/Gewerke","Sensoren","Kategorie","Präsenzmelder","Verbindung","KNX")</f>
        <v>#REF!</v>
      </c>
      <c r="K43">
        <f>GETPIVOTDATA("Geräte/Gewerke",$A$3,"Geräte/Gewerke","Sensoren","Kategorie","Taster","Verbindung","KNX")</f>
        <v>4</v>
      </c>
      <c r="L43">
        <f>GETPIVOTDATA("Geräte/Gewerke",$A$3,"Geräte/Gewerke","Sensoren","Kategorie","Taster mit Temperaturmesser","Verbindung","KNX")</f>
        <v>10</v>
      </c>
      <c r="M43" t="e">
        <f>GETPIVOTDATA("Geräte/Gewerke",$A$3,"Geräte/Gewerke","Sensoren","Kategorie","Taster smart","Verbindung","KNX")</f>
        <v>#REF!</v>
      </c>
    </row>
    <row r="45" spans="1:13" x14ac:dyDescent="0.25">
      <c r="A45" s="9" t="s">
        <v>62</v>
      </c>
      <c r="B45" s="24" t="e">
        <f>B43+GETPIVOTDATA("Geräte/Gewerke",$A$3,"Geräte/Gewerke","Steckdosen","Kategorie","ohne Schaltaktor","Verbindung","230 V AC")+C43</f>
        <v>#REF!</v>
      </c>
    </row>
    <row r="123" spans="19:21" x14ac:dyDescent="0.25">
      <c r="U123" s="1"/>
    </row>
    <row r="125" spans="19:21" x14ac:dyDescent="0.25">
      <c r="S125" s="42"/>
      <c r="T125" s="43"/>
      <c r="U125" s="44"/>
    </row>
    <row r="126" spans="19:21" x14ac:dyDescent="0.25">
      <c r="S126" s="45"/>
      <c r="T126" s="46"/>
      <c r="U126" s="47"/>
    </row>
    <row r="127" spans="19:21" x14ac:dyDescent="0.25">
      <c r="S127" s="45"/>
      <c r="T127" s="46"/>
      <c r="U127" s="47"/>
    </row>
    <row r="128" spans="19:21" x14ac:dyDescent="0.25">
      <c r="S128" s="45"/>
      <c r="T128" s="46"/>
      <c r="U128" s="47"/>
    </row>
    <row r="129" spans="19:21" x14ac:dyDescent="0.25">
      <c r="S129" s="45"/>
      <c r="T129" s="46"/>
      <c r="U129" s="47"/>
    </row>
    <row r="130" spans="19:21" x14ac:dyDescent="0.25">
      <c r="S130" s="45"/>
      <c r="T130" s="46"/>
      <c r="U130" s="47"/>
    </row>
    <row r="131" spans="19:21" x14ac:dyDescent="0.25">
      <c r="S131" s="45"/>
      <c r="T131" s="46"/>
      <c r="U131" s="47"/>
    </row>
    <row r="132" spans="19:21" x14ac:dyDescent="0.25">
      <c r="S132" s="45"/>
      <c r="T132" s="46"/>
      <c r="U132" s="47"/>
    </row>
    <row r="133" spans="19:21" x14ac:dyDescent="0.25">
      <c r="S133" s="45"/>
      <c r="T133" s="46"/>
      <c r="U133" s="47"/>
    </row>
    <row r="134" spans="19:21" x14ac:dyDescent="0.25">
      <c r="S134" s="45"/>
      <c r="T134" s="46"/>
      <c r="U134" s="47"/>
    </row>
    <row r="135" spans="19:21" x14ac:dyDescent="0.25">
      <c r="S135" s="45"/>
      <c r="T135" s="46"/>
      <c r="U135" s="47"/>
    </row>
    <row r="136" spans="19:21" x14ac:dyDescent="0.25">
      <c r="S136" s="45"/>
      <c r="T136" s="46"/>
      <c r="U136" s="47"/>
    </row>
    <row r="137" spans="19:21" x14ac:dyDescent="0.25">
      <c r="S137" s="45"/>
      <c r="T137" s="46"/>
      <c r="U137" s="47"/>
    </row>
    <row r="138" spans="19:21" x14ac:dyDescent="0.25">
      <c r="S138" s="45"/>
      <c r="T138" s="46"/>
      <c r="U138" s="47"/>
    </row>
    <row r="139" spans="19:21" x14ac:dyDescent="0.25">
      <c r="S139" s="45"/>
      <c r="T139" s="46"/>
      <c r="U139" s="47"/>
    </row>
    <row r="140" spans="19:21" x14ac:dyDescent="0.25">
      <c r="S140" s="45"/>
      <c r="T140" s="46"/>
      <c r="U140" s="47"/>
    </row>
    <row r="141" spans="19:21" x14ac:dyDescent="0.25">
      <c r="S141" s="45"/>
      <c r="T141" s="46"/>
      <c r="U141" s="47"/>
    </row>
    <row r="142" spans="19:21" x14ac:dyDescent="0.25">
      <c r="S142" s="48"/>
      <c r="T142" s="49"/>
      <c r="U142" s="50"/>
    </row>
  </sheetData>
  <pageMargins left="0.7" right="0.7" top="0.78740157499999996" bottom="0.78740157499999996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theme="8" tint="-0.249977111117893"/>
    <pageSetUpPr fitToPage="1"/>
  </sheetPr>
  <dimension ref="B1:Q405"/>
  <sheetViews>
    <sheetView tabSelected="1" zoomScaleNormal="100" workbookViewId="0">
      <pane xSplit="8" ySplit="3" topLeftCell="I85" activePane="bottomRight" state="frozen"/>
      <selection pane="topRight" activeCell="H1" sqref="H1"/>
      <selection pane="bottomLeft" activeCell="A4" sqref="A4"/>
      <selection pane="bottomRight" activeCell="H21" sqref="H21"/>
    </sheetView>
  </sheetViews>
  <sheetFormatPr baseColWidth="10" defaultColWidth="11" defaultRowHeight="15.75" x14ac:dyDescent="0.25"/>
  <cols>
    <col min="1" max="1" width="3.5" customWidth="1"/>
    <col min="2" max="2" width="13.875" bestFit="1" customWidth="1"/>
    <col min="3" max="3" width="7.875" style="36" customWidth="1"/>
    <col min="4" max="4" width="6.625" customWidth="1"/>
    <col min="5" max="5" width="6.875" style="36" customWidth="1"/>
    <col min="6" max="6" width="15.375" customWidth="1"/>
    <col min="7" max="7" width="12.375" bestFit="1" customWidth="1"/>
    <col min="8" max="8" width="28.75" bestFit="1" customWidth="1"/>
    <col min="9" max="9" width="19.375" bestFit="1" customWidth="1"/>
    <col min="10" max="10" width="25.25" bestFit="1" customWidth="1"/>
    <col min="11" max="11" width="20.125" bestFit="1" customWidth="1"/>
    <col min="12" max="13" width="19.75" customWidth="1"/>
    <col min="14" max="14" width="8.25" customWidth="1"/>
    <col min="15" max="16" width="14" bestFit="1" customWidth="1"/>
    <col min="17" max="17" width="17.25" bestFit="1" customWidth="1"/>
  </cols>
  <sheetData>
    <row r="1" spans="2:17" ht="16.5" thickBot="1" x14ac:dyDescent="0.3"/>
    <row r="2" spans="2:17" ht="16.5" thickBot="1" x14ac:dyDescent="0.3">
      <c r="B2" s="86" t="s">
        <v>63</v>
      </c>
      <c r="C2" s="87"/>
      <c r="D2" s="87"/>
      <c r="E2" s="87"/>
      <c r="F2" s="87"/>
      <c r="G2" s="88"/>
      <c r="H2" s="84" t="s">
        <v>64</v>
      </c>
      <c r="I2" s="85"/>
      <c r="J2" s="85"/>
      <c r="K2" s="85"/>
      <c r="L2" s="85"/>
      <c r="M2" s="85"/>
      <c r="N2" s="85"/>
      <c r="O2" s="85"/>
      <c r="P2" s="85"/>
      <c r="Q2" s="85"/>
    </row>
    <row r="3" spans="2:17" s="2" customFormat="1" ht="16.5" thickBot="1" x14ac:dyDescent="0.3">
      <c r="B3" s="2" t="s">
        <v>65</v>
      </c>
      <c r="C3" s="2" t="s">
        <v>66</v>
      </c>
      <c r="D3" s="2" t="s">
        <v>67</v>
      </c>
      <c r="E3" s="2" t="s">
        <v>68</v>
      </c>
      <c r="F3" s="2" t="s">
        <v>69</v>
      </c>
      <c r="G3" s="2" t="s">
        <v>70</v>
      </c>
      <c r="H3" s="38" t="s">
        <v>0</v>
      </c>
      <c r="I3" s="40" t="s">
        <v>71</v>
      </c>
      <c r="J3" s="41" t="s">
        <v>72</v>
      </c>
      <c r="K3" s="38" t="s">
        <v>3</v>
      </c>
      <c r="L3" s="39" t="s">
        <v>1949</v>
      </c>
      <c r="M3" s="39" t="s">
        <v>1627</v>
      </c>
      <c r="N3" s="2" t="s">
        <v>73</v>
      </c>
      <c r="O3" s="2" t="s">
        <v>74</v>
      </c>
      <c r="P3" s="2" t="s">
        <v>1950</v>
      </c>
      <c r="Q3" s="2" t="s">
        <v>75</v>
      </c>
    </row>
    <row r="4" spans="2:17" x14ac:dyDescent="0.25">
      <c r="B4" s="27" t="s">
        <v>1613</v>
      </c>
      <c r="C4" s="37">
        <v>1</v>
      </c>
      <c r="D4" s="26" t="s">
        <v>84</v>
      </c>
      <c r="E4" s="37">
        <v>1</v>
      </c>
      <c r="F4" s="26" t="s">
        <v>28</v>
      </c>
      <c r="G4" s="74" t="s">
        <v>1685</v>
      </c>
      <c r="H4" s="26" t="s">
        <v>1675</v>
      </c>
      <c r="I4" s="26" t="s">
        <v>1676</v>
      </c>
      <c r="J4" s="26"/>
      <c r="K4" s="26" t="s">
        <v>14</v>
      </c>
      <c r="L4" s="26" t="s">
        <v>1639</v>
      </c>
      <c r="M4" s="26" t="s">
        <v>1649</v>
      </c>
      <c r="N4" s="26" t="s">
        <v>1678</v>
      </c>
      <c r="O4" s="26" t="str">
        <f>CONCATENATE(Tabelle132[[#This Row],[Raumcode]],".",Tabelle132[[#This Row],[Code]])</f>
        <v>E1.DL1</v>
      </c>
      <c r="P4" s="26"/>
      <c r="Q4" s="26" t="s">
        <v>83</v>
      </c>
    </row>
    <row r="5" spans="2:17" x14ac:dyDescent="0.25">
      <c r="B5" s="27" t="s">
        <v>1613</v>
      </c>
      <c r="C5" s="36">
        <v>1</v>
      </c>
      <c r="D5" t="s">
        <v>84</v>
      </c>
      <c r="E5" s="36">
        <v>1</v>
      </c>
      <c r="F5" t="s">
        <v>28</v>
      </c>
      <c r="G5" s="66" t="s">
        <v>1685</v>
      </c>
      <c r="H5" t="s">
        <v>1660</v>
      </c>
      <c r="I5" t="s">
        <v>17</v>
      </c>
      <c r="J5" t="s">
        <v>18</v>
      </c>
      <c r="K5" t="s">
        <v>9</v>
      </c>
      <c r="L5" t="s">
        <v>1640</v>
      </c>
      <c r="M5" t="s">
        <v>1555</v>
      </c>
      <c r="N5" t="s">
        <v>1621</v>
      </c>
      <c r="O5" t="str">
        <f>CONCATENATE(Tabelle132[[#This Row],[Raumcode]],".",Tabelle132[[#This Row],[Code]])</f>
        <v>E1.BL1</v>
      </c>
      <c r="Q5" t="s">
        <v>79</v>
      </c>
    </row>
    <row r="6" spans="2:17" x14ac:dyDescent="0.25">
      <c r="B6" s="27" t="s">
        <v>1613</v>
      </c>
      <c r="C6" s="36">
        <v>1</v>
      </c>
      <c r="D6" t="s">
        <v>84</v>
      </c>
      <c r="E6" s="36">
        <v>1</v>
      </c>
      <c r="F6" t="s">
        <v>28</v>
      </c>
      <c r="G6" s="66" t="s">
        <v>1685</v>
      </c>
      <c r="H6" t="s">
        <v>94</v>
      </c>
      <c r="I6" t="s">
        <v>17</v>
      </c>
      <c r="J6" t="s">
        <v>1614</v>
      </c>
      <c r="K6" t="s">
        <v>9</v>
      </c>
      <c r="L6" t="s">
        <v>1640</v>
      </c>
      <c r="M6" t="s">
        <v>1555</v>
      </c>
      <c r="N6" t="s">
        <v>1643</v>
      </c>
      <c r="O6" t="str">
        <f>CONCATENATE(Tabelle132[[#This Row],[Raumcode]],".",Tabelle132[[#This Row],[Code]])</f>
        <v>E1.BL2</v>
      </c>
      <c r="Q6" t="s">
        <v>83</v>
      </c>
    </row>
    <row r="7" spans="2:17" x14ac:dyDescent="0.25">
      <c r="B7" s="27" t="s">
        <v>1613</v>
      </c>
      <c r="C7" s="36">
        <v>1</v>
      </c>
      <c r="D7" t="s">
        <v>84</v>
      </c>
      <c r="E7" s="36">
        <v>1</v>
      </c>
      <c r="F7" t="s">
        <v>28</v>
      </c>
      <c r="G7" s="66" t="s">
        <v>1685</v>
      </c>
      <c r="H7" t="s">
        <v>95</v>
      </c>
      <c r="I7" t="s">
        <v>17</v>
      </c>
      <c r="J7" t="s">
        <v>1614</v>
      </c>
      <c r="K7" t="s">
        <v>9</v>
      </c>
      <c r="L7" t="s">
        <v>1640</v>
      </c>
      <c r="M7" t="s">
        <v>1555</v>
      </c>
      <c r="N7" t="s">
        <v>1644</v>
      </c>
      <c r="O7" t="str">
        <f>CONCATENATE(Tabelle132[[#This Row],[Raumcode]],".",Tabelle132[[#This Row],[Code]])</f>
        <v>E1.BL3</v>
      </c>
      <c r="Q7" t="s">
        <v>83</v>
      </c>
    </row>
    <row r="8" spans="2:17" x14ac:dyDescent="0.25">
      <c r="B8" s="27" t="s">
        <v>1613</v>
      </c>
      <c r="C8" s="36">
        <v>1</v>
      </c>
      <c r="D8" t="s">
        <v>84</v>
      </c>
      <c r="E8" s="36">
        <v>1</v>
      </c>
      <c r="F8" t="s">
        <v>28</v>
      </c>
      <c r="G8" s="66" t="s">
        <v>1685</v>
      </c>
      <c r="H8" t="s">
        <v>96</v>
      </c>
      <c r="I8" t="s">
        <v>17</v>
      </c>
      <c r="J8" t="s">
        <v>1614</v>
      </c>
      <c r="K8" t="s">
        <v>9</v>
      </c>
      <c r="L8" t="s">
        <v>1640</v>
      </c>
      <c r="M8" t="s">
        <v>1555</v>
      </c>
      <c r="N8" t="s">
        <v>1645</v>
      </c>
      <c r="O8" t="str">
        <f>CONCATENATE(Tabelle132[[#This Row],[Raumcode]],".",Tabelle132[[#This Row],[Code]])</f>
        <v>E1.BL4</v>
      </c>
      <c r="Q8" t="s">
        <v>83</v>
      </c>
    </row>
    <row r="9" spans="2:17" x14ac:dyDescent="0.25">
      <c r="B9" s="27" t="s">
        <v>1613</v>
      </c>
      <c r="C9" s="36">
        <v>1</v>
      </c>
      <c r="D9" t="s">
        <v>84</v>
      </c>
      <c r="E9" s="36">
        <v>1</v>
      </c>
      <c r="F9" t="s">
        <v>28</v>
      </c>
      <c r="G9" s="66" t="s">
        <v>1685</v>
      </c>
      <c r="H9" t="s">
        <v>97</v>
      </c>
      <c r="I9" t="s">
        <v>17</v>
      </c>
      <c r="J9" t="s">
        <v>1614</v>
      </c>
      <c r="K9" t="s">
        <v>9</v>
      </c>
      <c r="L9" t="s">
        <v>1640</v>
      </c>
      <c r="M9" t="s">
        <v>1555</v>
      </c>
      <c r="N9" t="s">
        <v>1646</v>
      </c>
      <c r="O9" t="str">
        <f>CONCATENATE(Tabelle132[[#This Row],[Raumcode]],".",Tabelle132[[#This Row],[Code]])</f>
        <v>E1.BL5</v>
      </c>
      <c r="Q9" t="s">
        <v>83</v>
      </c>
    </row>
    <row r="10" spans="2:17" x14ac:dyDescent="0.25">
      <c r="B10" s="27" t="s">
        <v>1613</v>
      </c>
      <c r="C10" s="36">
        <v>1</v>
      </c>
      <c r="D10" t="s">
        <v>84</v>
      </c>
      <c r="E10" s="36">
        <v>1</v>
      </c>
      <c r="F10" t="s">
        <v>28</v>
      </c>
      <c r="G10" s="66" t="s">
        <v>1685</v>
      </c>
      <c r="H10" t="s">
        <v>98</v>
      </c>
      <c r="I10" t="s">
        <v>17</v>
      </c>
      <c r="J10" t="s">
        <v>1614</v>
      </c>
      <c r="K10" t="s">
        <v>9</v>
      </c>
      <c r="L10" t="s">
        <v>1640</v>
      </c>
      <c r="M10" t="s">
        <v>1555</v>
      </c>
      <c r="N10" t="s">
        <v>1647</v>
      </c>
      <c r="O10" t="str">
        <f>CONCATENATE(Tabelle132[[#This Row],[Raumcode]],".",Tabelle132[[#This Row],[Code]])</f>
        <v>E1.BL6</v>
      </c>
      <c r="Q10" t="s">
        <v>83</v>
      </c>
    </row>
    <row r="11" spans="2:17" x14ac:dyDescent="0.25">
      <c r="B11" s="27" t="s">
        <v>1613</v>
      </c>
      <c r="C11" s="36">
        <v>1</v>
      </c>
      <c r="D11" t="s">
        <v>84</v>
      </c>
      <c r="E11" s="36">
        <v>1</v>
      </c>
      <c r="F11" t="s">
        <v>28</v>
      </c>
      <c r="G11" s="66" t="s">
        <v>1685</v>
      </c>
      <c r="H11" t="s">
        <v>99</v>
      </c>
      <c r="I11" t="s">
        <v>17</v>
      </c>
      <c r="J11" t="s">
        <v>1614</v>
      </c>
      <c r="K11" t="s">
        <v>9</v>
      </c>
      <c r="L11" t="s">
        <v>1640</v>
      </c>
      <c r="M11" t="s">
        <v>1555</v>
      </c>
      <c r="N11" t="s">
        <v>1648</v>
      </c>
      <c r="O11" t="str">
        <f>CONCATENATE(Tabelle132[[#This Row],[Raumcode]],".",Tabelle132[[#This Row],[Code]])</f>
        <v>E1.BL7</v>
      </c>
      <c r="Q11" t="s">
        <v>83</v>
      </c>
    </row>
    <row r="12" spans="2:17" x14ac:dyDescent="0.25">
      <c r="B12" s="27" t="s">
        <v>1613</v>
      </c>
      <c r="C12" s="36">
        <v>1</v>
      </c>
      <c r="D12" t="s">
        <v>84</v>
      </c>
      <c r="E12" s="36">
        <v>1</v>
      </c>
      <c r="F12" t="s">
        <v>28</v>
      </c>
      <c r="G12" s="66" t="s">
        <v>1685</v>
      </c>
      <c r="H12" t="s">
        <v>100</v>
      </c>
      <c r="I12" t="s">
        <v>17</v>
      </c>
      <c r="J12" t="s">
        <v>1614</v>
      </c>
      <c r="K12" t="s">
        <v>9</v>
      </c>
      <c r="L12" t="s">
        <v>1640</v>
      </c>
      <c r="M12" t="s">
        <v>1555</v>
      </c>
      <c r="N12" t="s">
        <v>1653</v>
      </c>
      <c r="O12" t="str">
        <f>CONCATENATE(Tabelle132[[#This Row],[Raumcode]],".",Tabelle132[[#This Row],[Code]])</f>
        <v>E1.BL8</v>
      </c>
      <c r="Q12" t="s">
        <v>83</v>
      </c>
    </row>
    <row r="13" spans="2:17" x14ac:dyDescent="0.25">
      <c r="B13" s="27" t="s">
        <v>1613</v>
      </c>
      <c r="C13" s="36">
        <v>1</v>
      </c>
      <c r="D13" t="s">
        <v>84</v>
      </c>
      <c r="E13" s="36">
        <v>1</v>
      </c>
      <c r="F13" t="s">
        <v>28</v>
      </c>
      <c r="G13" s="66" t="s">
        <v>1685</v>
      </c>
      <c r="H13" t="s">
        <v>101</v>
      </c>
      <c r="I13" t="s">
        <v>17</v>
      </c>
      <c r="J13" t="s">
        <v>1614</v>
      </c>
      <c r="K13" t="s">
        <v>9</v>
      </c>
      <c r="L13" t="s">
        <v>1640</v>
      </c>
      <c r="M13" t="s">
        <v>1555</v>
      </c>
      <c r="N13" t="s">
        <v>1654</v>
      </c>
      <c r="O13" t="str">
        <f>CONCATENATE(Tabelle132[[#This Row],[Raumcode]],".",Tabelle132[[#This Row],[Code]])</f>
        <v>E1.BL9</v>
      </c>
      <c r="Q13" t="s">
        <v>83</v>
      </c>
    </row>
    <row r="14" spans="2:17" x14ac:dyDescent="0.25">
      <c r="B14" s="27" t="s">
        <v>1613</v>
      </c>
      <c r="C14" s="36">
        <v>1</v>
      </c>
      <c r="D14" t="s">
        <v>84</v>
      </c>
      <c r="E14" s="36">
        <v>1</v>
      </c>
      <c r="F14" t="s">
        <v>28</v>
      </c>
      <c r="G14" s="66" t="s">
        <v>1685</v>
      </c>
      <c r="H14" t="s">
        <v>1661</v>
      </c>
      <c r="I14" t="s">
        <v>17</v>
      </c>
      <c r="J14" t="s">
        <v>18</v>
      </c>
      <c r="K14" t="s">
        <v>9</v>
      </c>
      <c r="L14" t="s">
        <v>1640</v>
      </c>
      <c r="M14" t="s">
        <v>1555</v>
      </c>
      <c r="N14" t="s">
        <v>1659</v>
      </c>
      <c r="O14" t="str">
        <f>CONCATENATE(Tabelle132[[#This Row],[Raumcode]],".",Tabelle132[[#This Row],[Code]])</f>
        <v>E1.BL10</v>
      </c>
      <c r="Q14" t="s">
        <v>77</v>
      </c>
    </row>
    <row r="15" spans="2:17" x14ac:dyDescent="0.25">
      <c r="B15" s="27" t="s">
        <v>1613</v>
      </c>
      <c r="C15" s="36">
        <v>1</v>
      </c>
      <c r="D15" t="s">
        <v>84</v>
      </c>
      <c r="E15" s="36">
        <v>1</v>
      </c>
      <c r="F15" t="s">
        <v>28</v>
      </c>
      <c r="G15" s="66" t="s">
        <v>1685</v>
      </c>
      <c r="H15" t="s">
        <v>1662</v>
      </c>
      <c r="I15" t="s">
        <v>17</v>
      </c>
      <c r="J15" t="s">
        <v>18</v>
      </c>
      <c r="K15" t="s">
        <v>9</v>
      </c>
      <c r="L15" t="s">
        <v>1640</v>
      </c>
      <c r="M15" t="s">
        <v>1555</v>
      </c>
      <c r="N15" t="s">
        <v>1663</v>
      </c>
      <c r="O15" t="str">
        <f>CONCATENATE(Tabelle132[[#This Row],[Raumcode]],".",Tabelle132[[#This Row],[Code]])</f>
        <v>E1.BL11</v>
      </c>
      <c r="Q15" t="s">
        <v>77</v>
      </c>
    </row>
    <row r="16" spans="2:17" x14ac:dyDescent="0.25">
      <c r="B16" s="27" t="s">
        <v>1613</v>
      </c>
      <c r="C16" s="36">
        <v>1</v>
      </c>
      <c r="D16" t="s">
        <v>84</v>
      </c>
      <c r="E16" s="36">
        <v>1</v>
      </c>
      <c r="F16" t="s">
        <v>28</v>
      </c>
      <c r="G16" s="66" t="s">
        <v>1685</v>
      </c>
      <c r="H16" t="s">
        <v>1735</v>
      </c>
      <c r="I16" t="s">
        <v>29</v>
      </c>
      <c r="J16" t="s">
        <v>37</v>
      </c>
      <c r="K16" t="s">
        <v>10</v>
      </c>
      <c r="L16" t="s">
        <v>10</v>
      </c>
      <c r="M16" t="s">
        <v>1638</v>
      </c>
      <c r="N16" t="s">
        <v>109</v>
      </c>
      <c r="O16" t="str">
        <f>CONCATENATE(Tabelle132[[#This Row],[Raumcode]],".",Tabelle132[[#This Row],[Code]])</f>
        <v>E1.TS1</v>
      </c>
      <c r="Q16" t="s">
        <v>77</v>
      </c>
    </row>
    <row r="17" spans="2:17" x14ac:dyDescent="0.25">
      <c r="B17" s="27" t="s">
        <v>1613</v>
      </c>
      <c r="C17" s="36">
        <v>1</v>
      </c>
      <c r="D17" t="s">
        <v>84</v>
      </c>
      <c r="E17" s="36">
        <v>1</v>
      </c>
      <c r="F17" t="s">
        <v>28</v>
      </c>
      <c r="G17" s="66" t="s">
        <v>1685</v>
      </c>
      <c r="H17" t="s">
        <v>1735</v>
      </c>
      <c r="I17" t="s">
        <v>29</v>
      </c>
      <c r="J17" t="s">
        <v>37</v>
      </c>
      <c r="K17" t="s">
        <v>10</v>
      </c>
      <c r="L17" t="s">
        <v>10</v>
      </c>
      <c r="M17" t="s">
        <v>1638</v>
      </c>
      <c r="N17" t="s">
        <v>1768</v>
      </c>
      <c r="O17" t="str">
        <f>CONCATENATE(Tabelle132[[#This Row],[Raumcode]],".",Tabelle132[[#This Row],[Code]])</f>
        <v>E1.TS2</v>
      </c>
      <c r="Q17" t="s">
        <v>77</v>
      </c>
    </row>
    <row r="18" spans="2:17" x14ac:dyDescent="0.25">
      <c r="B18" s="27" t="s">
        <v>1613</v>
      </c>
      <c r="C18" s="36">
        <v>1</v>
      </c>
      <c r="D18" t="s">
        <v>84</v>
      </c>
      <c r="E18" s="36">
        <v>1</v>
      </c>
      <c r="F18" t="s">
        <v>28</v>
      </c>
      <c r="G18" s="66" t="s">
        <v>1685</v>
      </c>
      <c r="H18" t="s">
        <v>33</v>
      </c>
      <c r="I18" t="s">
        <v>29</v>
      </c>
      <c r="J18" t="s">
        <v>33</v>
      </c>
      <c r="K18" t="s">
        <v>10</v>
      </c>
      <c r="L18" t="s">
        <v>10</v>
      </c>
      <c r="M18" t="s">
        <v>1638</v>
      </c>
      <c r="N18" t="s">
        <v>89</v>
      </c>
      <c r="O18" t="str">
        <f>CONCATENATE(Tabelle132[[#This Row],[Raumcode]],".",Tabelle132[[#This Row],[Code]])</f>
        <v>E1.BM1</v>
      </c>
      <c r="Q18" t="s">
        <v>83</v>
      </c>
    </row>
    <row r="19" spans="2:17" x14ac:dyDescent="0.25">
      <c r="B19" s="27" t="s">
        <v>1613</v>
      </c>
      <c r="C19" s="36">
        <v>1</v>
      </c>
      <c r="D19" t="s">
        <v>84</v>
      </c>
      <c r="E19" s="36">
        <v>1</v>
      </c>
      <c r="F19" t="s">
        <v>28</v>
      </c>
      <c r="G19" s="66" t="s">
        <v>1685</v>
      </c>
      <c r="H19" t="s">
        <v>80</v>
      </c>
      <c r="I19" t="s">
        <v>46</v>
      </c>
      <c r="J19" t="s">
        <v>48</v>
      </c>
      <c r="K19" t="s">
        <v>6</v>
      </c>
      <c r="L19" t="s">
        <v>1623</v>
      </c>
      <c r="M19" t="s">
        <v>1634</v>
      </c>
      <c r="N19" t="s">
        <v>1620</v>
      </c>
      <c r="O19" t="str">
        <f>CONCATENATE(Tabelle132[[#This Row],[Raumcode]],".",Tabelle132[[#This Row],[Code]])</f>
        <v>E1.SD1</v>
      </c>
      <c r="Q19" t="s">
        <v>79</v>
      </c>
    </row>
    <row r="20" spans="2:17" x14ac:dyDescent="0.25">
      <c r="B20" s="27" t="s">
        <v>1613</v>
      </c>
      <c r="C20" s="36">
        <v>1</v>
      </c>
      <c r="D20" t="s">
        <v>84</v>
      </c>
      <c r="E20" s="36">
        <v>1</v>
      </c>
      <c r="F20" t="s">
        <v>28</v>
      </c>
      <c r="G20" s="66" t="s">
        <v>1685</v>
      </c>
      <c r="H20" t="s">
        <v>82</v>
      </c>
      <c r="I20" t="s">
        <v>46</v>
      </c>
      <c r="J20" t="s">
        <v>48</v>
      </c>
      <c r="K20" t="s">
        <v>6</v>
      </c>
      <c r="L20" t="s">
        <v>1623</v>
      </c>
      <c r="M20" t="s">
        <v>1634</v>
      </c>
      <c r="N20" t="s">
        <v>1668</v>
      </c>
      <c r="O20" t="str">
        <f>CONCATENATE(Tabelle132[[#This Row],[Raumcode]],".",Tabelle132[[#This Row],[Code]])</f>
        <v>E1.SD2</v>
      </c>
      <c r="Q20" t="s">
        <v>79</v>
      </c>
    </row>
    <row r="21" spans="2:17" x14ac:dyDescent="0.25">
      <c r="B21" s="27" t="s">
        <v>1613</v>
      </c>
      <c r="C21" s="36">
        <v>1</v>
      </c>
      <c r="D21" t="s">
        <v>84</v>
      </c>
      <c r="E21" s="36">
        <v>1</v>
      </c>
      <c r="F21" t="s">
        <v>28</v>
      </c>
      <c r="G21" s="66" t="s">
        <v>1685</v>
      </c>
      <c r="H21" t="s">
        <v>113</v>
      </c>
      <c r="I21" t="s">
        <v>46</v>
      </c>
      <c r="J21" t="s">
        <v>48</v>
      </c>
      <c r="K21" t="s">
        <v>6</v>
      </c>
      <c r="L21" t="s">
        <v>1623</v>
      </c>
      <c r="M21" t="s">
        <v>1634</v>
      </c>
      <c r="N21" t="s">
        <v>1669</v>
      </c>
      <c r="O21" t="str">
        <f>CONCATENATE(Tabelle132[[#This Row],[Raumcode]],".",Tabelle132[[#This Row],[Code]])</f>
        <v>E1.SD3</v>
      </c>
      <c r="Q21" t="s">
        <v>79</v>
      </c>
    </row>
    <row r="22" spans="2:17" x14ac:dyDescent="0.25">
      <c r="B22" s="27" t="s">
        <v>1613</v>
      </c>
      <c r="C22" s="36">
        <v>1</v>
      </c>
      <c r="D22" t="s">
        <v>84</v>
      </c>
      <c r="E22" s="36">
        <v>1</v>
      </c>
      <c r="F22" t="s">
        <v>28</v>
      </c>
      <c r="G22" s="66" t="s">
        <v>1685</v>
      </c>
      <c r="H22" t="s">
        <v>121</v>
      </c>
      <c r="I22" t="s">
        <v>46</v>
      </c>
      <c r="J22" t="s">
        <v>48</v>
      </c>
      <c r="K22" t="s">
        <v>6</v>
      </c>
      <c r="L22" t="s">
        <v>1623</v>
      </c>
      <c r="M22" t="s">
        <v>1634</v>
      </c>
      <c r="N22" t="s">
        <v>1670</v>
      </c>
      <c r="O22" t="str">
        <f>CONCATENATE(Tabelle132[[#This Row],[Raumcode]],".",Tabelle132[[#This Row],[Code]])</f>
        <v>E1.SD4</v>
      </c>
      <c r="Q22" t="s">
        <v>79</v>
      </c>
    </row>
    <row r="23" spans="2:17" x14ac:dyDescent="0.25">
      <c r="B23" s="27" t="s">
        <v>1613</v>
      </c>
      <c r="C23" s="36">
        <v>1</v>
      </c>
      <c r="D23" t="s">
        <v>84</v>
      </c>
      <c r="E23" s="36">
        <v>1</v>
      </c>
      <c r="F23" t="s">
        <v>28</v>
      </c>
      <c r="G23" s="66" t="s">
        <v>1685</v>
      </c>
      <c r="H23" t="s">
        <v>1672</v>
      </c>
      <c r="I23" t="s">
        <v>46</v>
      </c>
      <c r="J23" t="s">
        <v>48</v>
      </c>
      <c r="K23" t="s">
        <v>6</v>
      </c>
      <c r="L23" t="s">
        <v>1623</v>
      </c>
      <c r="M23" t="s">
        <v>1634</v>
      </c>
      <c r="N23" t="s">
        <v>1671</v>
      </c>
      <c r="O23" t="str">
        <f>CONCATENATE(Tabelle132[[#This Row],[Raumcode]],".",Tabelle132[[#This Row],[Code]])</f>
        <v>E1.SD5</v>
      </c>
      <c r="Q23" t="s">
        <v>79</v>
      </c>
    </row>
    <row r="24" spans="2:17" x14ac:dyDescent="0.25">
      <c r="B24" s="27" t="s">
        <v>1613</v>
      </c>
      <c r="C24" s="36">
        <v>1</v>
      </c>
      <c r="D24" t="s">
        <v>84</v>
      </c>
      <c r="E24" s="36">
        <v>1</v>
      </c>
      <c r="F24" t="s">
        <v>28</v>
      </c>
      <c r="G24" s="66" t="s">
        <v>1685</v>
      </c>
      <c r="H24" t="s">
        <v>1674</v>
      </c>
      <c r="I24" t="s">
        <v>46</v>
      </c>
      <c r="J24" t="s">
        <v>48</v>
      </c>
      <c r="K24" t="s">
        <v>6</v>
      </c>
      <c r="L24" t="s">
        <v>1623</v>
      </c>
      <c r="M24" t="s">
        <v>1634</v>
      </c>
      <c r="N24" t="s">
        <v>1673</v>
      </c>
      <c r="O24" t="str">
        <f>CONCATENATE(Tabelle132[[#This Row],[Raumcode]],".",Tabelle132[[#This Row],[Code]])</f>
        <v>E1.SD6</v>
      </c>
      <c r="Q24" t="s">
        <v>79</v>
      </c>
    </row>
    <row r="25" spans="2:17" x14ac:dyDescent="0.25">
      <c r="B25" s="27" t="s">
        <v>1613</v>
      </c>
      <c r="C25" s="36">
        <v>1</v>
      </c>
      <c r="D25" t="s">
        <v>84</v>
      </c>
      <c r="E25" s="36">
        <v>1</v>
      </c>
      <c r="F25" t="s">
        <v>28</v>
      </c>
      <c r="G25" s="66" t="s">
        <v>1685</v>
      </c>
      <c r="H25" t="s">
        <v>1751</v>
      </c>
      <c r="I25" t="s">
        <v>46</v>
      </c>
      <c r="J25" t="s">
        <v>49</v>
      </c>
      <c r="K25" t="s">
        <v>6</v>
      </c>
      <c r="L25" t="s">
        <v>1625</v>
      </c>
      <c r="M25" t="s">
        <v>1629</v>
      </c>
      <c r="N25" t="s">
        <v>1721</v>
      </c>
      <c r="O25" t="str">
        <f>CONCATENATE(Tabelle132[[#This Row],[Raumcode]],".",Tabelle132[[#This Row],[Code]])</f>
        <v>E1.SD7</v>
      </c>
      <c r="Q25" t="s">
        <v>77</v>
      </c>
    </row>
    <row r="26" spans="2:17" x14ac:dyDescent="0.25">
      <c r="B26" s="27" t="s">
        <v>1613</v>
      </c>
      <c r="C26" s="36">
        <v>1</v>
      </c>
      <c r="D26" t="s">
        <v>84</v>
      </c>
      <c r="E26" s="36">
        <v>1</v>
      </c>
      <c r="F26" t="s">
        <v>28</v>
      </c>
      <c r="G26" s="66" t="s">
        <v>1685</v>
      </c>
      <c r="H26" t="s">
        <v>1615</v>
      </c>
      <c r="I26" t="s">
        <v>46</v>
      </c>
      <c r="J26" t="s">
        <v>49</v>
      </c>
      <c r="K26" t="s">
        <v>1615</v>
      </c>
      <c r="L26" t="s">
        <v>1615</v>
      </c>
      <c r="M26" t="s">
        <v>1649</v>
      </c>
      <c r="N26" t="s">
        <v>1650</v>
      </c>
      <c r="O26" t="str">
        <f>CONCATENATE(Tabelle132[[#This Row],[Raumcode]],".",Tabelle132[[#This Row],[Code]])</f>
        <v>E1.HD1</v>
      </c>
      <c r="Q26" t="s">
        <v>77</v>
      </c>
    </row>
    <row r="27" spans="2:17" x14ac:dyDescent="0.25">
      <c r="B27" s="27" t="s">
        <v>1613</v>
      </c>
      <c r="C27" s="36">
        <v>1</v>
      </c>
      <c r="D27" t="s">
        <v>84</v>
      </c>
      <c r="E27" s="36">
        <v>1</v>
      </c>
      <c r="F27" t="s">
        <v>28</v>
      </c>
      <c r="G27" s="66" t="s">
        <v>1685</v>
      </c>
      <c r="H27" t="s">
        <v>1682</v>
      </c>
      <c r="I27" t="s">
        <v>46</v>
      </c>
      <c r="J27" t="s">
        <v>49</v>
      </c>
      <c r="K27" t="s">
        <v>104</v>
      </c>
      <c r="L27" t="s">
        <v>1626</v>
      </c>
      <c r="M27" t="s">
        <v>1649</v>
      </c>
      <c r="N27" t="s">
        <v>1681</v>
      </c>
      <c r="O27" t="str">
        <f>CONCATENATE(Tabelle132[[#This Row],[Raumcode]],".",Tabelle132[[#This Row],[Code]])</f>
        <v>E1.ND1</v>
      </c>
      <c r="Q27" t="s">
        <v>77</v>
      </c>
    </row>
    <row r="28" spans="2:17" x14ac:dyDescent="0.25">
      <c r="B28" s="27" t="s">
        <v>1613</v>
      </c>
      <c r="C28" s="36">
        <v>1</v>
      </c>
      <c r="D28" t="s">
        <v>84</v>
      </c>
      <c r="E28" s="36">
        <v>1</v>
      </c>
      <c r="F28" t="s">
        <v>28</v>
      </c>
      <c r="G28" s="66" t="s">
        <v>1685</v>
      </c>
      <c r="H28" t="s">
        <v>1652</v>
      </c>
      <c r="I28" t="s">
        <v>255</v>
      </c>
      <c r="J28" t="s">
        <v>1657</v>
      </c>
      <c r="K28" t="s">
        <v>13</v>
      </c>
      <c r="L28" t="s">
        <v>1640</v>
      </c>
      <c r="M28" t="s">
        <v>1632</v>
      </c>
      <c r="N28" t="s">
        <v>1651</v>
      </c>
      <c r="O28" t="str">
        <f>CONCATENATE(Tabelle132[[#This Row],[Raumcode]],".",Tabelle132[[#This Row],[Code]])</f>
        <v>E1.DA1</v>
      </c>
    </row>
    <row r="29" spans="2:17" x14ac:dyDescent="0.25">
      <c r="B29" s="27" t="s">
        <v>1613</v>
      </c>
      <c r="C29" s="36">
        <v>1</v>
      </c>
      <c r="D29" t="s">
        <v>84</v>
      </c>
      <c r="E29" s="36">
        <v>1</v>
      </c>
      <c r="F29" t="s">
        <v>28</v>
      </c>
      <c r="G29" s="66" t="s">
        <v>1685</v>
      </c>
      <c r="H29" t="s">
        <v>1655</v>
      </c>
      <c r="I29" t="s">
        <v>255</v>
      </c>
      <c r="J29" t="s">
        <v>1656</v>
      </c>
      <c r="K29" t="s">
        <v>13</v>
      </c>
      <c r="L29" t="s">
        <v>1640</v>
      </c>
      <c r="M29" t="s">
        <v>1632</v>
      </c>
      <c r="N29" t="s">
        <v>1658</v>
      </c>
      <c r="O29" t="str">
        <f>CONCATENATE(Tabelle132[[#This Row],[Raumcode]],".",Tabelle132[[#This Row],[Code]])</f>
        <v>E1.DA2</v>
      </c>
      <c r="Q29" s="28"/>
    </row>
    <row r="30" spans="2:17" x14ac:dyDescent="0.25">
      <c r="B30" s="27" t="s">
        <v>1613</v>
      </c>
      <c r="C30" s="36">
        <v>1</v>
      </c>
      <c r="D30" t="s">
        <v>84</v>
      </c>
      <c r="E30" s="36">
        <v>1</v>
      </c>
      <c r="F30" t="s">
        <v>28</v>
      </c>
      <c r="G30" s="66" t="s">
        <v>1685</v>
      </c>
      <c r="H30" t="s">
        <v>1664</v>
      </c>
      <c r="I30" t="s">
        <v>255</v>
      </c>
      <c r="J30" t="s">
        <v>1656</v>
      </c>
      <c r="K30" t="s">
        <v>13</v>
      </c>
      <c r="L30" t="s">
        <v>1640</v>
      </c>
      <c r="M30" t="s">
        <v>1632</v>
      </c>
      <c r="N30" t="s">
        <v>1665</v>
      </c>
      <c r="O30" t="str">
        <f>CONCATENATE(Tabelle132[[#This Row],[Raumcode]],".",Tabelle132[[#This Row],[Code]])</f>
        <v>E1.DA3</v>
      </c>
      <c r="Q30" s="28"/>
    </row>
    <row r="31" spans="2:17" x14ac:dyDescent="0.25">
      <c r="B31" s="27" t="s">
        <v>1613</v>
      </c>
      <c r="C31" s="36">
        <v>1</v>
      </c>
      <c r="D31" t="s">
        <v>84</v>
      </c>
      <c r="E31" s="36">
        <v>1</v>
      </c>
      <c r="F31" t="s">
        <v>28</v>
      </c>
      <c r="G31" s="66" t="s">
        <v>1685</v>
      </c>
      <c r="H31" t="s">
        <v>1666</v>
      </c>
      <c r="I31" t="s">
        <v>255</v>
      </c>
      <c r="J31" t="s">
        <v>1656</v>
      </c>
      <c r="K31" t="s">
        <v>13</v>
      </c>
      <c r="L31" t="s">
        <v>1640</v>
      </c>
      <c r="M31" t="s">
        <v>1632</v>
      </c>
      <c r="N31" t="s">
        <v>1667</v>
      </c>
      <c r="O31" t="str">
        <f>CONCATENATE(Tabelle132[[#This Row],[Raumcode]],".",Tabelle132[[#This Row],[Code]])</f>
        <v>E1.DA4</v>
      </c>
    </row>
    <row r="32" spans="2:17" x14ac:dyDescent="0.25">
      <c r="B32" s="27" t="s">
        <v>1613</v>
      </c>
      <c r="C32" s="36">
        <v>1</v>
      </c>
      <c r="D32" t="s">
        <v>84</v>
      </c>
      <c r="E32" s="36">
        <v>1</v>
      </c>
      <c r="F32" t="s">
        <v>28</v>
      </c>
      <c r="G32" s="66" t="s">
        <v>1685</v>
      </c>
      <c r="H32" t="s">
        <v>1683</v>
      </c>
      <c r="I32" t="s">
        <v>50</v>
      </c>
      <c r="J32" t="s">
        <v>1597</v>
      </c>
      <c r="K32" t="s">
        <v>13</v>
      </c>
      <c r="L32" t="s">
        <v>1640</v>
      </c>
      <c r="M32" t="s">
        <v>1634</v>
      </c>
      <c r="N32" t="s">
        <v>1684</v>
      </c>
      <c r="O32" t="str">
        <f>CONCATENATE(Tabelle132[[#This Row],[Raumcode]],".",Tabelle132[[#This Row],[Code]])</f>
        <v>E1.ZK1</v>
      </c>
      <c r="Q32" t="s">
        <v>79</v>
      </c>
    </row>
    <row r="33" spans="2:17" x14ac:dyDescent="0.25">
      <c r="B33" s="27" t="s">
        <v>116</v>
      </c>
      <c r="C33" s="36">
        <v>2</v>
      </c>
      <c r="D33" t="s">
        <v>117</v>
      </c>
      <c r="E33" s="36">
        <v>1</v>
      </c>
      <c r="F33" t="s">
        <v>118</v>
      </c>
      <c r="G33" s="66" t="s">
        <v>1825</v>
      </c>
      <c r="H33" t="s">
        <v>1759</v>
      </c>
      <c r="I33" t="s">
        <v>1676</v>
      </c>
      <c r="K33" t="s">
        <v>14</v>
      </c>
      <c r="L33" t="s">
        <v>1639</v>
      </c>
      <c r="M33" t="s">
        <v>1649</v>
      </c>
      <c r="N33" t="s">
        <v>1678</v>
      </c>
      <c r="O33" t="str">
        <f>CONCATENATE(Tabelle132[[#This Row],[Raumcode]],".",Tabelle132[[#This Row],[Code]])</f>
        <v>O1.DL1</v>
      </c>
      <c r="Q33" t="s">
        <v>83</v>
      </c>
    </row>
    <row r="34" spans="2:17" x14ac:dyDescent="0.25">
      <c r="B34" s="27" t="s">
        <v>116</v>
      </c>
      <c r="C34" s="36">
        <v>2</v>
      </c>
      <c r="D34" t="s">
        <v>117</v>
      </c>
      <c r="E34" s="36">
        <v>1</v>
      </c>
      <c r="F34" t="s">
        <v>118</v>
      </c>
      <c r="G34" s="66" t="s">
        <v>1825</v>
      </c>
      <c r="H34" t="s">
        <v>1760</v>
      </c>
      <c r="I34" t="s">
        <v>1676</v>
      </c>
      <c r="K34" t="s">
        <v>14</v>
      </c>
      <c r="L34" t="s">
        <v>1639</v>
      </c>
      <c r="M34" t="s">
        <v>1649</v>
      </c>
      <c r="N34" t="s">
        <v>1746</v>
      </c>
      <c r="O34" t="str">
        <f>CONCATENATE(Tabelle132[[#This Row],[Raumcode]],".",Tabelle132[[#This Row],[Code]])</f>
        <v>O1.DL2</v>
      </c>
      <c r="Q34" t="s">
        <v>83</v>
      </c>
    </row>
    <row r="35" spans="2:17" x14ac:dyDescent="0.25">
      <c r="B35" s="27" t="s">
        <v>116</v>
      </c>
      <c r="C35" s="36">
        <v>2</v>
      </c>
      <c r="D35" t="s">
        <v>117</v>
      </c>
      <c r="E35" s="36">
        <v>1</v>
      </c>
      <c r="F35" t="s">
        <v>118</v>
      </c>
      <c r="G35" s="66" t="s">
        <v>1825</v>
      </c>
      <c r="H35" t="s">
        <v>1740</v>
      </c>
      <c r="I35" t="s">
        <v>17</v>
      </c>
      <c r="J35" t="s">
        <v>1614</v>
      </c>
      <c r="K35" t="s">
        <v>9</v>
      </c>
      <c r="L35" t="s">
        <v>1640</v>
      </c>
      <c r="M35" t="s">
        <v>1555</v>
      </c>
      <c r="N35" t="s">
        <v>1621</v>
      </c>
      <c r="O35" t="str">
        <f>CONCATENATE(Tabelle132[[#This Row],[Raumcode]],".",Tabelle132[[#This Row],[Code]])</f>
        <v>O1.BL1</v>
      </c>
      <c r="Q35" t="s">
        <v>83</v>
      </c>
    </row>
    <row r="36" spans="2:17" x14ac:dyDescent="0.25">
      <c r="B36" s="27" t="s">
        <v>116</v>
      </c>
      <c r="C36" s="36">
        <v>2</v>
      </c>
      <c r="D36" t="s">
        <v>117</v>
      </c>
      <c r="E36" s="36">
        <v>1</v>
      </c>
      <c r="F36" t="s">
        <v>118</v>
      </c>
      <c r="G36" s="66" t="s">
        <v>1825</v>
      </c>
      <c r="H36" t="s">
        <v>1749</v>
      </c>
      <c r="I36" t="s">
        <v>21</v>
      </c>
      <c r="J36" t="s">
        <v>87</v>
      </c>
      <c r="K36" t="s">
        <v>7</v>
      </c>
      <c r="L36" t="s">
        <v>1623</v>
      </c>
      <c r="M36" t="s">
        <v>1630</v>
      </c>
      <c r="N36" t="s">
        <v>1690</v>
      </c>
      <c r="O36" t="str">
        <f>CONCATENATE(Tabelle132[[#This Row],[Raumcode]],".",Tabelle132[[#This Row],[Code]])</f>
        <v>O1.R1</v>
      </c>
      <c r="Q36" t="s">
        <v>76</v>
      </c>
    </row>
    <row r="37" spans="2:17" x14ac:dyDescent="0.25">
      <c r="B37" s="27" t="s">
        <v>116</v>
      </c>
      <c r="C37" s="36">
        <v>2</v>
      </c>
      <c r="D37" t="s">
        <v>117</v>
      </c>
      <c r="E37" s="36">
        <v>1</v>
      </c>
      <c r="F37" t="s">
        <v>118</v>
      </c>
      <c r="G37" s="66" t="s">
        <v>1825</v>
      </c>
      <c r="H37" t="s">
        <v>1750</v>
      </c>
      <c r="I37" t="s">
        <v>21</v>
      </c>
      <c r="J37" t="s">
        <v>87</v>
      </c>
      <c r="K37" t="s">
        <v>7</v>
      </c>
      <c r="L37" t="s">
        <v>1623</v>
      </c>
      <c r="M37" t="s">
        <v>1630</v>
      </c>
      <c r="N37" t="s">
        <v>1826</v>
      </c>
      <c r="O37" t="str">
        <f>CONCATENATE(Tabelle132[[#This Row],[Raumcode]],".",Tabelle132[[#This Row],[Code]])</f>
        <v>O1.R2</v>
      </c>
      <c r="Q37" t="s">
        <v>76</v>
      </c>
    </row>
    <row r="38" spans="2:17" x14ac:dyDescent="0.25">
      <c r="B38" s="27" t="s">
        <v>116</v>
      </c>
      <c r="C38" s="36">
        <v>2</v>
      </c>
      <c r="D38" t="s">
        <v>117</v>
      </c>
      <c r="E38" s="36">
        <v>1</v>
      </c>
      <c r="F38" t="s">
        <v>118</v>
      </c>
      <c r="G38" s="66" t="s">
        <v>1825</v>
      </c>
      <c r="H38" t="s">
        <v>1776</v>
      </c>
      <c r="I38" t="s">
        <v>29</v>
      </c>
      <c r="J38" t="s">
        <v>1618</v>
      </c>
      <c r="K38" t="s">
        <v>14</v>
      </c>
      <c r="L38" t="s">
        <v>1641</v>
      </c>
      <c r="M38" t="s">
        <v>1692</v>
      </c>
      <c r="N38" t="s">
        <v>1693</v>
      </c>
      <c r="O38" t="str">
        <f>CONCATENATE(Tabelle132[[#This Row],[Raumcode]],".",Tabelle132[[#This Row],[Code]])</f>
        <v>O1.FK1</v>
      </c>
      <c r="Q38" t="s">
        <v>76</v>
      </c>
    </row>
    <row r="39" spans="2:17" x14ac:dyDescent="0.25">
      <c r="B39" s="27" t="s">
        <v>116</v>
      </c>
      <c r="C39" s="36">
        <v>2</v>
      </c>
      <c r="D39" t="s">
        <v>117</v>
      </c>
      <c r="E39" s="36">
        <v>1</v>
      </c>
      <c r="F39" t="s">
        <v>118</v>
      </c>
      <c r="G39" s="66" t="s">
        <v>1825</v>
      </c>
      <c r="H39" t="s">
        <v>1738</v>
      </c>
      <c r="I39" t="s">
        <v>29</v>
      </c>
      <c r="J39" t="s">
        <v>1618</v>
      </c>
      <c r="K39" t="s">
        <v>14</v>
      </c>
      <c r="L39" t="s">
        <v>1641</v>
      </c>
      <c r="M39" t="s">
        <v>1692</v>
      </c>
      <c r="N39" t="s">
        <v>1739</v>
      </c>
      <c r="O39" t="str">
        <f>CONCATENATE(Tabelle132[[#This Row],[Raumcode]],".",Tabelle132[[#This Row],[Code]])</f>
        <v>O1.FK2</v>
      </c>
      <c r="Q39" t="s">
        <v>79</v>
      </c>
    </row>
    <row r="40" spans="2:17" x14ac:dyDescent="0.25">
      <c r="B40" s="27" t="s">
        <v>116</v>
      </c>
      <c r="C40" s="36">
        <v>2</v>
      </c>
      <c r="D40" t="s">
        <v>117</v>
      </c>
      <c r="E40" s="36">
        <v>1</v>
      </c>
      <c r="F40" t="s">
        <v>118</v>
      </c>
      <c r="G40" s="66" t="s">
        <v>1825</v>
      </c>
      <c r="H40" t="s">
        <v>1735</v>
      </c>
      <c r="I40" t="s">
        <v>29</v>
      </c>
      <c r="J40" t="s">
        <v>37</v>
      </c>
      <c r="K40" t="s">
        <v>10</v>
      </c>
      <c r="L40" t="s">
        <v>10</v>
      </c>
      <c r="M40" t="s">
        <v>1638</v>
      </c>
      <c r="N40" t="s">
        <v>109</v>
      </c>
      <c r="O40" t="str">
        <f>CONCATENATE(Tabelle132[[#This Row],[Raumcode]],".",Tabelle132[[#This Row],[Code]])</f>
        <v>O1.TS1</v>
      </c>
      <c r="Q40" t="s">
        <v>77</v>
      </c>
    </row>
    <row r="41" spans="2:17" x14ac:dyDescent="0.25">
      <c r="B41" s="27" t="s">
        <v>116</v>
      </c>
      <c r="C41" s="36">
        <v>2</v>
      </c>
      <c r="D41" t="s">
        <v>117</v>
      </c>
      <c r="E41" s="36">
        <v>1</v>
      </c>
      <c r="F41" t="s">
        <v>118</v>
      </c>
      <c r="G41" s="66" t="s">
        <v>1825</v>
      </c>
      <c r="H41" t="s">
        <v>40</v>
      </c>
      <c r="I41" t="s">
        <v>29</v>
      </c>
      <c r="J41" t="s">
        <v>1617</v>
      </c>
      <c r="K41" t="s">
        <v>10</v>
      </c>
      <c r="L41" t="s">
        <v>10</v>
      </c>
      <c r="M41" t="s">
        <v>1638</v>
      </c>
      <c r="N41" t="s">
        <v>103</v>
      </c>
      <c r="O41" t="str">
        <f>CONCATENATE(Tabelle132[[#This Row],[Raumcode]],".",Tabelle132[[#This Row],[Code]])</f>
        <v>O1.PM1</v>
      </c>
      <c r="Q41" t="s">
        <v>83</v>
      </c>
    </row>
    <row r="42" spans="2:17" x14ac:dyDescent="0.25">
      <c r="B42" s="27" t="s">
        <v>116</v>
      </c>
      <c r="C42" s="36">
        <v>2</v>
      </c>
      <c r="D42" t="s">
        <v>117</v>
      </c>
      <c r="E42" s="36">
        <v>1</v>
      </c>
      <c r="F42" t="s">
        <v>118</v>
      </c>
      <c r="G42" s="66" t="s">
        <v>1825</v>
      </c>
      <c r="H42" t="s">
        <v>1704</v>
      </c>
      <c r="I42" t="s">
        <v>46</v>
      </c>
      <c r="J42" t="s">
        <v>47</v>
      </c>
      <c r="K42" t="s">
        <v>6</v>
      </c>
      <c r="L42" t="s">
        <v>1623</v>
      </c>
      <c r="M42" t="s">
        <v>1629</v>
      </c>
      <c r="N42" t="s">
        <v>1620</v>
      </c>
      <c r="O42" t="str">
        <f>CONCATENATE(Tabelle132[[#This Row],[Raumcode]],".",Tabelle132[[#This Row],[Code]])</f>
        <v>O1.SD1</v>
      </c>
      <c r="Q42" t="s">
        <v>79</v>
      </c>
    </row>
    <row r="43" spans="2:17" x14ac:dyDescent="0.25">
      <c r="B43" s="27" t="s">
        <v>116</v>
      </c>
      <c r="C43" s="36">
        <v>2</v>
      </c>
      <c r="D43" t="s">
        <v>117</v>
      </c>
      <c r="E43" s="36">
        <v>1</v>
      </c>
      <c r="F43" t="s">
        <v>118</v>
      </c>
      <c r="G43" s="66" t="s">
        <v>1825</v>
      </c>
      <c r="H43" t="s">
        <v>1705</v>
      </c>
      <c r="I43" t="s">
        <v>46</v>
      </c>
      <c r="J43" t="s">
        <v>48</v>
      </c>
      <c r="K43" t="s">
        <v>6</v>
      </c>
      <c r="L43" t="s">
        <v>1623</v>
      </c>
      <c r="M43" t="s">
        <v>1634</v>
      </c>
      <c r="N43" t="s">
        <v>1668</v>
      </c>
      <c r="O43" t="str">
        <f>CONCATENATE(Tabelle132[[#This Row],[Raumcode]],".",Tabelle132[[#This Row],[Code]])</f>
        <v>O1.SD2</v>
      </c>
      <c r="Q43" t="s">
        <v>79</v>
      </c>
    </row>
    <row r="44" spans="2:17" x14ac:dyDescent="0.25">
      <c r="B44" s="27" t="s">
        <v>116</v>
      </c>
      <c r="C44" s="36">
        <v>2</v>
      </c>
      <c r="D44" t="s">
        <v>117</v>
      </c>
      <c r="E44" s="36">
        <v>1</v>
      </c>
      <c r="F44" t="s">
        <v>118</v>
      </c>
      <c r="G44" s="66" t="s">
        <v>1825</v>
      </c>
      <c r="H44" t="s">
        <v>1706</v>
      </c>
      <c r="I44" t="s">
        <v>46</v>
      </c>
      <c r="J44" t="s">
        <v>48</v>
      </c>
      <c r="K44" t="s">
        <v>6</v>
      </c>
      <c r="L44" t="s">
        <v>1623</v>
      </c>
      <c r="M44" t="s">
        <v>1634</v>
      </c>
      <c r="N44" t="s">
        <v>1669</v>
      </c>
      <c r="O44" t="str">
        <f>CONCATENATE(Tabelle132[[#This Row],[Raumcode]],".",Tabelle132[[#This Row],[Code]])</f>
        <v>O1.SD3</v>
      </c>
      <c r="Q44" t="s">
        <v>79</v>
      </c>
    </row>
    <row r="45" spans="2:17" x14ac:dyDescent="0.25">
      <c r="B45" s="27" t="s">
        <v>116</v>
      </c>
      <c r="C45" s="36">
        <v>2</v>
      </c>
      <c r="D45" t="s">
        <v>117</v>
      </c>
      <c r="E45" s="36">
        <v>1</v>
      </c>
      <c r="F45" t="s">
        <v>118</v>
      </c>
      <c r="G45" s="66" t="s">
        <v>1825</v>
      </c>
      <c r="H45" t="s">
        <v>1741</v>
      </c>
      <c r="I45" t="s">
        <v>46</v>
      </c>
      <c r="J45" t="s">
        <v>1680</v>
      </c>
      <c r="K45" t="s">
        <v>104</v>
      </c>
      <c r="L45" t="s">
        <v>1626</v>
      </c>
      <c r="M45" t="s">
        <v>1633</v>
      </c>
      <c r="N45" t="s">
        <v>1681</v>
      </c>
      <c r="O45" t="str">
        <f>CONCATENATE(Tabelle132[[#This Row],[Raumcode]],".",Tabelle132[[#This Row],[Code]])</f>
        <v>O1.ND1</v>
      </c>
      <c r="Q45" t="s">
        <v>79</v>
      </c>
    </row>
    <row r="46" spans="2:17" x14ac:dyDescent="0.25">
      <c r="B46" s="27" t="s">
        <v>116</v>
      </c>
      <c r="C46" s="36">
        <v>2</v>
      </c>
      <c r="D46" t="s">
        <v>117</v>
      </c>
      <c r="E46" s="36">
        <v>1</v>
      </c>
      <c r="F46" t="s">
        <v>118</v>
      </c>
      <c r="G46" s="66" t="s">
        <v>1825</v>
      </c>
      <c r="H46" t="s">
        <v>1732</v>
      </c>
      <c r="I46" t="s">
        <v>46</v>
      </c>
      <c r="J46" t="s">
        <v>47</v>
      </c>
      <c r="K46" t="s">
        <v>6</v>
      </c>
      <c r="L46" t="s">
        <v>1623</v>
      </c>
      <c r="M46" t="s">
        <v>1629</v>
      </c>
      <c r="N46" t="s">
        <v>1670</v>
      </c>
      <c r="O46" t="str">
        <f>CONCATENATE(Tabelle132[[#This Row],[Raumcode]],".",Tabelle132[[#This Row],[Code]])</f>
        <v>O1.SD4</v>
      </c>
      <c r="Q46" t="s">
        <v>76</v>
      </c>
    </row>
    <row r="47" spans="2:17" x14ac:dyDescent="0.25">
      <c r="B47" s="27" t="s">
        <v>116</v>
      </c>
      <c r="C47" s="36">
        <v>2</v>
      </c>
      <c r="D47" t="s">
        <v>117</v>
      </c>
      <c r="E47" s="36">
        <v>1</v>
      </c>
      <c r="F47" t="s">
        <v>118</v>
      </c>
      <c r="G47" s="66" t="s">
        <v>1825</v>
      </c>
      <c r="H47" t="s">
        <v>1710</v>
      </c>
      <c r="I47" t="s">
        <v>46</v>
      </c>
      <c r="J47" t="s">
        <v>47</v>
      </c>
      <c r="K47" t="s">
        <v>6</v>
      </c>
      <c r="L47" t="s">
        <v>1623</v>
      </c>
      <c r="M47" t="s">
        <v>1629</v>
      </c>
      <c r="N47" t="s">
        <v>1671</v>
      </c>
      <c r="O47" t="str">
        <f>CONCATENATE(Tabelle132[[#This Row],[Raumcode]],".",Tabelle132[[#This Row],[Code]])</f>
        <v>O1.SD5</v>
      </c>
      <c r="Q47" t="s">
        <v>79</v>
      </c>
    </row>
    <row r="48" spans="2:17" x14ac:dyDescent="0.25">
      <c r="B48" s="27" t="s">
        <v>116</v>
      </c>
      <c r="C48" s="36">
        <v>2</v>
      </c>
      <c r="D48" t="s">
        <v>117</v>
      </c>
      <c r="E48" s="36">
        <v>1</v>
      </c>
      <c r="F48" t="s">
        <v>118</v>
      </c>
      <c r="G48" s="66" t="s">
        <v>1825</v>
      </c>
      <c r="H48" t="s">
        <v>1711</v>
      </c>
      <c r="I48" t="s">
        <v>46</v>
      </c>
      <c r="J48" t="s">
        <v>48</v>
      </c>
      <c r="K48" t="s">
        <v>6</v>
      </c>
      <c r="L48" t="s">
        <v>1623</v>
      </c>
      <c r="M48" t="s">
        <v>1634</v>
      </c>
      <c r="N48" t="s">
        <v>1673</v>
      </c>
      <c r="O48" t="str">
        <f>CONCATENATE(Tabelle132[[#This Row],[Raumcode]],".",Tabelle132[[#This Row],[Code]])</f>
        <v>O1.SD6</v>
      </c>
      <c r="Q48" t="s">
        <v>79</v>
      </c>
    </row>
    <row r="49" spans="2:17" x14ac:dyDescent="0.25">
      <c r="B49" s="27" t="s">
        <v>116</v>
      </c>
      <c r="C49" s="36">
        <v>2</v>
      </c>
      <c r="D49" t="s">
        <v>117</v>
      </c>
      <c r="E49" s="36">
        <v>1</v>
      </c>
      <c r="F49" t="s">
        <v>118</v>
      </c>
      <c r="G49" s="66" t="s">
        <v>1825</v>
      </c>
      <c r="H49" t="s">
        <v>1712</v>
      </c>
      <c r="I49" t="s">
        <v>46</v>
      </c>
      <c r="J49" t="s">
        <v>48</v>
      </c>
      <c r="K49" t="s">
        <v>6</v>
      </c>
      <c r="L49" t="s">
        <v>1623</v>
      </c>
      <c r="M49" t="s">
        <v>1634</v>
      </c>
      <c r="N49" t="s">
        <v>1721</v>
      </c>
      <c r="O49" t="str">
        <f>CONCATENATE(Tabelle132[[#This Row],[Raumcode]],".",Tabelle132[[#This Row],[Code]])</f>
        <v>O1.SD7</v>
      </c>
      <c r="Q49" t="s">
        <v>79</v>
      </c>
    </row>
    <row r="50" spans="2:17" x14ac:dyDescent="0.25">
      <c r="B50" s="27" t="s">
        <v>116</v>
      </c>
      <c r="C50" s="36">
        <v>2</v>
      </c>
      <c r="D50" t="s">
        <v>117</v>
      </c>
      <c r="E50" s="36">
        <v>1</v>
      </c>
      <c r="F50" t="s">
        <v>118</v>
      </c>
      <c r="G50" s="66" t="s">
        <v>1825</v>
      </c>
      <c r="H50" t="s">
        <v>1742</v>
      </c>
      <c r="I50" t="s">
        <v>46</v>
      </c>
      <c r="J50" t="s">
        <v>1680</v>
      </c>
      <c r="K50" t="s">
        <v>104</v>
      </c>
      <c r="L50" t="s">
        <v>1626</v>
      </c>
      <c r="M50" t="s">
        <v>1633</v>
      </c>
      <c r="N50" t="s">
        <v>1743</v>
      </c>
      <c r="O50" t="str">
        <f>CONCATENATE(Tabelle132[[#This Row],[Raumcode]],".",Tabelle132[[#This Row],[Code]])</f>
        <v>O1.ND2</v>
      </c>
      <c r="Q50" t="s">
        <v>79</v>
      </c>
    </row>
    <row r="51" spans="2:17" x14ac:dyDescent="0.25">
      <c r="B51" s="27" t="s">
        <v>116</v>
      </c>
      <c r="C51" s="36">
        <v>2</v>
      </c>
      <c r="D51" t="s">
        <v>117</v>
      </c>
      <c r="E51" s="36">
        <v>1</v>
      </c>
      <c r="F51" t="s">
        <v>118</v>
      </c>
      <c r="G51" s="66" t="s">
        <v>1825</v>
      </c>
      <c r="H51" t="s">
        <v>1713</v>
      </c>
      <c r="I51" t="s">
        <v>46</v>
      </c>
      <c r="J51" t="s">
        <v>48</v>
      </c>
      <c r="K51" t="s">
        <v>6</v>
      </c>
      <c r="L51" t="s">
        <v>1623</v>
      </c>
      <c r="M51" t="s">
        <v>1634</v>
      </c>
      <c r="N51" t="s">
        <v>1722</v>
      </c>
      <c r="O51" t="str">
        <f>CONCATENATE(Tabelle132[[#This Row],[Raumcode]],".",Tabelle132[[#This Row],[Code]])</f>
        <v>O1.SD8</v>
      </c>
      <c r="Q51" t="s">
        <v>79</v>
      </c>
    </row>
    <row r="52" spans="2:17" x14ac:dyDescent="0.25">
      <c r="B52" s="27" t="s">
        <v>116</v>
      </c>
      <c r="C52" s="36">
        <v>2</v>
      </c>
      <c r="D52" t="s">
        <v>117</v>
      </c>
      <c r="E52" s="36">
        <v>1</v>
      </c>
      <c r="F52" t="s">
        <v>118</v>
      </c>
      <c r="G52" s="66" t="s">
        <v>1825</v>
      </c>
      <c r="H52" t="s">
        <v>1710</v>
      </c>
      <c r="I52" t="s">
        <v>46</v>
      </c>
      <c r="J52" t="s">
        <v>47</v>
      </c>
      <c r="K52" t="s">
        <v>6</v>
      </c>
      <c r="L52" t="s">
        <v>1623</v>
      </c>
      <c r="M52" t="s">
        <v>1629</v>
      </c>
      <c r="N52" t="s">
        <v>1723</v>
      </c>
      <c r="O52" t="str">
        <f>CONCATENATE(Tabelle132[[#This Row],[Raumcode]],".",Tabelle132[[#This Row],[Code]])</f>
        <v>O1.SD9</v>
      </c>
      <c r="Q52" t="s">
        <v>79</v>
      </c>
    </row>
    <row r="53" spans="2:17" x14ac:dyDescent="0.25">
      <c r="B53" s="27" t="s">
        <v>116</v>
      </c>
      <c r="C53" s="36">
        <v>2</v>
      </c>
      <c r="D53" t="s">
        <v>117</v>
      </c>
      <c r="E53" s="36">
        <v>1</v>
      </c>
      <c r="F53" t="s">
        <v>118</v>
      </c>
      <c r="G53" s="66" t="s">
        <v>1825</v>
      </c>
      <c r="H53" t="s">
        <v>1711</v>
      </c>
      <c r="I53" t="s">
        <v>46</v>
      </c>
      <c r="J53" t="s">
        <v>48</v>
      </c>
      <c r="K53" t="s">
        <v>6</v>
      </c>
      <c r="L53" t="s">
        <v>1623</v>
      </c>
      <c r="M53" t="s">
        <v>1634</v>
      </c>
      <c r="N53" t="s">
        <v>1724</v>
      </c>
      <c r="O53" t="str">
        <f>CONCATENATE(Tabelle132[[#This Row],[Raumcode]],".",Tabelle132[[#This Row],[Code]])</f>
        <v>O1.SD10</v>
      </c>
      <c r="Q53" t="s">
        <v>79</v>
      </c>
    </row>
    <row r="54" spans="2:17" x14ac:dyDescent="0.25">
      <c r="B54" s="27" t="s">
        <v>116</v>
      </c>
      <c r="C54" s="36">
        <v>2</v>
      </c>
      <c r="D54" t="s">
        <v>117</v>
      </c>
      <c r="E54" s="36">
        <v>1</v>
      </c>
      <c r="F54" t="s">
        <v>118</v>
      </c>
      <c r="G54" s="66" t="s">
        <v>1825</v>
      </c>
      <c r="H54" t="s">
        <v>1712</v>
      </c>
      <c r="I54" t="s">
        <v>46</v>
      </c>
      <c r="J54" t="s">
        <v>48</v>
      </c>
      <c r="K54" t="s">
        <v>6</v>
      </c>
      <c r="L54" t="s">
        <v>1623</v>
      </c>
      <c r="M54" t="s">
        <v>1634</v>
      </c>
      <c r="N54" t="s">
        <v>1725</v>
      </c>
      <c r="O54" t="str">
        <f>CONCATENATE(Tabelle132[[#This Row],[Raumcode]],".",Tabelle132[[#This Row],[Code]])</f>
        <v>O1.SD11</v>
      </c>
      <c r="Q54" t="s">
        <v>79</v>
      </c>
    </row>
    <row r="55" spans="2:17" x14ac:dyDescent="0.25">
      <c r="B55" s="27" t="s">
        <v>116</v>
      </c>
      <c r="C55" s="36">
        <v>2</v>
      </c>
      <c r="D55" t="s">
        <v>117</v>
      </c>
      <c r="E55" s="36">
        <v>1</v>
      </c>
      <c r="F55" t="s">
        <v>118</v>
      </c>
      <c r="G55" s="66" t="s">
        <v>1825</v>
      </c>
      <c r="H55" t="s">
        <v>1742</v>
      </c>
      <c r="I55" t="s">
        <v>46</v>
      </c>
      <c r="J55" t="s">
        <v>1680</v>
      </c>
      <c r="K55" t="s">
        <v>104</v>
      </c>
      <c r="L55" t="s">
        <v>1626</v>
      </c>
      <c r="M55" t="s">
        <v>1633</v>
      </c>
      <c r="N55" t="s">
        <v>1745</v>
      </c>
      <c r="O55" t="str">
        <f>CONCATENATE(Tabelle132[[#This Row],[Raumcode]],".",Tabelle132[[#This Row],[Code]])</f>
        <v>O1.ND3</v>
      </c>
      <c r="Q55" t="s">
        <v>79</v>
      </c>
    </row>
    <row r="56" spans="2:17" x14ac:dyDescent="0.25">
      <c r="B56" s="27" t="s">
        <v>116</v>
      </c>
      <c r="C56" s="36">
        <v>2</v>
      </c>
      <c r="D56" t="s">
        <v>117</v>
      </c>
      <c r="E56" s="36">
        <v>1</v>
      </c>
      <c r="F56" t="s">
        <v>118</v>
      </c>
      <c r="G56" s="66" t="s">
        <v>1825</v>
      </c>
      <c r="H56" t="s">
        <v>1733</v>
      </c>
      <c r="I56" t="s">
        <v>46</v>
      </c>
      <c r="J56" t="s">
        <v>47</v>
      </c>
      <c r="K56" t="s">
        <v>6</v>
      </c>
      <c r="L56" t="s">
        <v>1623</v>
      </c>
      <c r="M56" t="s">
        <v>1629</v>
      </c>
      <c r="N56" t="s">
        <v>1726</v>
      </c>
      <c r="O56" t="str">
        <f>CONCATENATE(Tabelle132[[#This Row],[Raumcode]],".",Tabelle132[[#This Row],[Code]])</f>
        <v>O1.SD12</v>
      </c>
      <c r="Q56" t="s">
        <v>76</v>
      </c>
    </row>
    <row r="57" spans="2:17" x14ac:dyDescent="0.25">
      <c r="B57" s="27" t="s">
        <v>116</v>
      </c>
      <c r="C57" s="36">
        <v>2</v>
      </c>
      <c r="D57" t="s">
        <v>117</v>
      </c>
      <c r="E57" s="36">
        <v>1</v>
      </c>
      <c r="F57" t="s">
        <v>118</v>
      </c>
      <c r="G57" s="66" t="s">
        <v>1825</v>
      </c>
      <c r="H57" t="s">
        <v>1755</v>
      </c>
      <c r="I57" t="s">
        <v>46</v>
      </c>
      <c r="J57" t="s">
        <v>48</v>
      </c>
      <c r="K57" t="s">
        <v>6</v>
      </c>
      <c r="L57" t="s">
        <v>1623</v>
      </c>
      <c r="M57" t="s">
        <v>1634</v>
      </c>
      <c r="N57" t="s">
        <v>1727</v>
      </c>
      <c r="O57" t="str">
        <f>CONCATENATE(Tabelle132[[#This Row],[Raumcode]],".",Tabelle132[[#This Row],[Code]])</f>
        <v>O1.SD13</v>
      </c>
      <c r="Q57" t="s">
        <v>79</v>
      </c>
    </row>
    <row r="58" spans="2:17" x14ac:dyDescent="0.25">
      <c r="B58" s="27" t="s">
        <v>116</v>
      </c>
      <c r="C58" s="36">
        <v>2</v>
      </c>
      <c r="D58" t="s">
        <v>117</v>
      </c>
      <c r="E58" s="36">
        <v>1</v>
      </c>
      <c r="F58" t="s">
        <v>118</v>
      </c>
      <c r="G58" s="66" t="s">
        <v>1825</v>
      </c>
      <c r="H58" t="s">
        <v>1652</v>
      </c>
      <c r="I58" t="s">
        <v>255</v>
      </c>
      <c r="J58" t="s">
        <v>1657</v>
      </c>
      <c r="K58" t="s">
        <v>13</v>
      </c>
      <c r="L58" t="s">
        <v>1640</v>
      </c>
      <c r="M58" t="s">
        <v>1632</v>
      </c>
      <c r="N58" t="s">
        <v>1651</v>
      </c>
      <c r="O58" t="str">
        <f>CONCATENATE(Tabelle132[[#This Row],[Raumcode]],".",Tabelle132[[#This Row],[Code]])</f>
        <v>O1.DA1</v>
      </c>
    </row>
    <row r="59" spans="2:17" x14ac:dyDescent="0.25">
      <c r="B59" s="27" t="s">
        <v>116</v>
      </c>
      <c r="C59" s="36">
        <v>2</v>
      </c>
      <c r="D59" t="s">
        <v>119</v>
      </c>
      <c r="E59" s="36">
        <v>2</v>
      </c>
      <c r="F59" t="s">
        <v>125</v>
      </c>
      <c r="G59" s="66" t="s">
        <v>1827</v>
      </c>
      <c r="H59" t="s">
        <v>1759</v>
      </c>
      <c r="I59" t="s">
        <v>1676</v>
      </c>
      <c r="K59" t="s">
        <v>14</v>
      </c>
      <c r="L59" t="s">
        <v>1639</v>
      </c>
      <c r="M59" t="s">
        <v>1649</v>
      </c>
      <c r="N59" t="s">
        <v>1678</v>
      </c>
      <c r="O59" t="str">
        <f>CONCATENATE(Tabelle132[[#This Row],[Raumcode]],".",Tabelle132[[#This Row],[Code]])</f>
        <v>O2.DL1</v>
      </c>
      <c r="Q59" t="s">
        <v>83</v>
      </c>
    </row>
    <row r="60" spans="2:17" x14ac:dyDescent="0.25">
      <c r="B60" s="27" t="s">
        <v>116</v>
      </c>
      <c r="C60" s="36">
        <v>2</v>
      </c>
      <c r="D60" t="s">
        <v>119</v>
      </c>
      <c r="E60" s="36">
        <v>2</v>
      </c>
      <c r="F60" t="s">
        <v>125</v>
      </c>
      <c r="G60" s="66" t="s">
        <v>1827</v>
      </c>
      <c r="H60" t="s">
        <v>1760</v>
      </c>
      <c r="I60" t="s">
        <v>1676</v>
      </c>
      <c r="K60" t="s">
        <v>14</v>
      </c>
      <c r="L60" t="s">
        <v>1639</v>
      </c>
      <c r="M60" t="s">
        <v>1649</v>
      </c>
      <c r="N60" t="s">
        <v>1746</v>
      </c>
      <c r="O60" t="str">
        <f>CONCATENATE(Tabelle132[[#This Row],[Raumcode]],".",Tabelle132[[#This Row],[Code]])</f>
        <v>O2.DL2</v>
      </c>
      <c r="Q60" t="s">
        <v>83</v>
      </c>
    </row>
    <row r="61" spans="2:17" x14ac:dyDescent="0.25">
      <c r="B61" s="27" t="s">
        <v>116</v>
      </c>
      <c r="C61" s="36">
        <v>2</v>
      </c>
      <c r="D61" t="s">
        <v>119</v>
      </c>
      <c r="E61" s="36">
        <v>2</v>
      </c>
      <c r="F61" t="s">
        <v>125</v>
      </c>
      <c r="G61" s="66" t="s">
        <v>1827</v>
      </c>
      <c r="H61" t="s">
        <v>1740</v>
      </c>
      <c r="I61" t="s">
        <v>17</v>
      </c>
      <c r="J61" t="s">
        <v>1614</v>
      </c>
      <c r="K61" t="s">
        <v>9</v>
      </c>
      <c r="L61" t="s">
        <v>1640</v>
      </c>
      <c r="M61" t="s">
        <v>1555</v>
      </c>
      <c r="N61" t="s">
        <v>1832</v>
      </c>
      <c r="O61" t="str">
        <f>CONCATENATE(Tabelle132[[#This Row],[Raumcode]],".",Tabelle132[[#This Row],[Code]])</f>
        <v>O2.BLn</v>
      </c>
      <c r="Q61" t="s">
        <v>83</v>
      </c>
    </row>
    <row r="62" spans="2:17" x14ac:dyDescent="0.25">
      <c r="B62" s="27" t="s">
        <v>116</v>
      </c>
      <c r="C62" s="36">
        <v>2</v>
      </c>
      <c r="D62" t="s">
        <v>119</v>
      </c>
      <c r="E62" s="36">
        <v>2</v>
      </c>
      <c r="F62" t="s">
        <v>125</v>
      </c>
      <c r="G62" s="66" t="s">
        <v>1827</v>
      </c>
      <c r="H62" t="s">
        <v>1762</v>
      </c>
      <c r="I62" t="s">
        <v>21</v>
      </c>
      <c r="J62" t="s">
        <v>87</v>
      </c>
      <c r="K62" t="s">
        <v>7</v>
      </c>
      <c r="L62" t="s">
        <v>1623</v>
      </c>
      <c r="M62" t="s">
        <v>1630</v>
      </c>
      <c r="N62" t="s">
        <v>1690</v>
      </c>
      <c r="O62" t="str">
        <f>CONCATENATE(Tabelle132[[#This Row],[Raumcode]],".",Tabelle132[[#This Row],[Code]])</f>
        <v>O2.R1</v>
      </c>
      <c r="Q62" t="s">
        <v>76</v>
      </c>
    </row>
    <row r="63" spans="2:17" x14ac:dyDescent="0.25">
      <c r="B63" s="27" t="s">
        <v>116</v>
      </c>
      <c r="C63" s="36">
        <v>2</v>
      </c>
      <c r="D63" t="s">
        <v>119</v>
      </c>
      <c r="E63" s="36">
        <v>2</v>
      </c>
      <c r="F63" t="s">
        <v>125</v>
      </c>
      <c r="G63" s="66" t="s">
        <v>1827</v>
      </c>
      <c r="H63" t="s">
        <v>1750</v>
      </c>
      <c r="I63" t="s">
        <v>21</v>
      </c>
      <c r="J63" t="s">
        <v>87</v>
      </c>
      <c r="K63" t="s">
        <v>7</v>
      </c>
      <c r="L63" t="s">
        <v>1623</v>
      </c>
      <c r="M63" t="s">
        <v>1630</v>
      </c>
      <c r="N63" t="s">
        <v>1826</v>
      </c>
      <c r="O63" t="str">
        <f>CONCATENATE(Tabelle132[[#This Row],[Raumcode]],".",Tabelle132[[#This Row],[Code]])</f>
        <v>O2.R2</v>
      </c>
      <c r="Q63" t="s">
        <v>76</v>
      </c>
    </row>
    <row r="64" spans="2:17" x14ac:dyDescent="0.25">
      <c r="B64" s="27" t="s">
        <v>116</v>
      </c>
      <c r="C64" s="36">
        <v>2</v>
      </c>
      <c r="D64" t="s">
        <v>119</v>
      </c>
      <c r="E64" s="36">
        <v>2</v>
      </c>
      <c r="F64" t="s">
        <v>125</v>
      </c>
      <c r="G64" s="66" t="s">
        <v>1827</v>
      </c>
      <c r="H64" t="s">
        <v>1735</v>
      </c>
      <c r="I64" t="s">
        <v>29</v>
      </c>
      <c r="J64" t="s">
        <v>37</v>
      </c>
      <c r="K64" t="s">
        <v>10</v>
      </c>
      <c r="L64" t="s">
        <v>10</v>
      </c>
      <c r="M64" t="s">
        <v>1638</v>
      </c>
      <c r="N64" t="s">
        <v>109</v>
      </c>
      <c r="O64" t="str">
        <f>CONCATENATE(Tabelle132[[#This Row],[Raumcode]],".",Tabelle132[[#This Row],[Code]])</f>
        <v>O2.TS1</v>
      </c>
      <c r="Q64" t="s">
        <v>77</v>
      </c>
    </row>
    <row r="65" spans="2:17" x14ac:dyDescent="0.25">
      <c r="B65" s="27" t="s">
        <v>116</v>
      </c>
      <c r="C65" s="36">
        <v>2</v>
      </c>
      <c r="D65" t="s">
        <v>119</v>
      </c>
      <c r="E65" s="36">
        <v>2</v>
      </c>
      <c r="F65" t="s">
        <v>125</v>
      </c>
      <c r="G65" s="66" t="s">
        <v>1827</v>
      </c>
      <c r="H65" t="s">
        <v>1776</v>
      </c>
      <c r="I65" t="s">
        <v>29</v>
      </c>
      <c r="J65" t="s">
        <v>1618</v>
      </c>
      <c r="K65" t="s">
        <v>14</v>
      </c>
      <c r="L65" t="s">
        <v>1641</v>
      </c>
      <c r="M65" t="s">
        <v>1692</v>
      </c>
      <c r="N65" t="s">
        <v>1693</v>
      </c>
      <c r="O65" t="str">
        <f>CONCATENATE(Tabelle132[[#This Row],[Raumcode]],".",Tabelle132[[#This Row],[Code]])</f>
        <v>O2.FK1</v>
      </c>
      <c r="Q65" t="s">
        <v>76</v>
      </c>
    </row>
    <row r="66" spans="2:17" x14ac:dyDescent="0.25">
      <c r="B66" s="27" t="s">
        <v>116</v>
      </c>
      <c r="C66" s="36">
        <v>2</v>
      </c>
      <c r="D66" t="s">
        <v>119</v>
      </c>
      <c r="E66" s="36">
        <v>2</v>
      </c>
      <c r="F66" t="s">
        <v>125</v>
      </c>
      <c r="G66" s="66" t="s">
        <v>1827</v>
      </c>
      <c r="H66" t="s">
        <v>1738</v>
      </c>
      <c r="I66" t="s">
        <v>29</v>
      </c>
      <c r="J66" t="s">
        <v>1618</v>
      </c>
      <c r="K66" t="s">
        <v>14</v>
      </c>
      <c r="L66" t="s">
        <v>1641</v>
      </c>
      <c r="M66" t="s">
        <v>1692</v>
      </c>
      <c r="N66" t="s">
        <v>1739</v>
      </c>
      <c r="O66" t="str">
        <f>CONCATENATE(Tabelle132[[#This Row],[Raumcode]],".",Tabelle132[[#This Row],[Code]])</f>
        <v>O2.FK2</v>
      </c>
      <c r="Q66" t="s">
        <v>76</v>
      </c>
    </row>
    <row r="67" spans="2:17" x14ac:dyDescent="0.25">
      <c r="B67" s="27" t="s">
        <v>116</v>
      </c>
      <c r="C67" s="36">
        <v>2</v>
      </c>
      <c r="D67" t="s">
        <v>119</v>
      </c>
      <c r="E67" s="36">
        <v>2</v>
      </c>
      <c r="F67" t="s">
        <v>125</v>
      </c>
      <c r="G67" s="66" t="s">
        <v>1827</v>
      </c>
      <c r="H67" t="s">
        <v>40</v>
      </c>
      <c r="I67" t="s">
        <v>29</v>
      </c>
      <c r="J67" t="s">
        <v>1617</v>
      </c>
      <c r="K67" t="s">
        <v>10</v>
      </c>
      <c r="L67" t="s">
        <v>10</v>
      </c>
      <c r="M67" t="s">
        <v>1638</v>
      </c>
      <c r="N67" t="s">
        <v>103</v>
      </c>
      <c r="O67" t="str">
        <f>CONCATENATE(Tabelle132[[#This Row],[Raumcode]],".",Tabelle132[[#This Row],[Code]])</f>
        <v>O2.PM1</v>
      </c>
      <c r="Q67" t="s">
        <v>83</v>
      </c>
    </row>
    <row r="68" spans="2:17" x14ac:dyDescent="0.25">
      <c r="B68" s="27" t="s">
        <v>116</v>
      </c>
      <c r="C68" s="36">
        <v>2</v>
      </c>
      <c r="D68" t="s">
        <v>119</v>
      </c>
      <c r="E68" s="36">
        <v>2</v>
      </c>
      <c r="F68" t="s">
        <v>125</v>
      </c>
      <c r="G68" s="66" t="s">
        <v>1827</v>
      </c>
      <c r="H68" t="s">
        <v>1704</v>
      </c>
      <c r="I68" t="s">
        <v>46</v>
      </c>
      <c r="J68" t="s">
        <v>47</v>
      </c>
      <c r="K68" t="s">
        <v>6</v>
      </c>
      <c r="L68" t="s">
        <v>1623</v>
      </c>
      <c r="M68" t="s">
        <v>1629</v>
      </c>
      <c r="N68" t="s">
        <v>1620</v>
      </c>
      <c r="O68" t="str">
        <f>CONCATENATE(Tabelle132[[#This Row],[Raumcode]],".",Tabelle132[[#This Row],[Code]])</f>
        <v>O2.SD1</v>
      </c>
      <c r="Q68" t="s">
        <v>79</v>
      </c>
    </row>
    <row r="69" spans="2:17" x14ac:dyDescent="0.25">
      <c r="B69" s="27" t="s">
        <v>116</v>
      </c>
      <c r="C69" s="36">
        <v>2</v>
      </c>
      <c r="D69" t="s">
        <v>119</v>
      </c>
      <c r="E69" s="36">
        <v>2</v>
      </c>
      <c r="F69" t="s">
        <v>125</v>
      </c>
      <c r="G69" s="66" t="s">
        <v>1827</v>
      </c>
      <c r="H69" t="s">
        <v>1705</v>
      </c>
      <c r="I69" t="s">
        <v>46</v>
      </c>
      <c r="J69" t="s">
        <v>48</v>
      </c>
      <c r="K69" t="s">
        <v>6</v>
      </c>
      <c r="L69" t="s">
        <v>1623</v>
      </c>
      <c r="M69" t="s">
        <v>1634</v>
      </c>
      <c r="N69" t="s">
        <v>1668</v>
      </c>
      <c r="O69" t="str">
        <f>CONCATENATE(Tabelle132[[#This Row],[Raumcode]],".",Tabelle132[[#This Row],[Code]])</f>
        <v>O2.SD2</v>
      </c>
      <c r="Q69" t="s">
        <v>79</v>
      </c>
    </row>
    <row r="70" spans="2:17" x14ac:dyDescent="0.25">
      <c r="B70" s="27" t="s">
        <v>116</v>
      </c>
      <c r="C70" s="36">
        <v>2</v>
      </c>
      <c r="D70" t="s">
        <v>119</v>
      </c>
      <c r="E70" s="36">
        <v>2</v>
      </c>
      <c r="F70" t="s">
        <v>125</v>
      </c>
      <c r="G70" s="66" t="s">
        <v>1827</v>
      </c>
      <c r="H70" t="s">
        <v>1706</v>
      </c>
      <c r="I70" t="s">
        <v>46</v>
      </c>
      <c r="J70" t="s">
        <v>48</v>
      </c>
      <c r="K70" t="s">
        <v>6</v>
      </c>
      <c r="L70" t="s">
        <v>1623</v>
      </c>
      <c r="M70" t="s">
        <v>1634</v>
      </c>
      <c r="N70" t="s">
        <v>1669</v>
      </c>
      <c r="O70" t="str">
        <f>CONCATENATE(Tabelle132[[#This Row],[Raumcode]],".",Tabelle132[[#This Row],[Code]])</f>
        <v>O2.SD3</v>
      </c>
      <c r="Q70" t="s">
        <v>79</v>
      </c>
    </row>
    <row r="71" spans="2:17" x14ac:dyDescent="0.25">
      <c r="B71" s="27" t="s">
        <v>116</v>
      </c>
      <c r="C71" s="36">
        <v>2</v>
      </c>
      <c r="D71" t="s">
        <v>119</v>
      </c>
      <c r="E71" s="36">
        <v>2</v>
      </c>
      <c r="F71" t="s">
        <v>125</v>
      </c>
      <c r="G71" s="66" t="s">
        <v>1827</v>
      </c>
      <c r="H71" t="s">
        <v>1741</v>
      </c>
      <c r="I71" t="s">
        <v>46</v>
      </c>
      <c r="J71" t="s">
        <v>1680</v>
      </c>
      <c r="K71" t="s">
        <v>104</v>
      </c>
      <c r="L71" t="s">
        <v>1626</v>
      </c>
      <c r="M71" t="s">
        <v>1633</v>
      </c>
      <c r="N71" t="s">
        <v>1681</v>
      </c>
      <c r="O71" t="str">
        <f>CONCATENATE(Tabelle132[[#This Row],[Raumcode]],".",Tabelle132[[#This Row],[Code]])</f>
        <v>O2.ND1</v>
      </c>
      <c r="Q71" t="s">
        <v>79</v>
      </c>
    </row>
    <row r="72" spans="2:17" x14ac:dyDescent="0.25">
      <c r="B72" s="27" t="s">
        <v>116</v>
      </c>
      <c r="C72" s="36">
        <v>2</v>
      </c>
      <c r="D72" t="s">
        <v>119</v>
      </c>
      <c r="E72" s="36">
        <v>2</v>
      </c>
      <c r="F72" t="s">
        <v>125</v>
      </c>
      <c r="G72" s="66" t="s">
        <v>1827</v>
      </c>
      <c r="H72" t="s">
        <v>1710</v>
      </c>
      <c r="I72" t="s">
        <v>46</v>
      </c>
      <c r="J72" t="s">
        <v>48</v>
      </c>
      <c r="K72" t="s">
        <v>6</v>
      </c>
      <c r="L72" t="s">
        <v>1623</v>
      </c>
      <c r="M72" t="s">
        <v>1634</v>
      </c>
      <c r="N72" t="s">
        <v>1670</v>
      </c>
      <c r="O72" t="str">
        <f>CONCATENATE(Tabelle132[[#This Row],[Raumcode]],".",Tabelle132[[#This Row],[Code]])</f>
        <v>O2.SD4</v>
      </c>
      <c r="Q72" t="s">
        <v>79</v>
      </c>
    </row>
    <row r="73" spans="2:17" x14ac:dyDescent="0.25">
      <c r="B73" s="27" t="s">
        <v>116</v>
      </c>
      <c r="C73" s="36">
        <v>2</v>
      </c>
      <c r="D73" t="s">
        <v>119</v>
      </c>
      <c r="E73" s="36">
        <v>2</v>
      </c>
      <c r="F73" t="s">
        <v>125</v>
      </c>
      <c r="G73" s="66" t="s">
        <v>1827</v>
      </c>
      <c r="H73" t="s">
        <v>1711</v>
      </c>
      <c r="I73" t="s">
        <v>46</v>
      </c>
      <c r="J73" t="s">
        <v>48</v>
      </c>
      <c r="K73" t="s">
        <v>6</v>
      </c>
      <c r="L73" t="s">
        <v>1623</v>
      </c>
      <c r="M73" t="s">
        <v>1634</v>
      </c>
      <c r="N73" t="s">
        <v>1671</v>
      </c>
      <c r="O73" t="str">
        <f>CONCATENATE(Tabelle132[[#This Row],[Raumcode]],".",Tabelle132[[#This Row],[Code]])</f>
        <v>O2.SD5</v>
      </c>
      <c r="Q73" t="s">
        <v>79</v>
      </c>
    </row>
    <row r="74" spans="2:17" x14ac:dyDescent="0.25">
      <c r="B74" s="27" t="s">
        <v>116</v>
      </c>
      <c r="C74" s="36">
        <v>2</v>
      </c>
      <c r="D74" t="s">
        <v>119</v>
      </c>
      <c r="E74" s="36">
        <v>2</v>
      </c>
      <c r="F74" t="s">
        <v>125</v>
      </c>
      <c r="G74" s="66" t="s">
        <v>1827</v>
      </c>
      <c r="H74" t="s">
        <v>1716</v>
      </c>
      <c r="I74" t="s">
        <v>46</v>
      </c>
      <c r="J74" t="s">
        <v>47</v>
      </c>
      <c r="K74" t="s">
        <v>6</v>
      </c>
      <c r="L74" t="s">
        <v>1623</v>
      </c>
      <c r="M74" t="s">
        <v>1629</v>
      </c>
      <c r="N74" t="s">
        <v>1673</v>
      </c>
      <c r="O74" t="str">
        <f>CONCATENATE(Tabelle132[[#This Row],[Raumcode]],".",Tabelle132[[#This Row],[Code]])</f>
        <v>O2.SD6</v>
      </c>
      <c r="Q74" t="s">
        <v>79</v>
      </c>
    </row>
    <row r="75" spans="2:17" x14ac:dyDescent="0.25">
      <c r="B75" s="27" t="s">
        <v>116</v>
      </c>
      <c r="C75" s="36">
        <v>2</v>
      </c>
      <c r="D75" t="s">
        <v>119</v>
      </c>
      <c r="E75" s="36">
        <v>2</v>
      </c>
      <c r="F75" t="s">
        <v>125</v>
      </c>
      <c r="G75" s="66" t="s">
        <v>1827</v>
      </c>
      <c r="H75" t="s">
        <v>1717</v>
      </c>
      <c r="I75" t="s">
        <v>46</v>
      </c>
      <c r="J75" t="s">
        <v>48</v>
      </c>
      <c r="K75" t="s">
        <v>6</v>
      </c>
      <c r="L75" t="s">
        <v>1623</v>
      </c>
      <c r="M75" t="s">
        <v>1634</v>
      </c>
      <c r="N75" t="s">
        <v>1721</v>
      </c>
      <c r="O75" t="str">
        <f>CONCATENATE(Tabelle132[[#This Row],[Raumcode]],".",Tabelle132[[#This Row],[Code]])</f>
        <v>O2.SD7</v>
      </c>
      <c r="Q75" t="s">
        <v>79</v>
      </c>
    </row>
    <row r="76" spans="2:17" x14ac:dyDescent="0.25">
      <c r="B76" s="27" t="s">
        <v>116</v>
      </c>
      <c r="C76" s="36">
        <v>2</v>
      </c>
      <c r="D76" t="s">
        <v>119</v>
      </c>
      <c r="E76" s="36">
        <v>2</v>
      </c>
      <c r="F76" t="s">
        <v>125</v>
      </c>
      <c r="G76" s="66" t="s">
        <v>1827</v>
      </c>
      <c r="H76" t="s">
        <v>1775</v>
      </c>
      <c r="I76" t="s">
        <v>46</v>
      </c>
      <c r="J76" t="s">
        <v>47</v>
      </c>
      <c r="K76" t="s">
        <v>6</v>
      </c>
      <c r="L76" t="s">
        <v>1623</v>
      </c>
      <c r="M76" t="s">
        <v>1629</v>
      </c>
      <c r="N76" t="s">
        <v>1722</v>
      </c>
      <c r="O76" t="str">
        <f>CONCATENATE(Tabelle132[[#This Row],[Raumcode]],".",Tabelle132[[#This Row],[Code]])</f>
        <v>O2.SD8</v>
      </c>
      <c r="Q76" t="s">
        <v>76</v>
      </c>
    </row>
    <row r="77" spans="2:17" x14ac:dyDescent="0.25">
      <c r="B77" s="27" t="s">
        <v>116</v>
      </c>
      <c r="C77" s="36">
        <v>2</v>
      </c>
      <c r="D77" t="s">
        <v>119</v>
      </c>
      <c r="E77" s="36">
        <v>2</v>
      </c>
      <c r="F77" t="s">
        <v>125</v>
      </c>
      <c r="G77" s="66" t="s">
        <v>1827</v>
      </c>
      <c r="H77" t="s">
        <v>1755</v>
      </c>
      <c r="I77" t="s">
        <v>46</v>
      </c>
      <c r="J77" t="s">
        <v>47</v>
      </c>
      <c r="K77" t="s">
        <v>6</v>
      </c>
      <c r="L77" t="s">
        <v>1623</v>
      </c>
      <c r="M77" t="s">
        <v>1629</v>
      </c>
      <c r="N77" t="s">
        <v>1723</v>
      </c>
      <c r="O77" t="str">
        <f>CONCATENATE(Tabelle132[[#This Row],[Raumcode]],".",Tabelle132[[#This Row],[Code]])</f>
        <v>O2.SD9</v>
      </c>
      <c r="Q77" t="s">
        <v>79</v>
      </c>
    </row>
    <row r="78" spans="2:17" x14ac:dyDescent="0.25">
      <c r="B78" s="27" t="s">
        <v>116</v>
      </c>
      <c r="C78" s="36">
        <v>2</v>
      </c>
      <c r="D78" t="s">
        <v>119</v>
      </c>
      <c r="E78" s="36">
        <v>2</v>
      </c>
      <c r="F78" t="s">
        <v>125</v>
      </c>
      <c r="G78" s="66" t="s">
        <v>1827</v>
      </c>
      <c r="H78" t="s">
        <v>1756</v>
      </c>
      <c r="I78" t="s">
        <v>46</v>
      </c>
      <c r="J78" t="s">
        <v>48</v>
      </c>
      <c r="K78" t="s">
        <v>6</v>
      </c>
      <c r="L78" t="s">
        <v>1623</v>
      </c>
      <c r="M78" t="s">
        <v>1634</v>
      </c>
      <c r="N78" t="s">
        <v>1724</v>
      </c>
      <c r="O78" t="str">
        <f>CONCATENATE(Tabelle132[[#This Row],[Raumcode]],".",Tabelle132[[#This Row],[Code]])</f>
        <v>O2.SD10</v>
      </c>
      <c r="Q78" t="s">
        <v>79</v>
      </c>
    </row>
    <row r="79" spans="2:17" x14ac:dyDescent="0.25">
      <c r="B79" s="27" t="s">
        <v>116</v>
      </c>
      <c r="C79" s="36">
        <v>2</v>
      </c>
      <c r="D79" t="s">
        <v>119</v>
      </c>
      <c r="E79" s="36">
        <v>2</v>
      </c>
      <c r="F79" t="s">
        <v>125</v>
      </c>
      <c r="G79" s="66" t="s">
        <v>1827</v>
      </c>
      <c r="H79" t="s">
        <v>1796</v>
      </c>
      <c r="I79" t="s">
        <v>46</v>
      </c>
      <c r="J79" t="s">
        <v>48</v>
      </c>
      <c r="K79" t="s">
        <v>6</v>
      </c>
      <c r="L79" t="s">
        <v>1623</v>
      </c>
      <c r="M79" t="s">
        <v>1634</v>
      </c>
      <c r="N79" t="s">
        <v>1725</v>
      </c>
      <c r="O79" t="str">
        <f>CONCATENATE(Tabelle132[[#This Row],[Raumcode]],".",Tabelle132[[#This Row],[Code]])</f>
        <v>O2.SD11</v>
      </c>
      <c r="Q79" t="s">
        <v>79</v>
      </c>
    </row>
    <row r="80" spans="2:17" x14ac:dyDescent="0.25">
      <c r="B80" s="27" t="s">
        <v>116</v>
      </c>
      <c r="C80" s="36">
        <v>2</v>
      </c>
      <c r="D80" t="s">
        <v>119</v>
      </c>
      <c r="E80" s="36">
        <v>2</v>
      </c>
      <c r="F80" t="s">
        <v>125</v>
      </c>
      <c r="G80" s="66" t="s">
        <v>1827</v>
      </c>
      <c r="H80" t="s">
        <v>1828</v>
      </c>
      <c r="I80" t="s">
        <v>46</v>
      </c>
      <c r="J80" t="s">
        <v>1680</v>
      </c>
      <c r="K80" t="s">
        <v>104</v>
      </c>
      <c r="L80" t="s">
        <v>1626</v>
      </c>
      <c r="M80" t="s">
        <v>1633</v>
      </c>
      <c r="N80" t="s">
        <v>1743</v>
      </c>
      <c r="O80" t="str">
        <f>CONCATENATE(Tabelle132[[#This Row],[Raumcode]],".",Tabelle132[[#This Row],[Code]])</f>
        <v>O2.ND2</v>
      </c>
      <c r="Q80" t="s">
        <v>79</v>
      </c>
    </row>
    <row r="81" spans="2:17" x14ac:dyDescent="0.25">
      <c r="B81" s="27" t="s">
        <v>116</v>
      </c>
      <c r="C81" s="36">
        <v>2</v>
      </c>
      <c r="D81" t="s">
        <v>119</v>
      </c>
      <c r="E81" s="36">
        <v>2</v>
      </c>
      <c r="F81" t="s">
        <v>125</v>
      </c>
      <c r="G81" s="66" t="s">
        <v>1827</v>
      </c>
      <c r="H81" t="s">
        <v>1733</v>
      </c>
      <c r="I81" t="s">
        <v>46</v>
      </c>
      <c r="J81" t="s">
        <v>47</v>
      </c>
      <c r="K81" t="s">
        <v>6</v>
      </c>
      <c r="L81" t="s">
        <v>1623</v>
      </c>
      <c r="M81" t="s">
        <v>1629</v>
      </c>
      <c r="N81" t="s">
        <v>1726</v>
      </c>
      <c r="O81" t="str">
        <f>CONCATENATE(Tabelle132[[#This Row],[Raumcode]],".",Tabelle132[[#This Row],[Code]])</f>
        <v>O2.SD12</v>
      </c>
      <c r="Q81" t="s">
        <v>76</v>
      </c>
    </row>
    <row r="82" spans="2:17" x14ac:dyDescent="0.25">
      <c r="B82" s="27" t="s">
        <v>116</v>
      </c>
      <c r="C82" s="36">
        <v>2</v>
      </c>
      <c r="D82" t="s">
        <v>119</v>
      </c>
      <c r="E82" s="36">
        <v>2</v>
      </c>
      <c r="F82" t="s">
        <v>125</v>
      </c>
      <c r="G82" s="66" t="s">
        <v>1827</v>
      </c>
      <c r="H82" t="s">
        <v>1652</v>
      </c>
      <c r="I82" t="s">
        <v>255</v>
      </c>
      <c r="J82" t="s">
        <v>1657</v>
      </c>
      <c r="K82" t="s">
        <v>13</v>
      </c>
      <c r="L82" t="s">
        <v>1640</v>
      </c>
      <c r="M82" t="s">
        <v>1632</v>
      </c>
      <c r="N82" t="s">
        <v>1651</v>
      </c>
      <c r="O82" t="str">
        <f>CONCATENATE(Tabelle132[[#This Row],[Raumcode]],".",Tabelle132[[#This Row],[Code]])</f>
        <v>O2.DA1</v>
      </c>
    </row>
    <row r="83" spans="2:17" x14ac:dyDescent="0.25">
      <c r="B83" s="27" t="s">
        <v>1613</v>
      </c>
      <c r="C83" s="36">
        <v>1</v>
      </c>
      <c r="D83" t="s">
        <v>88</v>
      </c>
      <c r="E83" s="36">
        <v>2</v>
      </c>
      <c r="F83" t="s">
        <v>107</v>
      </c>
      <c r="G83" s="66" t="s">
        <v>1686</v>
      </c>
      <c r="H83" t="s">
        <v>1675</v>
      </c>
      <c r="I83" t="s">
        <v>1676</v>
      </c>
      <c r="K83" t="s">
        <v>14</v>
      </c>
      <c r="L83" t="s">
        <v>1639</v>
      </c>
      <c r="M83" t="s">
        <v>1649</v>
      </c>
      <c r="N83" t="s">
        <v>1678</v>
      </c>
      <c r="O83" t="str">
        <f>CONCATENATE(Tabelle132[[#This Row],[Raumcode]],".",Tabelle132[[#This Row],[Code]])</f>
        <v>E2.DL1</v>
      </c>
      <c r="Q83" t="s">
        <v>83</v>
      </c>
    </row>
    <row r="84" spans="2:17" x14ac:dyDescent="0.25">
      <c r="B84" s="27" t="s">
        <v>1613</v>
      </c>
      <c r="C84" s="36">
        <v>1</v>
      </c>
      <c r="D84" t="s">
        <v>88</v>
      </c>
      <c r="E84" s="36">
        <v>2</v>
      </c>
      <c r="F84" t="s">
        <v>107</v>
      </c>
      <c r="G84" s="66" t="s">
        <v>1686</v>
      </c>
      <c r="H84" t="s">
        <v>1694</v>
      </c>
      <c r="I84" t="s">
        <v>17</v>
      </c>
      <c r="J84" t="s">
        <v>18</v>
      </c>
      <c r="K84" t="s">
        <v>9</v>
      </c>
      <c r="L84" t="s">
        <v>1623</v>
      </c>
      <c r="M84" t="s">
        <v>1695</v>
      </c>
      <c r="N84" t="s">
        <v>1621</v>
      </c>
      <c r="O84" t="str">
        <f>CONCATENATE(Tabelle132[[#This Row],[Raumcode]],".",Tabelle132[[#This Row],[Code]])</f>
        <v>E2.BL1</v>
      </c>
      <c r="Q84" t="s">
        <v>83</v>
      </c>
    </row>
    <row r="85" spans="2:17" x14ac:dyDescent="0.25">
      <c r="B85" s="27" t="s">
        <v>1613</v>
      </c>
      <c r="C85" s="36">
        <v>1</v>
      </c>
      <c r="D85" t="s">
        <v>88</v>
      </c>
      <c r="E85" s="36">
        <v>2</v>
      </c>
      <c r="F85" t="s">
        <v>107</v>
      </c>
      <c r="G85" s="66" t="s">
        <v>1686</v>
      </c>
      <c r="H85" t="s">
        <v>1696</v>
      </c>
      <c r="I85" t="s">
        <v>17</v>
      </c>
      <c r="J85" t="s">
        <v>1614</v>
      </c>
      <c r="K85" t="s">
        <v>9</v>
      </c>
      <c r="L85" t="s">
        <v>1640</v>
      </c>
      <c r="M85" t="s">
        <v>1555</v>
      </c>
      <c r="N85" t="s">
        <v>1643</v>
      </c>
      <c r="O85" t="str">
        <f>CONCATENATE(Tabelle132[[#This Row],[Raumcode]],".",Tabelle132[[#This Row],[Code]])</f>
        <v>E2.BL2</v>
      </c>
      <c r="Q85" t="s">
        <v>83</v>
      </c>
    </row>
    <row r="86" spans="2:17" x14ac:dyDescent="0.25">
      <c r="B86" s="27" t="s">
        <v>1613</v>
      </c>
      <c r="C86" s="36">
        <v>1</v>
      </c>
      <c r="D86" t="s">
        <v>88</v>
      </c>
      <c r="E86" s="36">
        <v>2</v>
      </c>
      <c r="F86" t="s">
        <v>107</v>
      </c>
      <c r="G86" s="66" t="s">
        <v>1686</v>
      </c>
      <c r="H86" t="s">
        <v>1697</v>
      </c>
      <c r="I86" t="s">
        <v>17</v>
      </c>
      <c r="J86" t="s">
        <v>1614</v>
      </c>
      <c r="K86" t="s">
        <v>9</v>
      </c>
      <c r="L86" t="s">
        <v>1640</v>
      </c>
      <c r="M86" t="s">
        <v>1555</v>
      </c>
      <c r="N86" t="s">
        <v>1644</v>
      </c>
      <c r="O86" t="str">
        <f>CONCATENATE(Tabelle132[[#This Row],[Raumcode]],".",Tabelle132[[#This Row],[Code]])</f>
        <v>E2.BL3</v>
      </c>
      <c r="Q86" t="s">
        <v>83</v>
      </c>
    </row>
    <row r="87" spans="2:17" x14ac:dyDescent="0.25">
      <c r="B87" s="27" t="s">
        <v>1613</v>
      </c>
      <c r="C87" s="36">
        <v>1</v>
      </c>
      <c r="D87" t="s">
        <v>88</v>
      </c>
      <c r="E87" s="36">
        <v>2</v>
      </c>
      <c r="F87" t="s">
        <v>107</v>
      </c>
      <c r="G87" s="66" t="s">
        <v>1686</v>
      </c>
      <c r="H87" t="s">
        <v>1698</v>
      </c>
      <c r="I87" t="s">
        <v>17</v>
      </c>
      <c r="J87" t="s">
        <v>1614</v>
      </c>
      <c r="K87" t="s">
        <v>9</v>
      </c>
      <c r="L87" t="s">
        <v>1640</v>
      </c>
      <c r="M87" t="s">
        <v>1555</v>
      </c>
      <c r="N87" t="s">
        <v>1645</v>
      </c>
      <c r="O87" t="str">
        <f>CONCATENATE(Tabelle132[[#This Row],[Raumcode]],".",Tabelle132[[#This Row],[Code]])</f>
        <v>E2.BL4</v>
      </c>
      <c r="Q87" t="s">
        <v>83</v>
      </c>
    </row>
    <row r="88" spans="2:17" x14ac:dyDescent="0.25">
      <c r="B88" s="27" t="s">
        <v>1613</v>
      </c>
      <c r="C88" s="36">
        <v>1</v>
      </c>
      <c r="D88" t="s">
        <v>88</v>
      </c>
      <c r="E88" s="36">
        <v>2</v>
      </c>
      <c r="F88" t="s">
        <v>107</v>
      </c>
      <c r="G88" s="66" t="s">
        <v>1686</v>
      </c>
      <c r="H88" t="s">
        <v>1699</v>
      </c>
      <c r="I88" t="s">
        <v>17</v>
      </c>
      <c r="J88" t="s">
        <v>1614</v>
      </c>
      <c r="K88" t="s">
        <v>9</v>
      </c>
      <c r="L88" t="s">
        <v>1640</v>
      </c>
      <c r="M88" t="s">
        <v>1555</v>
      </c>
      <c r="N88" t="s">
        <v>1646</v>
      </c>
      <c r="O88" t="str">
        <f>CONCATENATE(Tabelle132[[#This Row],[Raumcode]],".",Tabelle132[[#This Row],[Code]])</f>
        <v>E2.BL5</v>
      </c>
      <c r="Q88" t="s">
        <v>83</v>
      </c>
    </row>
    <row r="89" spans="2:17" x14ac:dyDescent="0.25">
      <c r="B89" s="27" t="s">
        <v>1613</v>
      </c>
      <c r="C89" s="36">
        <v>1</v>
      </c>
      <c r="D89" t="s">
        <v>88</v>
      </c>
      <c r="E89" s="36">
        <v>2</v>
      </c>
      <c r="F89" t="s">
        <v>107</v>
      </c>
      <c r="G89" s="66" t="s">
        <v>1686</v>
      </c>
      <c r="H89" t="s">
        <v>1661</v>
      </c>
      <c r="I89" t="s">
        <v>17</v>
      </c>
      <c r="J89" t="s">
        <v>18</v>
      </c>
      <c r="K89" t="s">
        <v>9</v>
      </c>
      <c r="L89" t="s">
        <v>1640</v>
      </c>
      <c r="M89" t="s">
        <v>1555</v>
      </c>
      <c r="N89" t="s">
        <v>1647</v>
      </c>
      <c r="O89" t="str">
        <f>CONCATENATE(Tabelle132[[#This Row],[Raumcode]],".",Tabelle132[[#This Row],[Code]])</f>
        <v>E2.BL6</v>
      </c>
      <c r="Q89" t="s">
        <v>76</v>
      </c>
    </row>
    <row r="90" spans="2:17" x14ac:dyDescent="0.25">
      <c r="B90" s="27" t="s">
        <v>1613</v>
      </c>
      <c r="C90" s="36">
        <v>1</v>
      </c>
      <c r="D90" t="s">
        <v>88</v>
      </c>
      <c r="E90" s="36">
        <v>2</v>
      </c>
      <c r="F90" t="s">
        <v>107</v>
      </c>
      <c r="G90" s="66" t="s">
        <v>1686</v>
      </c>
      <c r="H90" t="s">
        <v>1748</v>
      </c>
      <c r="I90" t="s">
        <v>21</v>
      </c>
      <c r="J90" t="s">
        <v>87</v>
      </c>
      <c r="K90" t="s">
        <v>7</v>
      </c>
      <c r="L90" t="s">
        <v>1623</v>
      </c>
      <c r="M90" t="s">
        <v>1630</v>
      </c>
      <c r="N90" t="s">
        <v>1690</v>
      </c>
      <c r="O90" t="str">
        <f>CONCATENATE(Tabelle132[[#This Row],[Raumcode]],".",Tabelle132[[#This Row],[Code]])</f>
        <v>E2.R1</v>
      </c>
      <c r="Q90" t="s">
        <v>76</v>
      </c>
    </row>
    <row r="91" spans="2:17" x14ac:dyDescent="0.25">
      <c r="B91" s="27" t="s">
        <v>1613</v>
      </c>
      <c r="C91" s="36">
        <v>1</v>
      </c>
      <c r="D91" t="s">
        <v>88</v>
      </c>
      <c r="E91" s="36">
        <v>2</v>
      </c>
      <c r="F91" t="s">
        <v>107</v>
      </c>
      <c r="G91" s="66" t="s">
        <v>1686</v>
      </c>
      <c r="H91" t="s">
        <v>1737</v>
      </c>
      <c r="I91" t="s">
        <v>29</v>
      </c>
      <c r="J91" t="s">
        <v>1618</v>
      </c>
      <c r="K91" t="s">
        <v>14</v>
      </c>
      <c r="L91" t="s">
        <v>1641</v>
      </c>
      <c r="M91" t="s">
        <v>1692</v>
      </c>
      <c r="N91" t="s">
        <v>1693</v>
      </c>
      <c r="O91" t="str">
        <f>CONCATENATE(Tabelle132[[#This Row],[Raumcode]],".",Tabelle132[[#This Row],[Code]])</f>
        <v>E2.FK1</v>
      </c>
      <c r="Q91" t="s">
        <v>76</v>
      </c>
    </row>
    <row r="92" spans="2:17" x14ac:dyDescent="0.25">
      <c r="B92" s="27" t="s">
        <v>1613</v>
      </c>
      <c r="C92" s="36">
        <v>1</v>
      </c>
      <c r="D92" t="s">
        <v>88</v>
      </c>
      <c r="E92" s="36">
        <v>2</v>
      </c>
      <c r="F92" t="s">
        <v>107</v>
      </c>
      <c r="G92" s="66" t="s">
        <v>1686</v>
      </c>
      <c r="H92" t="s">
        <v>1687</v>
      </c>
      <c r="I92" t="s">
        <v>46</v>
      </c>
      <c r="J92" t="s">
        <v>49</v>
      </c>
      <c r="K92" t="s">
        <v>6</v>
      </c>
      <c r="L92" t="s">
        <v>1625</v>
      </c>
      <c r="M92" t="s">
        <v>1634</v>
      </c>
      <c r="N92" t="s">
        <v>1620</v>
      </c>
      <c r="O92" t="str">
        <f>CONCATENATE(Tabelle132[[#This Row],[Raumcode]],".",Tabelle132[[#This Row],[Code]])</f>
        <v>E2.SD1</v>
      </c>
      <c r="Q92" t="s">
        <v>79</v>
      </c>
    </row>
    <row r="93" spans="2:17" x14ac:dyDescent="0.25">
      <c r="B93" s="27" t="s">
        <v>1613</v>
      </c>
      <c r="C93" s="36">
        <v>1</v>
      </c>
      <c r="D93" t="s">
        <v>88</v>
      </c>
      <c r="E93" s="36">
        <v>2</v>
      </c>
      <c r="F93" t="s">
        <v>107</v>
      </c>
      <c r="G93" s="66" t="s">
        <v>1686</v>
      </c>
      <c r="H93" t="s">
        <v>80</v>
      </c>
      <c r="I93" t="s">
        <v>46</v>
      </c>
      <c r="J93" t="s">
        <v>48</v>
      </c>
      <c r="K93" t="s">
        <v>6</v>
      </c>
      <c r="L93" t="s">
        <v>1625</v>
      </c>
      <c r="M93" t="s">
        <v>1634</v>
      </c>
      <c r="N93" t="s">
        <v>1668</v>
      </c>
      <c r="O93" t="str">
        <f>CONCATENATE(Tabelle132[[#This Row],[Raumcode]],".",Tabelle132[[#This Row],[Code]])</f>
        <v>E2.SD2</v>
      </c>
      <c r="Q93" t="s">
        <v>79</v>
      </c>
    </row>
    <row r="94" spans="2:17" x14ac:dyDescent="0.25">
      <c r="B94" s="27" t="s">
        <v>1613</v>
      </c>
      <c r="C94" s="36">
        <v>1</v>
      </c>
      <c r="D94" t="s">
        <v>88</v>
      </c>
      <c r="E94" s="36">
        <v>2</v>
      </c>
      <c r="F94" t="s">
        <v>107</v>
      </c>
      <c r="G94" s="66" t="s">
        <v>1686</v>
      </c>
      <c r="H94" t="s">
        <v>1688</v>
      </c>
      <c r="I94" t="s">
        <v>46</v>
      </c>
      <c r="J94" t="s">
        <v>48</v>
      </c>
      <c r="K94" t="s">
        <v>6</v>
      </c>
      <c r="L94" t="s">
        <v>1625</v>
      </c>
      <c r="M94" t="s">
        <v>1634</v>
      </c>
      <c r="N94" t="s">
        <v>1669</v>
      </c>
      <c r="O94" t="str">
        <f>CONCATENATE(Tabelle132[[#This Row],[Raumcode]],".",Tabelle132[[#This Row],[Code]])</f>
        <v>E2.SD3</v>
      </c>
      <c r="Q94" t="s">
        <v>77</v>
      </c>
    </row>
    <row r="95" spans="2:17" x14ac:dyDescent="0.25">
      <c r="B95" s="27" t="s">
        <v>1613</v>
      </c>
      <c r="C95" s="36">
        <v>1</v>
      </c>
      <c r="D95" t="s">
        <v>88</v>
      </c>
      <c r="E95" s="36">
        <v>2</v>
      </c>
      <c r="F95" t="s">
        <v>107</v>
      </c>
      <c r="G95" s="66" t="s">
        <v>1686</v>
      </c>
      <c r="H95" t="s">
        <v>1689</v>
      </c>
      <c r="I95" t="s">
        <v>46</v>
      </c>
      <c r="J95" t="s">
        <v>48</v>
      </c>
      <c r="K95" t="s">
        <v>6</v>
      </c>
      <c r="L95" t="s">
        <v>1623</v>
      </c>
      <c r="M95" t="s">
        <v>1634</v>
      </c>
      <c r="N95" t="s">
        <v>1670</v>
      </c>
      <c r="O95" t="str">
        <f>CONCATENATE(Tabelle132[[#This Row],[Raumcode]],".",Tabelle132[[#This Row],[Code]])</f>
        <v>E2.SD4</v>
      </c>
      <c r="Q95" t="s">
        <v>77</v>
      </c>
    </row>
    <row r="96" spans="2:17" x14ac:dyDescent="0.25">
      <c r="B96" s="27" t="s">
        <v>1613</v>
      </c>
      <c r="C96" s="36">
        <v>1</v>
      </c>
      <c r="D96" t="s">
        <v>88</v>
      </c>
      <c r="E96" s="36">
        <v>2</v>
      </c>
      <c r="F96" t="s">
        <v>107</v>
      </c>
      <c r="G96" s="66" t="s">
        <v>1686</v>
      </c>
      <c r="H96" t="s">
        <v>1709</v>
      </c>
      <c r="I96" t="s">
        <v>46</v>
      </c>
      <c r="J96" t="s">
        <v>47</v>
      </c>
      <c r="K96" t="s">
        <v>6</v>
      </c>
      <c r="L96" t="s">
        <v>1623</v>
      </c>
      <c r="M96" t="s">
        <v>1629</v>
      </c>
      <c r="N96" t="s">
        <v>1671</v>
      </c>
      <c r="O96" t="str">
        <f>CONCATENATE(Tabelle132[[#This Row],[Raumcode]],".",Tabelle132[[#This Row],[Code]])</f>
        <v>E2.SD5</v>
      </c>
      <c r="Q96" t="s">
        <v>76</v>
      </c>
    </row>
    <row r="97" spans="2:17" x14ac:dyDescent="0.25">
      <c r="B97" s="27" t="s">
        <v>1613</v>
      </c>
      <c r="C97" s="36">
        <v>1</v>
      </c>
      <c r="D97" t="s">
        <v>88</v>
      </c>
      <c r="E97" s="36">
        <v>2</v>
      </c>
      <c r="F97" t="s">
        <v>107</v>
      </c>
      <c r="G97" s="66" t="s">
        <v>1686</v>
      </c>
      <c r="H97" t="s">
        <v>1700</v>
      </c>
      <c r="I97" t="s">
        <v>255</v>
      </c>
      <c r="J97" t="s">
        <v>1695</v>
      </c>
      <c r="K97" t="s">
        <v>6</v>
      </c>
      <c r="L97" t="s">
        <v>1623</v>
      </c>
      <c r="M97" t="s">
        <v>1634</v>
      </c>
      <c r="N97" t="s">
        <v>1651</v>
      </c>
      <c r="O97" t="str">
        <f>CONCATENATE(Tabelle132[[#This Row],[Raumcode]],".",Tabelle132[[#This Row],[Code]])</f>
        <v>E2.DA1</v>
      </c>
      <c r="Q97" t="s">
        <v>83</v>
      </c>
    </row>
    <row r="98" spans="2:17" x14ac:dyDescent="0.25">
      <c r="B98" s="27" t="s">
        <v>1613</v>
      </c>
      <c r="C98" s="36">
        <v>1</v>
      </c>
      <c r="D98" t="s">
        <v>88</v>
      </c>
      <c r="E98" s="36">
        <v>2</v>
      </c>
      <c r="F98" t="s">
        <v>107</v>
      </c>
      <c r="G98" s="66" t="s">
        <v>1686</v>
      </c>
      <c r="H98" t="s">
        <v>1652</v>
      </c>
      <c r="I98" t="s">
        <v>255</v>
      </c>
      <c r="J98" t="s">
        <v>1657</v>
      </c>
      <c r="K98" t="s">
        <v>13</v>
      </c>
      <c r="L98" t="s">
        <v>1640</v>
      </c>
      <c r="M98" t="s">
        <v>1632</v>
      </c>
      <c r="N98" t="s">
        <v>1658</v>
      </c>
      <c r="O98" t="str">
        <f>CONCATENATE(Tabelle132[[#This Row],[Raumcode]],".",Tabelle132[[#This Row],[Code]])</f>
        <v>E2.DA2</v>
      </c>
    </row>
    <row r="99" spans="2:17" x14ac:dyDescent="0.25">
      <c r="B99" s="27" t="s">
        <v>1613</v>
      </c>
      <c r="C99" s="36">
        <v>1</v>
      </c>
      <c r="D99" t="s">
        <v>88</v>
      </c>
      <c r="E99" s="36">
        <v>2</v>
      </c>
      <c r="F99" t="s">
        <v>107</v>
      </c>
      <c r="G99" s="66" t="s">
        <v>1686</v>
      </c>
      <c r="H99" t="s">
        <v>1664</v>
      </c>
      <c r="I99" t="s">
        <v>255</v>
      </c>
      <c r="J99" t="s">
        <v>1656</v>
      </c>
      <c r="K99" t="s">
        <v>13</v>
      </c>
      <c r="L99" t="s">
        <v>1640</v>
      </c>
      <c r="M99" t="s">
        <v>1632</v>
      </c>
      <c r="N99" t="s">
        <v>1665</v>
      </c>
      <c r="O99" t="str">
        <f>CONCATENATE(Tabelle132[[#This Row],[Raumcode]],".",Tabelle132[[#This Row],[Code]])</f>
        <v>E2.DA3</v>
      </c>
    </row>
    <row r="100" spans="2:17" x14ac:dyDescent="0.25">
      <c r="B100" s="27" t="s">
        <v>1613</v>
      </c>
      <c r="C100" s="36">
        <v>1</v>
      </c>
      <c r="D100" t="s">
        <v>91</v>
      </c>
      <c r="E100" s="36">
        <v>3</v>
      </c>
      <c r="F100" t="s">
        <v>1701</v>
      </c>
      <c r="G100" s="66" t="s">
        <v>1702</v>
      </c>
      <c r="H100" t="s">
        <v>1759</v>
      </c>
      <c r="I100" t="s">
        <v>1676</v>
      </c>
      <c r="K100" t="s">
        <v>14</v>
      </c>
      <c r="L100" t="s">
        <v>1639</v>
      </c>
      <c r="M100" t="s">
        <v>1649</v>
      </c>
      <c r="N100" t="s">
        <v>1678</v>
      </c>
      <c r="O100" t="str">
        <f>CONCATENATE(Tabelle132[[#This Row],[Raumcode]],".",Tabelle132[[#This Row],[Code]])</f>
        <v>E3.DL1</v>
      </c>
      <c r="Q100" t="s">
        <v>83</v>
      </c>
    </row>
    <row r="101" spans="2:17" x14ac:dyDescent="0.25">
      <c r="B101" s="27" t="s">
        <v>1613</v>
      </c>
      <c r="C101" s="36">
        <v>1</v>
      </c>
      <c r="D101" t="s">
        <v>91</v>
      </c>
      <c r="E101" s="36">
        <v>3</v>
      </c>
      <c r="F101" t="s">
        <v>1701</v>
      </c>
      <c r="G101" s="66" t="s">
        <v>1702</v>
      </c>
      <c r="H101" t="s">
        <v>1760</v>
      </c>
      <c r="I101" t="s">
        <v>1676</v>
      </c>
      <c r="K101" t="s">
        <v>14</v>
      </c>
      <c r="L101" t="s">
        <v>1639</v>
      </c>
      <c r="M101" t="s">
        <v>1649</v>
      </c>
      <c r="N101" t="s">
        <v>1746</v>
      </c>
      <c r="O101" t="str">
        <f>CONCATENATE(Tabelle132[[#This Row],[Raumcode]],".",Tabelle132[[#This Row],[Code]])</f>
        <v>E3.DL2</v>
      </c>
      <c r="Q101" t="s">
        <v>83</v>
      </c>
    </row>
    <row r="102" spans="2:17" x14ac:dyDescent="0.25">
      <c r="B102" s="27" t="s">
        <v>1613</v>
      </c>
      <c r="C102" s="36">
        <v>1</v>
      </c>
      <c r="D102" t="s">
        <v>91</v>
      </c>
      <c r="E102" s="36">
        <v>3</v>
      </c>
      <c r="F102" t="s">
        <v>1701</v>
      </c>
      <c r="G102" s="66" t="s">
        <v>1702</v>
      </c>
      <c r="H102" t="s">
        <v>1740</v>
      </c>
      <c r="I102" t="s">
        <v>17</v>
      </c>
      <c r="J102" t="s">
        <v>1614</v>
      </c>
      <c r="K102" t="s">
        <v>9</v>
      </c>
      <c r="L102" t="s">
        <v>1640</v>
      </c>
      <c r="M102" t="s">
        <v>1555</v>
      </c>
      <c r="N102" t="s">
        <v>1621</v>
      </c>
      <c r="O102" t="str">
        <f>CONCATENATE(Tabelle132[[#This Row],[Raumcode]],".",Tabelle132[[#This Row],[Code]])</f>
        <v>E3.BL1</v>
      </c>
      <c r="Q102" t="s">
        <v>83</v>
      </c>
    </row>
    <row r="103" spans="2:17" x14ac:dyDescent="0.25">
      <c r="B103" s="27" t="s">
        <v>1613</v>
      </c>
      <c r="C103" s="36">
        <v>1</v>
      </c>
      <c r="D103" t="s">
        <v>91</v>
      </c>
      <c r="E103" s="36">
        <v>3</v>
      </c>
      <c r="F103" t="s">
        <v>1701</v>
      </c>
      <c r="G103" s="66" t="s">
        <v>1702</v>
      </c>
      <c r="H103" t="s">
        <v>1749</v>
      </c>
      <c r="I103" t="s">
        <v>21</v>
      </c>
      <c r="J103" t="s">
        <v>87</v>
      </c>
      <c r="K103" t="s">
        <v>7</v>
      </c>
      <c r="L103" t="s">
        <v>1623</v>
      </c>
      <c r="M103" t="s">
        <v>1630</v>
      </c>
      <c r="N103" t="s">
        <v>1690</v>
      </c>
      <c r="O103" t="str">
        <f>CONCATENATE(Tabelle132[[#This Row],[Raumcode]],".",Tabelle132[[#This Row],[Code]])</f>
        <v>E3.R1</v>
      </c>
      <c r="Q103" t="s">
        <v>76</v>
      </c>
    </row>
    <row r="104" spans="2:17" x14ac:dyDescent="0.25">
      <c r="B104" s="27" t="s">
        <v>1613</v>
      </c>
      <c r="C104" s="36">
        <v>1</v>
      </c>
      <c r="D104" t="s">
        <v>91</v>
      </c>
      <c r="E104" s="36">
        <v>3</v>
      </c>
      <c r="F104" t="s">
        <v>1701</v>
      </c>
      <c r="G104" s="66" t="s">
        <v>1702</v>
      </c>
      <c r="H104" t="s">
        <v>1750</v>
      </c>
      <c r="I104" t="s">
        <v>21</v>
      </c>
      <c r="J104" t="s">
        <v>1616</v>
      </c>
      <c r="K104" t="s">
        <v>7</v>
      </c>
      <c r="L104" t="s">
        <v>1623</v>
      </c>
      <c r="M104" t="s">
        <v>1630</v>
      </c>
      <c r="N104" t="s">
        <v>1703</v>
      </c>
      <c r="O104" t="str">
        <f>CONCATENATE(Tabelle132[[#This Row],[Raumcode]],".",Tabelle132[[#This Row],[Code]])</f>
        <v>E3.RS1</v>
      </c>
      <c r="Q104" t="s">
        <v>76</v>
      </c>
    </row>
    <row r="105" spans="2:17" x14ac:dyDescent="0.25">
      <c r="B105" s="27" t="s">
        <v>1613</v>
      </c>
      <c r="C105" s="36">
        <v>1</v>
      </c>
      <c r="D105" t="s">
        <v>91</v>
      </c>
      <c r="E105" s="36">
        <v>3</v>
      </c>
      <c r="F105" t="s">
        <v>1701</v>
      </c>
      <c r="G105" s="66" t="s">
        <v>1702</v>
      </c>
      <c r="H105" t="s">
        <v>1735</v>
      </c>
      <c r="I105" t="s">
        <v>29</v>
      </c>
      <c r="J105" t="s">
        <v>37</v>
      </c>
      <c r="K105" t="s">
        <v>10</v>
      </c>
      <c r="L105" t="s">
        <v>10</v>
      </c>
      <c r="M105" t="s">
        <v>1638</v>
      </c>
      <c r="N105" t="s">
        <v>109</v>
      </c>
      <c r="O105" t="str">
        <f>CONCATENATE(Tabelle132[[#This Row],[Raumcode]],".",Tabelle132[[#This Row],[Code]])</f>
        <v>E3.TS1</v>
      </c>
      <c r="Q105" t="s">
        <v>77</v>
      </c>
    </row>
    <row r="106" spans="2:17" x14ac:dyDescent="0.25">
      <c r="B106" s="27" t="s">
        <v>1613</v>
      </c>
      <c r="C106" s="36">
        <v>1</v>
      </c>
      <c r="D106" t="s">
        <v>91</v>
      </c>
      <c r="E106" s="36">
        <v>3</v>
      </c>
      <c r="F106" t="s">
        <v>1701</v>
      </c>
      <c r="G106" s="66" t="s">
        <v>1702</v>
      </c>
      <c r="H106" t="s">
        <v>1736</v>
      </c>
      <c r="I106" t="s">
        <v>29</v>
      </c>
      <c r="J106" t="s">
        <v>1618</v>
      </c>
      <c r="K106" t="s">
        <v>14</v>
      </c>
      <c r="L106" t="s">
        <v>1641</v>
      </c>
      <c r="M106" t="s">
        <v>1692</v>
      </c>
      <c r="N106" t="s">
        <v>1693</v>
      </c>
      <c r="O106" t="str">
        <f>CONCATENATE(Tabelle132[[#This Row],[Raumcode]],".",Tabelle132[[#This Row],[Code]])</f>
        <v>E3.FK1</v>
      </c>
      <c r="Q106" t="s">
        <v>76</v>
      </c>
    </row>
    <row r="107" spans="2:17" x14ac:dyDescent="0.25">
      <c r="B107" s="27" t="s">
        <v>1613</v>
      </c>
      <c r="C107" s="36">
        <v>1</v>
      </c>
      <c r="D107" t="s">
        <v>91</v>
      </c>
      <c r="E107" s="36">
        <v>3</v>
      </c>
      <c r="F107" t="s">
        <v>1701</v>
      </c>
      <c r="G107" s="66" t="s">
        <v>1702</v>
      </c>
      <c r="H107" t="s">
        <v>1738</v>
      </c>
      <c r="I107" t="s">
        <v>29</v>
      </c>
      <c r="J107" t="s">
        <v>1618</v>
      </c>
      <c r="K107" t="s">
        <v>14</v>
      </c>
      <c r="L107" t="s">
        <v>1641</v>
      </c>
      <c r="M107" t="s">
        <v>1692</v>
      </c>
      <c r="N107" t="s">
        <v>1739</v>
      </c>
      <c r="O107" t="str">
        <f>CONCATENATE(Tabelle132[[#This Row],[Raumcode]],".",Tabelle132[[#This Row],[Code]])</f>
        <v>E3.FK2</v>
      </c>
      <c r="Q107" t="s">
        <v>76</v>
      </c>
    </row>
    <row r="108" spans="2:17" x14ac:dyDescent="0.25">
      <c r="B108" s="27" t="s">
        <v>1613</v>
      </c>
      <c r="C108" s="36">
        <v>1</v>
      </c>
      <c r="D108" t="s">
        <v>91</v>
      </c>
      <c r="E108" s="36">
        <v>3</v>
      </c>
      <c r="F108" t="s">
        <v>1701</v>
      </c>
      <c r="G108" s="66" t="s">
        <v>1702</v>
      </c>
      <c r="H108" t="s">
        <v>40</v>
      </c>
      <c r="I108" t="s">
        <v>29</v>
      </c>
      <c r="J108" t="s">
        <v>1617</v>
      </c>
      <c r="K108" t="s">
        <v>10</v>
      </c>
      <c r="L108" t="s">
        <v>10</v>
      </c>
      <c r="M108" t="s">
        <v>1638</v>
      </c>
      <c r="N108" t="s">
        <v>103</v>
      </c>
      <c r="O108" t="str">
        <f>CONCATENATE(Tabelle132[[#This Row],[Raumcode]],".",Tabelle132[[#This Row],[Code]])</f>
        <v>E3.PM1</v>
      </c>
      <c r="Q108" t="s">
        <v>83</v>
      </c>
    </row>
    <row r="109" spans="2:17" x14ac:dyDescent="0.25">
      <c r="B109" s="27" t="s">
        <v>1613</v>
      </c>
      <c r="C109" s="36">
        <v>1</v>
      </c>
      <c r="D109" t="s">
        <v>91</v>
      </c>
      <c r="E109" s="36">
        <v>3</v>
      </c>
      <c r="F109" t="s">
        <v>1701</v>
      </c>
      <c r="G109" s="66" t="s">
        <v>1702</v>
      </c>
      <c r="H109" t="s">
        <v>1704</v>
      </c>
      <c r="I109" t="s">
        <v>46</v>
      </c>
      <c r="J109" t="s">
        <v>47</v>
      </c>
      <c r="K109" t="s">
        <v>6</v>
      </c>
      <c r="L109" t="s">
        <v>1623</v>
      </c>
      <c r="M109" t="s">
        <v>1629</v>
      </c>
      <c r="N109" t="s">
        <v>1620</v>
      </c>
      <c r="O109" t="str">
        <f>CONCATENATE(Tabelle132[[#This Row],[Raumcode]],".",Tabelle132[[#This Row],[Code]])</f>
        <v>E3.SD1</v>
      </c>
      <c r="Q109" t="s">
        <v>79</v>
      </c>
    </row>
    <row r="110" spans="2:17" x14ac:dyDescent="0.25">
      <c r="B110" s="27" t="s">
        <v>1613</v>
      </c>
      <c r="C110" s="36">
        <v>1</v>
      </c>
      <c r="D110" t="s">
        <v>91</v>
      </c>
      <c r="E110" s="36">
        <v>3</v>
      </c>
      <c r="F110" t="s">
        <v>1701</v>
      </c>
      <c r="G110" s="66" t="s">
        <v>1702</v>
      </c>
      <c r="H110" t="s">
        <v>1705</v>
      </c>
      <c r="I110" t="s">
        <v>46</v>
      </c>
      <c r="J110" t="s">
        <v>47</v>
      </c>
      <c r="K110" t="s">
        <v>6</v>
      </c>
      <c r="L110" t="s">
        <v>1623</v>
      </c>
      <c r="M110" t="s">
        <v>1629</v>
      </c>
      <c r="N110" t="s">
        <v>1668</v>
      </c>
      <c r="O110" t="str">
        <f>CONCATENATE(Tabelle132[[#This Row],[Raumcode]],".",Tabelle132[[#This Row],[Code]])</f>
        <v>E3.SD2</v>
      </c>
      <c r="Q110" t="s">
        <v>79</v>
      </c>
    </row>
    <row r="111" spans="2:17" x14ac:dyDescent="0.25">
      <c r="B111" s="27" t="s">
        <v>1613</v>
      </c>
      <c r="C111" s="36">
        <v>1</v>
      </c>
      <c r="D111" t="s">
        <v>91</v>
      </c>
      <c r="E111" s="36">
        <v>3</v>
      </c>
      <c r="F111" t="s">
        <v>1701</v>
      </c>
      <c r="G111" s="66" t="s">
        <v>1702</v>
      </c>
      <c r="H111" t="s">
        <v>1706</v>
      </c>
      <c r="I111" t="s">
        <v>46</v>
      </c>
      <c r="J111" t="s">
        <v>48</v>
      </c>
      <c r="K111" t="s">
        <v>6</v>
      </c>
      <c r="L111" t="s">
        <v>1623</v>
      </c>
      <c r="M111" t="s">
        <v>1634</v>
      </c>
      <c r="N111" t="s">
        <v>1669</v>
      </c>
      <c r="O111" t="str">
        <f>CONCATENATE(Tabelle132[[#This Row],[Raumcode]],".",Tabelle132[[#This Row],[Code]])</f>
        <v>E3.SD3</v>
      </c>
      <c r="Q111" t="s">
        <v>79</v>
      </c>
    </row>
    <row r="112" spans="2:17" x14ac:dyDescent="0.25">
      <c r="B112" s="27" t="s">
        <v>1613</v>
      </c>
      <c r="C112" s="36">
        <v>1</v>
      </c>
      <c r="D112" t="s">
        <v>91</v>
      </c>
      <c r="E112" s="36">
        <v>3</v>
      </c>
      <c r="F112" t="s">
        <v>1701</v>
      </c>
      <c r="G112" s="66" t="s">
        <v>1702</v>
      </c>
      <c r="H112" t="s">
        <v>1707</v>
      </c>
      <c r="I112" t="s">
        <v>46</v>
      </c>
      <c r="J112" t="s">
        <v>48</v>
      </c>
      <c r="K112" t="s">
        <v>6</v>
      </c>
      <c r="L112" t="s">
        <v>1623</v>
      </c>
      <c r="M112" t="s">
        <v>1634</v>
      </c>
      <c r="N112" t="s">
        <v>1670</v>
      </c>
      <c r="O112" t="str">
        <f>CONCATENATE(Tabelle132[[#This Row],[Raumcode]],".",Tabelle132[[#This Row],[Code]])</f>
        <v>E3.SD4</v>
      </c>
      <c r="Q112" t="s">
        <v>79</v>
      </c>
    </row>
    <row r="113" spans="2:17" x14ac:dyDescent="0.25">
      <c r="B113" s="27" t="s">
        <v>1613</v>
      </c>
      <c r="C113" s="36">
        <v>1</v>
      </c>
      <c r="D113" t="s">
        <v>91</v>
      </c>
      <c r="E113" s="36">
        <v>3</v>
      </c>
      <c r="F113" t="s">
        <v>1701</v>
      </c>
      <c r="G113" s="66" t="s">
        <v>1702</v>
      </c>
      <c r="H113" t="s">
        <v>1708</v>
      </c>
      <c r="I113" t="s">
        <v>46</v>
      </c>
      <c r="J113" t="s">
        <v>48</v>
      </c>
      <c r="K113" t="s">
        <v>6</v>
      </c>
      <c r="L113" t="s">
        <v>1623</v>
      </c>
      <c r="M113" t="s">
        <v>1634</v>
      </c>
      <c r="N113" t="s">
        <v>1671</v>
      </c>
      <c r="O113" t="str">
        <f>CONCATENATE(Tabelle132[[#This Row],[Raumcode]],".",Tabelle132[[#This Row],[Code]])</f>
        <v>E3.SD5</v>
      </c>
      <c r="Q113" t="s">
        <v>79</v>
      </c>
    </row>
    <row r="114" spans="2:17" x14ac:dyDescent="0.25">
      <c r="B114" s="27" t="s">
        <v>1613</v>
      </c>
      <c r="C114" s="36">
        <v>1</v>
      </c>
      <c r="D114" t="s">
        <v>91</v>
      </c>
      <c r="E114" s="36">
        <v>3</v>
      </c>
      <c r="F114" t="s">
        <v>1701</v>
      </c>
      <c r="G114" s="66" t="s">
        <v>1702</v>
      </c>
      <c r="H114" t="s">
        <v>1741</v>
      </c>
      <c r="I114" t="s">
        <v>46</v>
      </c>
      <c r="J114" t="s">
        <v>1680</v>
      </c>
      <c r="K114" t="s">
        <v>104</v>
      </c>
      <c r="L114" t="s">
        <v>1626</v>
      </c>
      <c r="M114" t="s">
        <v>1633</v>
      </c>
      <c r="N114" t="s">
        <v>1681</v>
      </c>
      <c r="O114" t="str">
        <f>CONCATENATE(Tabelle132[[#This Row],[Raumcode]],".",Tabelle132[[#This Row],[Code]])</f>
        <v>E3.ND1</v>
      </c>
      <c r="Q114" t="s">
        <v>79</v>
      </c>
    </row>
    <row r="115" spans="2:17" x14ac:dyDescent="0.25">
      <c r="B115" s="27" t="s">
        <v>1613</v>
      </c>
      <c r="C115" s="36">
        <v>1</v>
      </c>
      <c r="D115" t="s">
        <v>91</v>
      </c>
      <c r="E115" s="36">
        <v>3</v>
      </c>
      <c r="F115" t="s">
        <v>1701</v>
      </c>
      <c r="G115" s="66" t="s">
        <v>1702</v>
      </c>
      <c r="H115" t="s">
        <v>1732</v>
      </c>
      <c r="I115" t="s">
        <v>46</v>
      </c>
      <c r="J115" t="s">
        <v>47</v>
      </c>
      <c r="K115" t="s">
        <v>6</v>
      </c>
      <c r="L115" t="s">
        <v>1623</v>
      </c>
      <c r="M115" t="s">
        <v>1629</v>
      </c>
      <c r="N115" t="s">
        <v>1673</v>
      </c>
      <c r="O115" t="str">
        <f>CONCATENATE(Tabelle132[[#This Row],[Raumcode]],".",Tabelle132[[#This Row],[Code]])</f>
        <v>E3.SD6</v>
      </c>
      <c r="Q115" t="s">
        <v>76</v>
      </c>
    </row>
    <row r="116" spans="2:17" x14ac:dyDescent="0.25">
      <c r="B116" s="27" t="s">
        <v>1613</v>
      </c>
      <c r="C116" s="36">
        <v>1</v>
      </c>
      <c r="D116" t="s">
        <v>91</v>
      </c>
      <c r="E116" s="36">
        <v>3</v>
      </c>
      <c r="F116" t="s">
        <v>1701</v>
      </c>
      <c r="G116" s="66" t="s">
        <v>1702</v>
      </c>
      <c r="H116" t="s">
        <v>1710</v>
      </c>
      <c r="I116" t="s">
        <v>46</v>
      </c>
      <c r="J116" t="s">
        <v>47</v>
      </c>
      <c r="K116" t="s">
        <v>6</v>
      </c>
      <c r="L116" t="s">
        <v>1623</v>
      </c>
      <c r="M116" t="s">
        <v>1629</v>
      </c>
      <c r="N116" t="s">
        <v>1721</v>
      </c>
      <c r="O116" t="str">
        <f>CONCATENATE(Tabelle132[[#This Row],[Raumcode]],".",Tabelle132[[#This Row],[Code]])</f>
        <v>E3.SD7</v>
      </c>
      <c r="Q116" t="s">
        <v>79</v>
      </c>
    </row>
    <row r="117" spans="2:17" x14ac:dyDescent="0.25">
      <c r="B117" s="27" t="s">
        <v>1613</v>
      </c>
      <c r="C117" s="36">
        <v>1</v>
      </c>
      <c r="D117" t="s">
        <v>91</v>
      </c>
      <c r="E117" s="36">
        <v>3</v>
      </c>
      <c r="F117" t="s">
        <v>1701</v>
      </c>
      <c r="G117" s="66" t="s">
        <v>1702</v>
      </c>
      <c r="H117" t="s">
        <v>1711</v>
      </c>
      <c r="I117" t="s">
        <v>46</v>
      </c>
      <c r="J117" t="s">
        <v>47</v>
      </c>
      <c r="K117" t="s">
        <v>6</v>
      </c>
      <c r="L117" t="s">
        <v>1623</v>
      </c>
      <c r="M117" t="s">
        <v>1629</v>
      </c>
      <c r="N117" t="s">
        <v>1722</v>
      </c>
      <c r="O117" t="str">
        <f>CONCATENATE(Tabelle132[[#This Row],[Raumcode]],".",Tabelle132[[#This Row],[Code]])</f>
        <v>E3.SD8</v>
      </c>
      <c r="Q117" t="s">
        <v>79</v>
      </c>
    </row>
    <row r="118" spans="2:17" x14ac:dyDescent="0.25">
      <c r="B118" s="27" t="s">
        <v>1613</v>
      </c>
      <c r="C118" s="36">
        <v>1</v>
      </c>
      <c r="D118" t="s">
        <v>91</v>
      </c>
      <c r="E118" s="36">
        <v>3</v>
      </c>
      <c r="F118" t="s">
        <v>1701</v>
      </c>
      <c r="G118" s="66" t="s">
        <v>1702</v>
      </c>
      <c r="H118" t="s">
        <v>1712</v>
      </c>
      <c r="I118" t="s">
        <v>46</v>
      </c>
      <c r="J118" t="s">
        <v>48</v>
      </c>
      <c r="K118" t="s">
        <v>6</v>
      </c>
      <c r="L118" t="s">
        <v>1623</v>
      </c>
      <c r="M118" t="s">
        <v>1634</v>
      </c>
      <c r="N118" t="s">
        <v>1723</v>
      </c>
      <c r="O118" t="str">
        <f>CONCATENATE(Tabelle132[[#This Row],[Raumcode]],".",Tabelle132[[#This Row],[Code]])</f>
        <v>E3.SD9</v>
      </c>
      <c r="Q118" t="s">
        <v>79</v>
      </c>
    </row>
    <row r="119" spans="2:17" x14ac:dyDescent="0.25">
      <c r="B119" s="27" t="s">
        <v>1613</v>
      </c>
      <c r="C119" s="36">
        <v>1</v>
      </c>
      <c r="D119" t="s">
        <v>91</v>
      </c>
      <c r="E119" s="36">
        <v>3</v>
      </c>
      <c r="F119" t="s">
        <v>1701</v>
      </c>
      <c r="G119" s="66" t="s">
        <v>1702</v>
      </c>
      <c r="H119" t="s">
        <v>1713</v>
      </c>
      <c r="I119" t="s">
        <v>46</v>
      </c>
      <c r="J119" t="s">
        <v>48</v>
      </c>
      <c r="K119" t="s">
        <v>6</v>
      </c>
      <c r="L119" t="s">
        <v>1623</v>
      </c>
      <c r="M119" t="s">
        <v>1634</v>
      </c>
      <c r="N119" t="s">
        <v>1724</v>
      </c>
      <c r="O119" t="str">
        <f>CONCATENATE(Tabelle132[[#This Row],[Raumcode]],".",Tabelle132[[#This Row],[Code]])</f>
        <v>E3.SD10</v>
      </c>
      <c r="Q119" t="s">
        <v>79</v>
      </c>
    </row>
    <row r="120" spans="2:17" x14ac:dyDescent="0.25">
      <c r="B120" s="27" t="s">
        <v>1613</v>
      </c>
      <c r="C120" s="36">
        <v>1</v>
      </c>
      <c r="D120" t="s">
        <v>91</v>
      </c>
      <c r="E120" s="36">
        <v>3</v>
      </c>
      <c r="F120" t="s">
        <v>1701</v>
      </c>
      <c r="G120" s="66" t="s">
        <v>1702</v>
      </c>
      <c r="H120" t="s">
        <v>1714</v>
      </c>
      <c r="I120" t="s">
        <v>46</v>
      </c>
      <c r="J120" t="s">
        <v>48</v>
      </c>
      <c r="K120" t="s">
        <v>6</v>
      </c>
      <c r="L120" t="s">
        <v>1623</v>
      </c>
      <c r="M120" t="s">
        <v>1634</v>
      </c>
      <c r="N120" t="s">
        <v>1725</v>
      </c>
      <c r="O120" t="str">
        <f>CONCATENATE(Tabelle132[[#This Row],[Raumcode]],".",Tabelle132[[#This Row],[Code]])</f>
        <v>E3.SD11</v>
      </c>
      <c r="Q120" t="s">
        <v>79</v>
      </c>
    </row>
    <row r="121" spans="2:17" x14ac:dyDescent="0.25">
      <c r="B121" s="27" t="s">
        <v>1613</v>
      </c>
      <c r="C121" s="36">
        <v>1</v>
      </c>
      <c r="D121" t="s">
        <v>91</v>
      </c>
      <c r="E121" s="36">
        <v>3</v>
      </c>
      <c r="F121" t="s">
        <v>1701</v>
      </c>
      <c r="G121" s="66" t="s">
        <v>1702</v>
      </c>
      <c r="H121" t="s">
        <v>1742</v>
      </c>
      <c r="I121" t="s">
        <v>46</v>
      </c>
      <c r="J121" t="s">
        <v>1680</v>
      </c>
      <c r="K121" t="s">
        <v>104</v>
      </c>
      <c r="L121" t="s">
        <v>1626</v>
      </c>
      <c r="M121" t="s">
        <v>1633</v>
      </c>
      <c r="N121" t="s">
        <v>1743</v>
      </c>
      <c r="O121" t="str">
        <f>CONCATENATE(Tabelle132[[#This Row],[Raumcode]],".",Tabelle132[[#This Row],[Code]])</f>
        <v>E3.ND2</v>
      </c>
      <c r="Q121" t="s">
        <v>79</v>
      </c>
    </row>
    <row r="122" spans="2:17" x14ac:dyDescent="0.25">
      <c r="B122" s="27" t="s">
        <v>1613</v>
      </c>
      <c r="C122" s="36">
        <v>1</v>
      </c>
      <c r="D122" t="s">
        <v>91</v>
      </c>
      <c r="E122" s="36">
        <v>3</v>
      </c>
      <c r="F122" t="s">
        <v>1701</v>
      </c>
      <c r="G122" s="66" t="s">
        <v>1702</v>
      </c>
      <c r="H122" t="s">
        <v>1715</v>
      </c>
      <c r="I122" t="s">
        <v>46</v>
      </c>
      <c r="J122" t="s">
        <v>48</v>
      </c>
      <c r="K122" t="s">
        <v>6</v>
      </c>
      <c r="L122" t="s">
        <v>1623</v>
      </c>
      <c r="M122" t="s">
        <v>1634</v>
      </c>
      <c r="N122" t="s">
        <v>1726</v>
      </c>
      <c r="O122" t="str">
        <f>CONCATENATE(Tabelle132[[#This Row],[Raumcode]],".",Tabelle132[[#This Row],[Code]])</f>
        <v>E3.SD12</v>
      </c>
      <c r="Q122" t="s">
        <v>79</v>
      </c>
    </row>
    <row r="123" spans="2:17" x14ac:dyDescent="0.25">
      <c r="B123" s="27" t="s">
        <v>1613</v>
      </c>
      <c r="C123" s="36">
        <v>1</v>
      </c>
      <c r="D123" t="s">
        <v>91</v>
      </c>
      <c r="E123" s="36">
        <v>3</v>
      </c>
      <c r="F123" t="s">
        <v>1701</v>
      </c>
      <c r="G123" s="66" t="s">
        <v>1702</v>
      </c>
      <c r="H123" t="s">
        <v>1716</v>
      </c>
      <c r="I123" t="s">
        <v>46</v>
      </c>
      <c r="J123" t="s">
        <v>47</v>
      </c>
      <c r="K123" t="s">
        <v>6</v>
      </c>
      <c r="L123" t="s">
        <v>1623</v>
      </c>
      <c r="M123" t="s">
        <v>1629</v>
      </c>
      <c r="N123" t="s">
        <v>1727</v>
      </c>
      <c r="O123" t="str">
        <f>CONCATENATE(Tabelle132[[#This Row],[Raumcode]],".",Tabelle132[[#This Row],[Code]])</f>
        <v>E3.SD13</v>
      </c>
      <c r="Q123" t="s">
        <v>79</v>
      </c>
    </row>
    <row r="124" spans="2:17" x14ac:dyDescent="0.25">
      <c r="B124" s="27" t="s">
        <v>1613</v>
      </c>
      <c r="C124" s="36">
        <v>1</v>
      </c>
      <c r="D124" t="s">
        <v>91</v>
      </c>
      <c r="E124" s="36">
        <v>3</v>
      </c>
      <c r="F124" t="s">
        <v>1701</v>
      </c>
      <c r="G124" s="66" t="s">
        <v>1702</v>
      </c>
      <c r="H124" t="s">
        <v>1717</v>
      </c>
      <c r="I124" t="s">
        <v>46</v>
      </c>
      <c r="J124" t="s">
        <v>47</v>
      </c>
      <c r="K124" t="s">
        <v>6</v>
      </c>
      <c r="L124" t="s">
        <v>1623</v>
      </c>
      <c r="M124" t="s">
        <v>1629</v>
      </c>
      <c r="N124" t="s">
        <v>1728</v>
      </c>
      <c r="O124" t="str">
        <f>CONCATENATE(Tabelle132[[#This Row],[Raumcode]],".",Tabelle132[[#This Row],[Code]])</f>
        <v>E3.SD14</v>
      </c>
      <c r="Q124" t="s">
        <v>79</v>
      </c>
    </row>
    <row r="125" spans="2:17" x14ac:dyDescent="0.25">
      <c r="B125" s="27" t="s">
        <v>1613</v>
      </c>
      <c r="C125" s="36">
        <v>1</v>
      </c>
      <c r="D125" t="s">
        <v>91</v>
      </c>
      <c r="E125" s="36">
        <v>3</v>
      </c>
      <c r="F125" t="s">
        <v>1701</v>
      </c>
      <c r="G125" s="66" t="s">
        <v>1702</v>
      </c>
      <c r="H125" t="s">
        <v>1718</v>
      </c>
      <c r="I125" t="s">
        <v>46</v>
      </c>
      <c r="J125" t="s">
        <v>48</v>
      </c>
      <c r="K125" t="s">
        <v>6</v>
      </c>
      <c r="L125" t="s">
        <v>1623</v>
      </c>
      <c r="M125" t="s">
        <v>1634</v>
      </c>
      <c r="N125" t="s">
        <v>1729</v>
      </c>
      <c r="O125" t="str">
        <f>CONCATENATE(Tabelle132[[#This Row],[Raumcode]],".",Tabelle132[[#This Row],[Code]])</f>
        <v>E3.SD15</v>
      </c>
      <c r="Q125" s="28" t="s">
        <v>79</v>
      </c>
    </row>
    <row r="126" spans="2:17" x14ac:dyDescent="0.25">
      <c r="B126" s="27" t="s">
        <v>1613</v>
      </c>
      <c r="C126" s="36">
        <v>1</v>
      </c>
      <c r="D126" t="s">
        <v>91</v>
      </c>
      <c r="E126" s="36">
        <v>3</v>
      </c>
      <c r="F126" t="s">
        <v>1701</v>
      </c>
      <c r="G126" s="66" t="s">
        <v>1702</v>
      </c>
      <c r="H126" t="s">
        <v>1719</v>
      </c>
      <c r="I126" t="s">
        <v>46</v>
      </c>
      <c r="J126" t="s">
        <v>48</v>
      </c>
      <c r="K126" t="s">
        <v>6</v>
      </c>
      <c r="L126" t="s">
        <v>1623</v>
      </c>
      <c r="M126" t="s">
        <v>1634</v>
      </c>
      <c r="N126" t="s">
        <v>1730</v>
      </c>
      <c r="O126" t="str">
        <f>CONCATENATE(Tabelle132[[#This Row],[Raumcode]],".",Tabelle132[[#This Row],[Code]])</f>
        <v>E3.SD16</v>
      </c>
      <c r="Q126" s="28" t="s">
        <v>79</v>
      </c>
    </row>
    <row r="127" spans="2:17" x14ac:dyDescent="0.25">
      <c r="B127" s="27" t="s">
        <v>1613</v>
      </c>
      <c r="C127" s="36">
        <v>1</v>
      </c>
      <c r="D127" t="s">
        <v>91</v>
      </c>
      <c r="E127" s="36">
        <v>3</v>
      </c>
      <c r="F127" t="s">
        <v>1701</v>
      </c>
      <c r="G127" s="66" t="s">
        <v>1702</v>
      </c>
      <c r="H127" t="s">
        <v>1720</v>
      </c>
      <c r="I127" t="s">
        <v>46</v>
      </c>
      <c r="J127" t="s">
        <v>48</v>
      </c>
      <c r="K127" t="s">
        <v>6</v>
      </c>
      <c r="L127" t="s">
        <v>1623</v>
      </c>
      <c r="M127" t="s">
        <v>1634</v>
      </c>
      <c r="N127" t="s">
        <v>1731</v>
      </c>
      <c r="O127" t="str">
        <f>CONCATENATE(Tabelle132[[#This Row],[Raumcode]],".",Tabelle132[[#This Row],[Code]])</f>
        <v>E3.SD17</v>
      </c>
      <c r="Q127" s="28" t="s">
        <v>79</v>
      </c>
    </row>
    <row r="128" spans="2:17" x14ac:dyDescent="0.25">
      <c r="B128" s="27" t="s">
        <v>1613</v>
      </c>
      <c r="C128" s="36">
        <v>1</v>
      </c>
      <c r="D128" t="s">
        <v>91</v>
      </c>
      <c r="E128" s="36">
        <v>3</v>
      </c>
      <c r="F128" t="s">
        <v>1701</v>
      </c>
      <c r="G128" s="66" t="s">
        <v>1702</v>
      </c>
      <c r="H128" t="s">
        <v>1744</v>
      </c>
      <c r="I128" t="s">
        <v>46</v>
      </c>
      <c r="J128" t="s">
        <v>1680</v>
      </c>
      <c r="K128" t="s">
        <v>104</v>
      </c>
      <c r="L128" t="s">
        <v>1626</v>
      </c>
      <c r="M128" t="s">
        <v>1633</v>
      </c>
      <c r="N128" t="s">
        <v>1745</v>
      </c>
      <c r="O128" t="str">
        <f>CONCATENATE(Tabelle132[[#This Row],[Raumcode]],".",Tabelle132[[#This Row],[Code]])</f>
        <v>E3.ND3</v>
      </c>
      <c r="Q128" s="28" t="s">
        <v>79</v>
      </c>
    </row>
    <row r="129" spans="2:17" x14ac:dyDescent="0.25">
      <c r="B129" s="27" t="s">
        <v>1613</v>
      </c>
      <c r="C129" s="36">
        <v>1</v>
      </c>
      <c r="D129" t="s">
        <v>91</v>
      </c>
      <c r="E129" s="36">
        <v>3</v>
      </c>
      <c r="F129" t="s">
        <v>1701</v>
      </c>
      <c r="G129" s="66" t="s">
        <v>1702</v>
      </c>
      <c r="H129" t="s">
        <v>1733</v>
      </c>
      <c r="I129" t="s">
        <v>46</v>
      </c>
      <c r="J129" t="s">
        <v>47</v>
      </c>
      <c r="K129" t="s">
        <v>6</v>
      </c>
      <c r="L129" t="s">
        <v>1623</v>
      </c>
      <c r="M129" t="s">
        <v>1629</v>
      </c>
      <c r="N129" t="s">
        <v>1734</v>
      </c>
      <c r="O129" t="str">
        <f>CONCATENATE(Tabelle132[[#This Row],[Raumcode]],".",Tabelle132[[#This Row],[Code]])</f>
        <v>E3.SD18</v>
      </c>
      <c r="Q129" s="28" t="s">
        <v>76</v>
      </c>
    </row>
    <row r="130" spans="2:17" x14ac:dyDescent="0.25">
      <c r="B130" s="27" t="s">
        <v>1613</v>
      </c>
      <c r="C130" s="36">
        <v>1</v>
      </c>
      <c r="D130" t="s">
        <v>91</v>
      </c>
      <c r="E130" s="36">
        <v>3</v>
      </c>
      <c r="F130" t="s">
        <v>1701</v>
      </c>
      <c r="G130" s="66" t="s">
        <v>1702</v>
      </c>
      <c r="H130" t="s">
        <v>1652</v>
      </c>
      <c r="I130" t="s">
        <v>255</v>
      </c>
      <c r="J130" t="s">
        <v>1657</v>
      </c>
      <c r="K130" t="s">
        <v>13</v>
      </c>
      <c r="L130" t="s">
        <v>1640</v>
      </c>
      <c r="M130" t="s">
        <v>1632</v>
      </c>
      <c r="N130" t="s">
        <v>1651</v>
      </c>
      <c r="O130" t="str">
        <f>CONCATENATE(Tabelle132[[#This Row],[Raumcode]],".",Tabelle132[[#This Row],[Code]])</f>
        <v>E3.DA1</v>
      </c>
      <c r="Q130" s="28"/>
    </row>
    <row r="131" spans="2:17" x14ac:dyDescent="0.25">
      <c r="B131" s="27" t="s">
        <v>116</v>
      </c>
      <c r="C131" s="36">
        <v>2</v>
      </c>
      <c r="D131" t="s">
        <v>120</v>
      </c>
      <c r="E131" s="36">
        <v>3</v>
      </c>
      <c r="F131" t="s">
        <v>28</v>
      </c>
      <c r="G131" s="66" t="s">
        <v>1835</v>
      </c>
      <c r="H131" t="s">
        <v>1759</v>
      </c>
      <c r="I131" t="s">
        <v>1676</v>
      </c>
      <c r="K131" t="s">
        <v>14</v>
      </c>
      <c r="L131" t="s">
        <v>1639</v>
      </c>
      <c r="M131" t="s">
        <v>1649</v>
      </c>
      <c r="N131" t="s">
        <v>1678</v>
      </c>
      <c r="O131" t="str">
        <f>CONCATENATE(Tabelle132[[#This Row],[Raumcode]],".",Tabelle132[[#This Row],[Code]])</f>
        <v>O3.DL1</v>
      </c>
      <c r="Q131" s="28" t="s">
        <v>83</v>
      </c>
    </row>
    <row r="132" spans="2:17" x14ac:dyDescent="0.25">
      <c r="B132" s="27" t="s">
        <v>116</v>
      </c>
      <c r="C132" s="36">
        <v>2</v>
      </c>
      <c r="D132" t="s">
        <v>120</v>
      </c>
      <c r="E132" s="36">
        <v>3</v>
      </c>
      <c r="F132" t="s">
        <v>28</v>
      </c>
      <c r="G132" s="66" t="s">
        <v>1835</v>
      </c>
      <c r="H132" t="s">
        <v>1740</v>
      </c>
      <c r="I132" t="s">
        <v>17</v>
      </c>
      <c r="J132" t="s">
        <v>1614</v>
      </c>
      <c r="K132" t="s">
        <v>9</v>
      </c>
      <c r="L132" t="s">
        <v>1640</v>
      </c>
      <c r="M132" t="s">
        <v>1555</v>
      </c>
      <c r="N132" t="s">
        <v>1621</v>
      </c>
      <c r="O132" t="str">
        <f>CONCATENATE(Tabelle132[[#This Row],[Raumcode]],".",Tabelle132[[#This Row],[Code]])</f>
        <v>O3.BL1</v>
      </c>
      <c r="Q132" s="28" t="s">
        <v>83</v>
      </c>
    </row>
    <row r="133" spans="2:17" x14ac:dyDescent="0.25">
      <c r="B133" s="27" t="s">
        <v>116</v>
      </c>
      <c r="C133" s="36">
        <v>2</v>
      </c>
      <c r="D133" t="s">
        <v>120</v>
      </c>
      <c r="E133" s="36">
        <v>3</v>
      </c>
      <c r="F133" t="s">
        <v>28</v>
      </c>
      <c r="G133" s="66" t="s">
        <v>1835</v>
      </c>
      <c r="H133" t="s">
        <v>1833</v>
      </c>
      <c r="I133" t="s">
        <v>17</v>
      </c>
      <c r="J133" t="s">
        <v>18</v>
      </c>
      <c r="K133" t="s">
        <v>9</v>
      </c>
      <c r="L133" t="s">
        <v>1640</v>
      </c>
      <c r="M133" t="s">
        <v>1555</v>
      </c>
      <c r="N133" t="s">
        <v>1643</v>
      </c>
      <c r="O133" t="str">
        <f>CONCATENATE(Tabelle132[[#This Row],[Raumcode]],".",Tabelle132[[#This Row],[Code]])</f>
        <v>O3.BL2</v>
      </c>
      <c r="Q133" s="28" t="s">
        <v>77</v>
      </c>
    </row>
    <row r="134" spans="2:17" x14ac:dyDescent="0.25">
      <c r="B134" s="27" t="s">
        <v>116</v>
      </c>
      <c r="C134" s="36">
        <v>2</v>
      </c>
      <c r="D134" t="s">
        <v>120</v>
      </c>
      <c r="E134" s="36">
        <v>3</v>
      </c>
      <c r="F134" t="s">
        <v>28</v>
      </c>
      <c r="G134" s="66" t="s">
        <v>1835</v>
      </c>
      <c r="H134" t="s">
        <v>33</v>
      </c>
      <c r="I134" t="s">
        <v>29</v>
      </c>
      <c r="J134" t="s">
        <v>33</v>
      </c>
      <c r="K134" t="s">
        <v>10</v>
      </c>
      <c r="L134" t="s">
        <v>10</v>
      </c>
      <c r="M134" t="s">
        <v>1638</v>
      </c>
      <c r="N134" t="s">
        <v>89</v>
      </c>
      <c r="O134" t="str">
        <f>CONCATENATE(Tabelle132[[#This Row],[Raumcode]],".",Tabelle132[[#This Row],[Code]])</f>
        <v>O3.BM1</v>
      </c>
      <c r="Q134" s="28" t="s">
        <v>83</v>
      </c>
    </row>
    <row r="135" spans="2:17" x14ac:dyDescent="0.25">
      <c r="B135" s="27" t="s">
        <v>116</v>
      </c>
      <c r="C135" s="36">
        <v>2</v>
      </c>
      <c r="D135" t="s">
        <v>120</v>
      </c>
      <c r="E135" s="36">
        <v>3</v>
      </c>
      <c r="F135" t="s">
        <v>28</v>
      </c>
      <c r="G135" s="66" t="s">
        <v>1835</v>
      </c>
      <c r="H135" t="s">
        <v>1751</v>
      </c>
      <c r="I135" t="s">
        <v>46</v>
      </c>
      <c r="J135" t="s">
        <v>49</v>
      </c>
      <c r="K135" t="s">
        <v>6</v>
      </c>
      <c r="L135" t="s">
        <v>1625</v>
      </c>
      <c r="M135" t="s">
        <v>1629</v>
      </c>
      <c r="N135" t="s">
        <v>1620</v>
      </c>
      <c r="O135" t="str">
        <f>CONCATENATE(Tabelle132[[#This Row],[Raumcode]],".",Tabelle132[[#This Row],[Code]])</f>
        <v>O3.SD1</v>
      </c>
      <c r="Q135" s="28" t="s">
        <v>77</v>
      </c>
    </row>
    <row r="136" spans="2:17" x14ac:dyDescent="0.25">
      <c r="B136" s="27" t="s">
        <v>116</v>
      </c>
      <c r="C136" s="36">
        <v>2</v>
      </c>
      <c r="D136" t="s">
        <v>120</v>
      </c>
      <c r="E136" s="36">
        <v>3</v>
      </c>
      <c r="F136" t="s">
        <v>28</v>
      </c>
      <c r="G136" s="66" t="s">
        <v>1835</v>
      </c>
      <c r="H136" t="s">
        <v>1615</v>
      </c>
      <c r="I136" t="s">
        <v>46</v>
      </c>
      <c r="J136" t="s">
        <v>49</v>
      </c>
      <c r="K136" t="s">
        <v>1615</v>
      </c>
      <c r="L136" t="s">
        <v>1615</v>
      </c>
      <c r="M136" t="s">
        <v>1649</v>
      </c>
      <c r="N136" t="s">
        <v>1650</v>
      </c>
      <c r="O136" t="str">
        <f>CONCATENATE(Tabelle132[[#This Row],[Raumcode]],".",Tabelle132[[#This Row],[Code]])</f>
        <v>O3.HD1</v>
      </c>
      <c r="Q136" s="28" t="s">
        <v>77</v>
      </c>
    </row>
    <row r="137" spans="2:17" x14ac:dyDescent="0.25">
      <c r="B137" s="27" t="s">
        <v>116</v>
      </c>
      <c r="C137" s="36">
        <v>2</v>
      </c>
      <c r="D137" t="s">
        <v>120</v>
      </c>
      <c r="E137" s="36">
        <v>3</v>
      </c>
      <c r="F137" t="s">
        <v>28</v>
      </c>
      <c r="G137" s="66" t="s">
        <v>1835</v>
      </c>
      <c r="H137" t="s">
        <v>1682</v>
      </c>
      <c r="I137" t="s">
        <v>46</v>
      </c>
      <c r="J137" t="s">
        <v>49</v>
      </c>
      <c r="K137" t="s">
        <v>104</v>
      </c>
      <c r="L137" t="s">
        <v>1626</v>
      </c>
      <c r="M137" t="s">
        <v>1649</v>
      </c>
      <c r="N137" t="s">
        <v>1681</v>
      </c>
      <c r="O137" t="str">
        <f>CONCATENATE(Tabelle132[[#This Row],[Raumcode]],".",Tabelle132[[#This Row],[Code]])</f>
        <v>O3.ND1</v>
      </c>
      <c r="Q137" s="28" t="s">
        <v>77</v>
      </c>
    </row>
    <row r="138" spans="2:17" x14ac:dyDescent="0.25">
      <c r="B138" s="27" t="s">
        <v>116</v>
      </c>
      <c r="C138" s="36">
        <v>2</v>
      </c>
      <c r="D138" t="s">
        <v>120</v>
      </c>
      <c r="E138" s="36">
        <v>3</v>
      </c>
      <c r="F138" t="s">
        <v>28</v>
      </c>
      <c r="G138" s="66" t="s">
        <v>1835</v>
      </c>
      <c r="H138" t="s">
        <v>1710</v>
      </c>
      <c r="I138" t="s">
        <v>46</v>
      </c>
      <c r="J138" t="s">
        <v>48</v>
      </c>
      <c r="K138" t="s">
        <v>6</v>
      </c>
      <c r="L138" t="s">
        <v>1623</v>
      </c>
      <c r="M138" t="s">
        <v>1634</v>
      </c>
      <c r="N138" t="s">
        <v>1668</v>
      </c>
      <c r="O138" t="str">
        <f>CONCATENATE(Tabelle132[[#This Row],[Raumcode]],".",Tabelle132[[#This Row],[Code]])</f>
        <v>O3.SD2</v>
      </c>
      <c r="Q138" s="28" t="s">
        <v>79</v>
      </c>
    </row>
    <row r="139" spans="2:17" x14ac:dyDescent="0.25">
      <c r="B139" s="27" t="s">
        <v>116</v>
      </c>
      <c r="C139" s="36">
        <v>2</v>
      </c>
      <c r="D139" t="s">
        <v>120</v>
      </c>
      <c r="E139" s="36">
        <v>3</v>
      </c>
      <c r="F139" t="s">
        <v>28</v>
      </c>
      <c r="G139" s="66" t="s">
        <v>1835</v>
      </c>
      <c r="H139" t="s">
        <v>1711</v>
      </c>
      <c r="I139" t="s">
        <v>46</v>
      </c>
      <c r="J139" t="s">
        <v>48</v>
      </c>
      <c r="K139" t="s">
        <v>6</v>
      </c>
      <c r="L139" t="s">
        <v>1623</v>
      </c>
      <c r="M139" t="s">
        <v>1634</v>
      </c>
      <c r="N139" t="s">
        <v>1669</v>
      </c>
      <c r="O139" t="str">
        <f>CONCATENATE(Tabelle132[[#This Row],[Raumcode]],".",Tabelle132[[#This Row],[Code]])</f>
        <v>O3.SD3</v>
      </c>
      <c r="Q139" s="28" t="s">
        <v>79</v>
      </c>
    </row>
    <row r="140" spans="2:17" x14ac:dyDescent="0.25">
      <c r="B140" s="27" t="s">
        <v>116</v>
      </c>
      <c r="C140" s="36">
        <v>2</v>
      </c>
      <c r="D140" t="s">
        <v>120</v>
      </c>
      <c r="E140" s="36">
        <v>3</v>
      </c>
      <c r="F140" t="s">
        <v>28</v>
      </c>
      <c r="G140" s="66" t="s">
        <v>1835</v>
      </c>
      <c r="H140" t="s">
        <v>1716</v>
      </c>
      <c r="I140" t="s">
        <v>46</v>
      </c>
      <c r="J140" t="s">
        <v>48</v>
      </c>
      <c r="K140" t="s">
        <v>6</v>
      </c>
      <c r="L140" t="s">
        <v>1623</v>
      </c>
      <c r="M140" t="s">
        <v>1634</v>
      </c>
      <c r="N140" t="s">
        <v>1670</v>
      </c>
      <c r="O140" t="str">
        <f>CONCATENATE(Tabelle132[[#This Row],[Raumcode]],".",Tabelle132[[#This Row],[Code]])</f>
        <v>O3.SD4</v>
      </c>
      <c r="Q140" s="28" t="s">
        <v>79</v>
      </c>
    </row>
    <row r="141" spans="2:17" x14ac:dyDescent="0.25">
      <c r="B141" s="27" t="s">
        <v>116</v>
      </c>
      <c r="C141" s="36">
        <v>2</v>
      </c>
      <c r="D141" t="s">
        <v>120</v>
      </c>
      <c r="E141" s="36">
        <v>3</v>
      </c>
      <c r="F141" t="s">
        <v>28</v>
      </c>
      <c r="G141" s="66" t="s">
        <v>1835</v>
      </c>
      <c r="H141" t="s">
        <v>1717</v>
      </c>
      <c r="I141" t="s">
        <v>46</v>
      </c>
      <c r="J141" t="s">
        <v>48</v>
      </c>
      <c r="K141" t="s">
        <v>6</v>
      </c>
      <c r="L141" t="s">
        <v>1623</v>
      </c>
      <c r="M141" t="s">
        <v>1634</v>
      </c>
      <c r="N141" t="s">
        <v>1671</v>
      </c>
      <c r="O141" t="str">
        <f>CONCATENATE(Tabelle132[[#This Row],[Raumcode]],".",Tabelle132[[#This Row],[Code]])</f>
        <v>O3.SD5</v>
      </c>
      <c r="Q141" s="28" t="s">
        <v>79</v>
      </c>
    </row>
    <row r="142" spans="2:17" x14ac:dyDescent="0.25">
      <c r="B142" s="27" t="s">
        <v>116</v>
      </c>
      <c r="C142" s="36">
        <v>2</v>
      </c>
      <c r="D142" t="s">
        <v>120</v>
      </c>
      <c r="E142" s="36">
        <v>3</v>
      </c>
      <c r="F142" t="s">
        <v>28</v>
      </c>
      <c r="G142" s="66" t="s">
        <v>1835</v>
      </c>
      <c r="H142" t="s">
        <v>1755</v>
      </c>
      <c r="I142" t="s">
        <v>46</v>
      </c>
      <c r="J142" t="s">
        <v>48</v>
      </c>
      <c r="K142" t="s">
        <v>6</v>
      </c>
      <c r="L142" t="s">
        <v>1623</v>
      </c>
      <c r="M142" t="s">
        <v>1634</v>
      </c>
      <c r="N142" t="s">
        <v>1673</v>
      </c>
      <c r="O142" t="str">
        <f>CONCATENATE(Tabelle132[[#This Row],[Raumcode]],".",Tabelle132[[#This Row],[Code]])</f>
        <v>O3.SD6</v>
      </c>
      <c r="Q142" s="28" t="s">
        <v>79</v>
      </c>
    </row>
    <row r="143" spans="2:17" x14ac:dyDescent="0.25">
      <c r="B143" s="27" t="s">
        <v>116</v>
      </c>
      <c r="C143" s="36">
        <v>2</v>
      </c>
      <c r="D143" t="s">
        <v>120</v>
      </c>
      <c r="E143" s="36">
        <v>3</v>
      </c>
      <c r="F143" t="s">
        <v>28</v>
      </c>
      <c r="G143" s="66" t="s">
        <v>1835</v>
      </c>
      <c r="H143" t="s">
        <v>1829</v>
      </c>
      <c r="I143" t="s">
        <v>46</v>
      </c>
      <c r="J143" t="s">
        <v>49</v>
      </c>
      <c r="K143" t="s">
        <v>8</v>
      </c>
      <c r="L143" t="s">
        <v>1625</v>
      </c>
      <c r="M143" t="s">
        <v>1830</v>
      </c>
      <c r="N143" t="s">
        <v>1831</v>
      </c>
      <c r="O143" t="str">
        <f>CONCATENATE(Tabelle132[[#This Row],[Raumcode]],".",Tabelle132[[#This Row],[Code]])</f>
        <v>O3.SMn</v>
      </c>
      <c r="Q143" s="28" t="s">
        <v>79</v>
      </c>
    </row>
    <row r="144" spans="2:17" x14ac:dyDescent="0.25">
      <c r="B144" s="27" t="s">
        <v>116</v>
      </c>
      <c r="C144" s="36">
        <v>2</v>
      </c>
      <c r="D144" t="s">
        <v>120</v>
      </c>
      <c r="E144" s="36">
        <v>3</v>
      </c>
      <c r="F144" t="s">
        <v>28</v>
      </c>
      <c r="G144" s="66" t="s">
        <v>1835</v>
      </c>
      <c r="H144" t="s">
        <v>1652</v>
      </c>
      <c r="I144" t="s">
        <v>255</v>
      </c>
      <c r="J144" t="s">
        <v>1657</v>
      </c>
      <c r="K144" t="s">
        <v>13</v>
      </c>
      <c r="L144" t="s">
        <v>1640</v>
      </c>
      <c r="M144" t="s">
        <v>1632</v>
      </c>
      <c r="N144" t="s">
        <v>1651</v>
      </c>
      <c r="O144" t="str">
        <f>CONCATENATE(Tabelle132[[#This Row],[Raumcode]],".",Tabelle132[[#This Row],[Code]])</f>
        <v>O3.DA1</v>
      </c>
      <c r="Q144" s="28"/>
    </row>
    <row r="145" spans="2:17" x14ac:dyDescent="0.25">
      <c r="B145" s="27" t="s">
        <v>116</v>
      </c>
      <c r="C145" s="36">
        <v>2</v>
      </c>
      <c r="D145" t="s">
        <v>120</v>
      </c>
      <c r="E145" s="36">
        <v>3</v>
      </c>
      <c r="F145" t="s">
        <v>28</v>
      </c>
      <c r="G145" s="66" t="s">
        <v>1835</v>
      </c>
      <c r="H145" t="s">
        <v>1834</v>
      </c>
      <c r="I145" t="s">
        <v>255</v>
      </c>
      <c r="J145" t="s">
        <v>1656</v>
      </c>
      <c r="K145" t="s">
        <v>13</v>
      </c>
      <c r="L145" t="s">
        <v>1640</v>
      </c>
      <c r="M145" t="s">
        <v>1632</v>
      </c>
      <c r="N145" t="s">
        <v>1658</v>
      </c>
      <c r="O145" t="str">
        <f>CONCATENATE(Tabelle132[[#This Row],[Raumcode]],".",Tabelle132[[#This Row],[Code]])</f>
        <v>O3.DA2</v>
      </c>
      <c r="Q145" s="28"/>
    </row>
    <row r="146" spans="2:17" x14ac:dyDescent="0.25">
      <c r="B146" s="27" t="s">
        <v>1613</v>
      </c>
      <c r="C146" s="36">
        <v>1</v>
      </c>
      <c r="D146" t="s">
        <v>102</v>
      </c>
      <c r="E146" s="36">
        <v>4</v>
      </c>
      <c r="F146" t="s">
        <v>22</v>
      </c>
      <c r="G146" s="66" t="s">
        <v>1747</v>
      </c>
      <c r="H146" t="s">
        <v>1759</v>
      </c>
      <c r="I146" t="s">
        <v>1676</v>
      </c>
      <c r="K146" t="s">
        <v>14</v>
      </c>
      <c r="L146" t="s">
        <v>1639</v>
      </c>
      <c r="M146" t="s">
        <v>1649</v>
      </c>
      <c r="N146" t="s">
        <v>1678</v>
      </c>
      <c r="O146" t="str">
        <f>CONCATENATE(Tabelle132[[#This Row],[Raumcode]],".",Tabelle132[[#This Row],[Code]])</f>
        <v>E4.DL1</v>
      </c>
      <c r="Q146" s="28" t="s">
        <v>83</v>
      </c>
    </row>
    <row r="147" spans="2:17" x14ac:dyDescent="0.25">
      <c r="B147" s="27" t="s">
        <v>1613</v>
      </c>
      <c r="C147" s="36">
        <v>1</v>
      </c>
      <c r="D147" t="s">
        <v>102</v>
      </c>
      <c r="E147" s="36">
        <v>4</v>
      </c>
      <c r="F147" t="s">
        <v>22</v>
      </c>
      <c r="G147" s="66" t="s">
        <v>1747</v>
      </c>
      <c r="H147" t="s">
        <v>1760</v>
      </c>
      <c r="I147" t="s">
        <v>1676</v>
      </c>
      <c r="K147" t="s">
        <v>14</v>
      </c>
      <c r="L147" t="s">
        <v>1639</v>
      </c>
      <c r="M147" t="s">
        <v>1649</v>
      </c>
      <c r="N147" t="s">
        <v>1746</v>
      </c>
      <c r="O147" t="str">
        <f>CONCATENATE(Tabelle132[[#This Row],[Raumcode]],".",Tabelle132[[#This Row],[Code]])</f>
        <v>E4.DL2</v>
      </c>
      <c r="Q147" s="28" t="s">
        <v>83</v>
      </c>
    </row>
    <row r="148" spans="2:17" x14ac:dyDescent="0.25">
      <c r="B148" s="27" t="s">
        <v>1613</v>
      </c>
      <c r="C148" s="36">
        <v>1</v>
      </c>
      <c r="D148" t="s">
        <v>102</v>
      </c>
      <c r="E148" s="36">
        <v>4</v>
      </c>
      <c r="F148" t="s">
        <v>22</v>
      </c>
      <c r="G148" s="66" t="s">
        <v>1747</v>
      </c>
      <c r="H148" t="s">
        <v>1740</v>
      </c>
      <c r="I148" t="s">
        <v>17</v>
      </c>
      <c r="J148" t="s">
        <v>1614</v>
      </c>
      <c r="K148" t="s">
        <v>9</v>
      </c>
      <c r="L148" t="s">
        <v>1640</v>
      </c>
      <c r="M148" t="s">
        <v>1555</v>
      </c>
      <c r="N148" t="s">
        <v>1621</v>
      </c>
      <c r="O148" t="str">
        <f>CONCATENATE(Tabelle132[[#This Row],[Raumcode]],".",Tabelle132[[#This Row],[Code]])</f>
        <v>E4.BL1</v>
      </c>
      <c r="Q148" s="28" t="s">
        <v>83</v>
      </c>
    </row>
    <row r="149" spans="2:17" x14ac:dyDescent="0.25">
      <c r="B149" s="27" t="s">
        <v>1613</v>
      </c>
      <c r="C149" s="36">
        <v>1</v>
      </c>
      <c r="D149" t="s">
        <v>102</v>
      </c>
      <c r="E149" s="36">
        <v>4</v>
      </c>
      <c r="F149" t="s">
        <v>22</v>
      </c>
      <c r="G149" s="66" t="s">
        <v>1747</v>
      </c>
      <c r="H149" t="s">
        <v>1757</v>
      </c>
      <c r="I149" t="s">
        <v>17</v>
      </c>
      <c r="J149" t="s">
        <v>1614</v>
      </c>
      <c r="K149" t="s">
        <v>9</v>
      </c>
      <c r="L149" t="s">
        <v>1640</v>
      </c>
      <c r="M149" t="s">
        <v>1632</v>
      </c>
      <c r="N149" t="s">
        <v>1643</v>
      </c>
      <c r="O149" t="str">
        <f>CONCATENATE(Tabelle132[[#This Row],[Raumcode]],".",Tabelle132[[#This Row],[Code]])</f>
        <v>E4.BL2</v>
      </c>
      <c r="Q149" s="28" t="s">
        <v>83</v>
      </c>
    </row>
    <row r="150" spans="2:17" x14ac:dyDescent="0.25">
      <c r="B150" s="27" t="s">
        <v>1613</v>
      </c>
      <c r="C150" s="36">
        <v>1</v>
      </c>
      <c r="D150" t="s">
        <v>102</v>
      </c>
      <c r="E150" s="36">
        <v>4</v>
      </c>
      <c r="F150" t="s">
        <v>22</v>
      </c>
      <c r="G150" s="66" t="s">
        <v>1747</v>
      </c>
      <c r="H150" t="s">
        <v>1750</v>
      </c>
      <c r="I150" t="s">
        <v>21</v>
      </c>
      <c r="J150" t="s">
        <v>1616</v>
      </c>
      <c r="K150" t="s">
        <v>7</v>
      </c>
      <c r="L150" t="s">
        <v>1623</v>
      </c>
      <c r="M150" t="s">
        <v>1630</v>
      </c>
      <c r="N150" t="s">
        <v>1703</v>
      </c>
      <c r="O150" t="str">
        <f>CONCATENATE(Tabelle132[[#This Row],[Raumcode]],".",Tabelle132[[#This Row],[Code]])</f>
        <v>E4.RS1</v>
      </c>
      <c r="Q150" s="28" t="s">
        <v>76</v>
      </c>
    </row>
    <row r="151" spans="2:17" x14ac:dyDescent="0.25">
      <c r="B151" s="27" t="s">
        <v>1613</v>
      </c>
      <c r="C151" s="36">
        <v>1</v>
      </c>
      <c r="D151" t="s">
        <v>102</v>
      </c>
      <c r="E151" s="36">
        <v>4</v>
      </c>
      <c r="F151" t="s">
        <v>22</v>
      </c>
      <c r="G151" s="66" t="s">
        <v>1747</v>
      </c>
      <c r="H151" t="s">
        <v>1753</v>
      </c>
      <c r="I151" t="s">
        <v>29</v>
      </c>
      <c r="J151" t="s">
        <v>37</v>
      </c>
      <c r="K151" t="s">
        <v>10</v>
      </c>
      <c r="L151" t="s">
        <v>10</v>
      </c>
      <c r="M151" t="s">
        <v>1638</v>
      </c>
      <c r="N151" t="s">
        <v>109</v>
      </c>
      <c r="O151" t="str">
        <f>CONCATENATE(Tabelle132[[#This Row],[Raumcode]],".",Tabelle132[[#This Row],[Code]])</f>
        <v>E4.TS1</v>
      </c>
      <c r="Q151" s="28" t="s">
        <v>77</v>
      </c>
    </row>
    <row r="152" spans="2:17" x14ac:dyDescent="0.25">
      <c r="B152" s="27" t="s">
        <v>1613</v>
      </c>
      <c r="C152" s="36">
        <v>1</v>
      </c>
      <c r="D152" t="s">
        <v>102</v>
      </c>
      <c r="E152" s="36">
        <v>4</v>
      </c>
      <c r="F152" t="s">
        <v>22</v>
      </c>
      <c r="G152" s="66" t="s">
        <v>1747</v>
      </c>
      <c r="H152" t="s">
        <v>1738</v>
      </c>
      <c r="I152" t="s">
        <v>29</v>
      </c>
      <c r="J152" t="s">
        <v>1618</v>
      </c>
      <c r="K152" t="s">
        <v>14</v>
      </c>
      <c r="L152" t="s">
        <v>1641</v>
      </c>
      <c r="M152" t="s">
        <v>1692</v>
      </c>
      <c r="N152" t="s">
        <v>1693</v>
      </c>
      <c r="O152" t="str">
        <f>CONCATENATE(Tabelle132[[#This Row],[Raumcode]],".",Tabelle132[[#This Row],[Code]])</f>
        <v>E4.FK1</v>
      </c>
      <c r="Q152" s="28" t="s">
        <v>76</v>
      </c>
    </row>
    <row r="153" spans="2:17" x14ac:dyDescent="0.25">
      <c r="B153" s="27" t="s">
        <v>1613</v>
      </c>
      <c r="C153" s="36">
        <v>1</v>
      </c>
      <c r="D153" t="s">
        <v>102</v>
      </c>
      <c r="E153" s="36">
        <v>4</v>
      </c>
      <c r="F153" t="s">
        <v>22</v>
      </c>
      <c r="G153" s="66" t="s">
        <v>1747</v>
      </c>
      <c r="H153" t="s">
        <v>40</v>
      </c>
      <c r="I153" t="s">
        <v>29</v>
      </c>
      <c r="J153" t="s">
        <v>1617</v>
      </c>
      <c r="K153" t="s">
        <v>10</v>
      </c>
      <c r="L153" t="s">
        <v>10</v>
      </c>
      <c r="M153" t="s">
        <v>1638</v>
      </c>
      <c r="N153" t="s">
        <v>103</v>
      </c>
      <c r="O153" t="str">
        <f>CONCATENATE(Tabelle132[[#This Row],[Raumcode]],".",Tabelle132[[#This Row],[Code]])</f>
        <v>E4.PM1</v>
      </c>
      <c r="Q153" s="28" t="s">
        <v>83</v>
      </c>
    </row>
    <row r="154" spans="2:17" x14ac:dyDescent="0.25">
      <c r="B154" s="27" t="s">
        <v>1613</v>
      </c>
      <c r="C154" s="36">
        <v>1</v>
      </c>
      <c r="D154" t="s">
        <v>102</v>
      </c>
      <c r="E154" s="36">
        <v>4</v>
      </c>
      <c r="F154" t="s">
        <v>22</v>
      </c>
      <c r="G154" s="66" t="s">
        <v>1747</v>
      </c>
      <c r="H154" t="s">
        <v>1704</v>
      </c>
      <c r="I154" t="s">
        <v>46</v>
      </c>
      <c r="J154" t="s">
        <v>47</v>
      </c>
      <c r="K154" t="s">
        <v>6</v>
      </c>
      <c r="L154" t="s">
        <v>1623</v>
      </c>
      <c r="M154" t="s">
        <v>1629</v>
      </c>
      <c r="N154" t="s">
        <v>1620</v>
      </c>
      <c r="O154" t="str">
        <f>CONCATENATE(Tabelle132[[#This Row],[Raumcode]],".",Tabelle132[[#This Row],[Code]])</f>
        <v>E4.SD1</v>
      </c>
      <c r="Q154" s="28" t="s">
        <v>79</v>
      </c>
    </row>
    <row r="155" spans="2:17" x14ac:dyDescent="0.25">
      <c r="B155" s="27" t="s">
        <v>1613</v>
      </c>
      <c r="C155" s="36">
        <v>1</v>
      </c>
      <c r="D155" t="s">
        <v>102</v>
      </c>
      <c r="E155" s="36">
        <v>4</v>
      </c>
      <c r="F155" t="s">
        <v>22</v>
      </c>
      <c r="G155" s="66" t="s">
        <v>1747</v>
      </c>
      <c r="H155" t="s">
        <v>1705</v>
      </c>
      <c r="I155" t="s">
        <v>46</v>
      </c>
      <c r="J155" t="s">
        <v>48</v>
      </c>
      <c r="K155" t="s">
        <v>6</v>
      </c>
      <c r="L155" t="s">
        <v>1623</v>
      </c>
      <c r="M155" t="s">
        <v>1634</v>
      </c>
      <c r="N155" t="s">
        <v>1668</v>
      </c>
      <c r="O155" t="str">
        <f>CONCATENATE(Tabelle132[[#This Row],[Raumcode]],".",Tabelle132[[#This Row],[Code]])</f>
        <v>E4.SD2</v>
      </c>
      <c r="Q155" s="28" t="s">
        <v>79</v>
      </c>
    </row>
    <row r="156" spans="2:17" x14ac:dyDescent="0.25">
      <c r="B156" s="27" t="s">
        <v>1613</v>
      </c>
      <c r="C156" s="36">
        <v>1</v>
      </c>
      <c r="D156" t="s">
        <v>102</v>
      </c>
      <c r="E156" s="36">
        <v>4</v>
      </c>
      <c r="F156" t="s">
        <v>22</v>
      </c>
      <c r="G156" s="66" t="s">
        <v>1747</v>
      </c>
      <c r="H156" t="s">
        <v>1741</v>
      </c>
      <c r="I156" t="s">
        <v>46</v>
      </c>
      <c r="J156" t="s">
        <v>1679</v>
      </c>
      <c r="K156" t="s">
        <v>104</v>
      </c>
      <c r="L156" t="s">
        <v>1626</v>
      </c>
      <c r="M156" t="s">
        <v>1633</v>
      </c>
      <c r="N156" t="s">
        <v>1681</v>
      </c>
      <c r="O156" t="str">
        <f>CONCATENATE(Tabelle132[[#This Row],[Raumcode]],".",Tabelle132[[#This Row],[Code]])</f>
        <v>E4.ND1</v>
      </c>
      <c r="Q156" s="28" t="s">
        <v>79</v>
      </c>
    </row>
    <row r="157" spans="2:17" x14ac:dyDescent="0.25">
      <c r="B157" s="27" t="s">
        <v>1613</v>
      </c>
      <c r="C157" s="36">
        <v>1</v>
      </c>
      <c r="D157" t="s">
        <v>102</v>
      </c>
      <c r="E157" s="36">
        <v>4</v>
      </c>
      <c r="F157" t="s">
        <v>22</v>
      </c>
      <c r="G157" s="66" t="s">
        <v>1747</v>
      </c>
      <c r="H157" t="s">
        <v>1706</v>
      </c>
      <c r="I157" t="s">
        <v>46</v>
      </c>
      <c r="J157" t="s">
        <v>48</v>
      </c>
      <c r="K157" t="s">
        <v>6</v>
      </c>
      <c r="L157" t="s">
        <v>1623</v>
      </c>
      <c r="M157" t="s">
        <v>1634</v>
      </c>
      <c r="N157" t="s">
        <v>1669</v>
      </c>
      <c r="O157" t="str">
        <f>CONCATENATE(Tabelle132[[#This Row],[Raumcode]],".",Tabelle132[[#This Row],[Code]])</f>
        <v>E4.SD3</v>
      </c>
      <c r="Q157" s="28" t="s">
        <v>79</v>
      </c>
    </row>
    <row r="158" spans="2:17" x14ac:dyDescent="0.25">
      <c r="B158" s="27" t="s">
        <v>1613</v>
      </c>
      <c r="C158" s="36">
        <v>1</v>
      </c>
      <c r="D158" t="s">
        <v>102</v>
      </c>
      <c r="E158" s="36">
        <v>4</v>
      </c>
      <c r="F158" t="s">
        <v>22</v>
      </c>
      <c r="G158" s="66" t="s">
        <v>1747</v>
      </c>
      <c r="H158" t="s">
        <v>1707</v>
      </c>
      <c r="I158" t="s">
        <v>46</v>
      </c>
      <c r="J158" t="s">
        <v>48</v>
      </c>
      <c r="K158" t="s">
        <v>6</v>
      </c>
      <c r="L158" t="s">
        <v>1623</v>
      </c>
      <c r="M158" t="s">
        <v>1634</v>
      </c>
      <c r="N158" t="s">
        <v>1670</v>
      </c>
      <c r="O158" t="str">
        <f>CONCATENATE(Tabelle132[[#This Row],[Raumcode]],".",Tabelle132[[#This Row],[Code]])</f>
        <v>E4.SD4</v>
      </c>
      <c r="Q158" s="28" t="s">
        <v>79</v>
      </c>
    </row>
    <row r="159" spans="2:17" x14ac:dyDescent="0.25">
      <c r="B159" s="27" t="s">
        <v>1613</v>
      </c>
      <c r="C159" s="36">
        <v>1</v>
      </c>
      <c r="D159" t="s">
        <v>102</v>
      </c>
      <c r="E159" s="36">
        <v>4</v>
      </c>
      <c r="F159" t="s">
        <v>22</v>
      </c>
      <c r="G159" s="66" t="s">
        <v>1747</v>
      </c>
      <c r="H159" t="s">
        <v>1708</v>
      </c>
      <c r="I159" t="s">
        <v>46</v>
      </c>
      <c r="J159" t="s">
        <v>48</v>
      </c>
      <c r="K159" t="s">
        <v>6</v>
      </c>
      <c r="L159" t="s">
        <v>1623</v>
      </c>
      <c r="M159" t="s">
        <v>1634</v>
      </c>
      <c r="N159" t="s">
        <v>1671</v>
      </c>
      <c r="O159" t="str">
        <f>CONCATENATE(Tabelle132[[#This Row],[Raumcode]],".",Tabelle132[[#This Row],[Code]])</f>
        <v>E4.SD5</v>
      </c>
      <c r="Q159" s="28" t="s">
        <v>79</v>
      </c>
    </row>
    <row r="160" spans="2:17" x14ac:dyDescent="0.25">
      <c r="B160" s="27" t="s">
        <v>1613</v>
      </c>
      <c r="C160" s="36">
        <v>1</v>
      </c>
      <c r="D160" t="s">
        <v>102</v>
      </c>
      <c r="E160" s="36">
        <v>4</v>
      </c>
      <c r="F160" t="s">
        <v>22</v>
      </c>
      <c r="G160" s="66" t="s">
        <v>1747</v>
      </c>
      <c r="H160" t="s">
        <v>1752</v>
      </c>
      <c r="I160" t="s">
        <v>46</v>
      </c>
      <c r="J160" t="s">
        <v>48</v>
      </c>
      <c r="K160" t="s">
        <v>6</v>
      </c>
      <c r="L160" t="s">
        <v>1623</v>
      </c>
      <c r="M160" t="s">
        <v>1634</v>
      </c>
      <c r="N160" t="s">
        <v>1673</v>
      </c>
      <c r="O160" t="str">
        <f>CONCATENATE(Tabelle132[[#This Row],[Raumcode]],".",Tabelle132[[#This Row],[Code]])</f>
        <v>E4.SD6</v>
      </c>
      <c r="Q160" t="s">
        <v>79</v>
      </c>
    </row>
    <row r="161" spans="2:17" x14ac:dyDescent="0.25">
      <c r="B161" s="27" t="s">
        <v>1613</v>
      </c>
      <c r="C161" s="36">
        <v>1</v>
      </c>
      <c r="D161" t="s">
        <v>102</v>
      </c>
      <c r="E161" s="36">
        <v>4</v>
      </c>
      <c r="F161" t="s">
        <v>22</v>
      </c>
      <c r="G161" s="66" t="s">
        <v>1747</v>
      </c>
      <c r="H161" t="s">
        <v>1716</v>
      </c>
      <c r="I161" t="s">
        <v>46</v>
      </c>
      <c r="J161" t="s">
        <v>48</v>
      </c>
      <c r="K161" t="s">
        <v>6</v>
      </c>
      <c r="L161" t="s">
        <v>1623</v>
      </c>
      <c r="M161" t="s">
        <v>1634</v>
      </c>
      <c r="N161" t="s">
        <v>1721</v>
      </c>
      <c r="O161" t="str">
        <f>CONCATENATE(Tabelle132[[#This Row],[Raumcode]],".",Tabelle132[[#This Row],[Code]])</f>
        <v>E4.SD7</v>
      </c>
      <c r="Q161" s="28" t="s">
        <v>79</v>
      </c>
    </row>
    <row r="162" spans="2:17" x14ac:dyDescent="0.25">
      <c r="B162" s="27" t="s">
        <v>1613</v>
      </c>
      <c r="C162" s="36">
        <v>1</v>
      </c>
      <c r="D162" t="s">
        <v>102</v>
      </c>
      <c r="E162" s="36">
        <v>4</v>
      </c>
      <c r="F162" t="s">
        <v>22</v>
      </c>
      <c r="G162" s="66" t="s">
        <v>1747</v>
      </c>
      <c r="H162" t="s">
        <v>1717</v>
      </c>
      <c r="I162" t="s">
        <v>46</v>
      </c>
      <c r="J162" t="s">
        <v>48</v>
      </c>
      <c r="K162" t="s">
        <v>6</v>
      </c>
      <c r="L162" t="s">
        <v>1623</v>
      </c>
      <c r="M162" t="s">
        <v>1634</v>
      </c>
      <c r="N162" t="s">
        <v>1722</v>
      </c>
      <c r="O162" t="str">
        <f>CONCATENATE(Tabelle132[[#This Row],[Raumcode]],".",Tabelle132[[#This Row],[Code]])</f>
        <v>E4.SD8</v>
      </c>
      <c r="Q162" s="28" t="s">
        <v>79</v>
      </c>
    </row>
    <row r="163" spans="2:17" x14ac:dyDescent="0.25">
      <c r="B163" s="27" t="s">
        <v>1613</v>
      </c>
      <c r="C163" s="36">
        <v>1</v>
      </c>
      <c r="D163" t="s">
        <v>102</v>
      </c>
      <c r="E163" s="36">
        <v>4</v>
      </c>
      <c r="F163" t="s">
        <v>22</v>
      </c>
      <c r="G163" s="66" t="s">
        <v>1747</v>
      </c>
      <c r="H163" t="s">
        <v>1718</v>
      </c>
      <c r="I163" t="s">
        <v>46</v>
      </c>
      <c r="J163" t="s">
        <v>48</v>
      </c>
      <c r="K163" t="s">
        <v>6</v>
      </c>
      <c r="L163" t="s">
        <v>1623</v>
      </c>
      <c r="M163" t="s">
        <v>1634</v>
      </c>
      <c r="N163" t="s">
        <v>1723</v>
      </c>
      <c r="O163" t="str">
        <f>CONCATENATE(Tabelle132[[#This Row],[Raumcode]],".",Tabelle132[[#This Row],[Code]])</f>
        <v>E4.SD9</v>
      </c>
      <c r="Q163" s="28" t="s">
        <v>79</v>
      </c>
    </row>
    <row r="164" spans="2:17" x14ac:dyDescent="0.25">
      <c r="B164" s="27" t="s">
        <v>1613</v>
      </c>
      <c r="C164" s="36">
        <v>1</v>
      </c>
      <c r="D164" t="s">
        <v>102</v>
      </c>
      <c r="E164" s="36">
        <v>4</v>
      </c>
      <c r="F164" t="s">
        <v>22</v>
      </c>
      <c r="G164" s="66" t="s">
        <v>1747</v>
      </c>
      <c r="H164" t="s">
        <v>1733</v>
      </c>
      <c r="I164" t="s">
        <v>46</v>
      </c>
      <c r="J164" t="s">
        <v>47</v>
      </c>
      <c r="K164" t="s">
        <v>6</v>
      </c>
      <c r="L164" t="s">
        <v>1623</v>
      </c>
      <c r="M164" t="s">
        <v>1629</v>
      </c>
      <c r="N164" t="s">
        <v>1724</v>
      </c>
      <c r="O164" t="str">
        <f>CONCATENATE(Tabelle132[[#This Row],[Raumcode]],".",Tabelle132[[#This Row],[Code]])</f>
        <v>E4.SD10</v>
      </c>
      <c r="Q164" s="28" t="s">
        <v>76</v>
      </c>
    </row>
    <row r="165" spans="2:17" x14ac:dyDescent="0.25">
      <c r="B165" s="27" t="s">
        <v>1613</v>
      </c>
      <c r="C165" s="36">
        <v>1</v>
      </c>
      <c r="D165" t="s">
        <v>102</v>
      </c>
      <c r="E165" s="36">
        <v>4</v>
      </c>
      <c r="F165" t="s">
        <v>22</v>
      </c>
      <c r="G165" s="66" t="s">
        <v>1747</v>
      </c>
      <c r="H165" t="s">
        <v>1755</v>
      </c>
      <c r="I165" t="s">
        <v>46</v>
      </c>
      <c r="J165" t="s">
        <v>48</v>
      </c>
      <c r="K165" t="s">
        <v>6</v>
      </c>
      <c r="L165" t="s">
        <v>1623</v>
      </c>
      <c r="M165" t="s">
        <v>1634</v>
      </c>
      <c r="N165" t="s">
        <v>1725</v>
      </c>
      <c r="O165" t="str">
        <f>CONCATENATE(Tabelle132[[#This Row],[Raumcode]],".",Tabelle132[[#This Row],[Code]])</f>
        <v>E4.SD11</v>
      </c>
      <c r="Q165" s="28" t="s">
        <v>79</v>
      </c>
    </row>
    <row r="166" spans="2:17" x14ac:dyDescent="0.25">
      <c r="B166" s="27" t="s">
        <v>1613</v>
      </c>
      <c r="C166" s="36">
        <v>1</v>
      </c>
      <c r="D166" t="s">
        <v>102</v>
      </c>
      <c r="E166" s="36">
        <v>4</v>
      </c>
      <c r="F166" t="s">
        <v>22</v>
      </c>
      <c r="G166" s="66" t="s">
        <v>1747</v>
      </c>
      <c r="H166" t="s">
        <v>1756</v>
      </c>
      <c r="I166" t="s">
        <v>46</v>
      </c>
      <c r="J166" t="s">
        <v>48</v>
      </c>
      <c r="K166" t="s">
        <v>6</v>
      </c>
      <c r="L166" t="s">
        <v>1623</v>
      </c>
      <c r="M166" t="s">
        <v>1634</v>
      </c>
      <c r="N166" t="s">
        <v>1726</v>
      </c>
      <c r="O166" t="str">
        <f>CONCATENATE(Tabelle132[[#This Row],[Raumcode]],".",Tabelle132[[#This Row],[Code]])</f>
        <v>E4.SD12</v>
      </c>
      <c r="Q166" s="28" t="s">
        <v>79</v>
      </c>
    </row>
    <row r="167" spans="2:17" x14ac:dyDescent="0.25">
      <c r="B167" s="27" t="s">
        <v>1613</v>
      </c>
      <c r="C167" s="36">
        <v>1</v>
      </c>
      <c r="D167" t="s">
        <v>102</v>
      </c>
      <c r="E167" s="36">
        <v>4</v>
      </c>
      <c r="F167" t="s">
        <v>22</v>
      </c>
      <c r="G167" s="66" t="s">
        <v>1747</v>
      </c>
      <c r="H167" t="s">
        <v>1652</v>
      </c>
      <c r="I167" t="s">
        <v>255</v>
      </c>
      <c r="J167" t="s">
        <v>1657</v>
      </c>
      <c r="K167" t="s">
        <v>13</v>
      </c>
      <c r="L167" t="s">
        <v>1640</v>
      </c>
      <c r="M167" t="s">
        <v>1632</v>
      </c>
      <c r="N167" t="s">
        <v>1651</v>
      </c>
      <c r="O167" t="str">
        <f>CONCATENATE(Tabelle132[[#This Row],[Raumcode]],".",Tabelle132[[#This Row],[Code]])</f>
        <v>E4.DA1</v>
      </c>
      <c r="Q167" s="28"/>
    </row>
    <row r="168" spans="2:17" x14ac:dyDescent="0.25">
      <c r="B168" s="27" t="s">
        <v>1613</v>
      </c>
      <c r="C168" s="36">
        <v>1</v>
      </c>
      <c r="D168" t="s">
        <v>102</v>
      </c>
      <c r="E168" s="36">
        <v>4</v>
      </c>
      <c r="F168" t="s">
        <v>22</v>
      </c>
      <c r="G168" s="66" t="s">
        <v>1747</v>
      </c>
      <c r="H168" t="s">
        <v>1758</v>
      </c>
      <c r="I168" t="s">
        <v>255</v>
      </c>
      <c r="J168" t="s">
        <v>1657</v>
      </c>
      <c r="K168" t="s">
        <v>13</v>
      </c>
      <c r="L168" t="s">
        <v>1640</v>
      </c>
      <c r="M168" t="s">
        <v>1632</v>
      </c>
      <c r="N168" t="s">
        <v>1658</v>
      </c>
      <c r="O168" t="str">
        <f>CONCATENATE(Tabelle132[[#This Row],[Raumcode]],".",Tabelle132[[#This Row],[Code]])</f>
        <v>E4.DA2</v>
      </c>
      <c r="Q168" s="28"/>
    </row>
    <row r="169" spans="2:17" x14ac:dyDescent="0.25">
      <c r="B169" s="27" t="s">
        <v>116</v>
      </c>
      <c r="C169" s="36">
        <v>2</v>
      </c>
      <c r="D169" t="s">
        <v>122</v>
      </c>
      <c r="E169" s="36">
        <v>4</v>
      </c>
      <c r="F169" t="s">
        <v>1836</v>
      </c>
      <c r="G169" s="66" t="s">
        <v>1843</v>
      </c>
      <c r="H169" t="s">
        <v>1837</v>
      </c>
      <c r="I169" t="s">
        <v>17</v>
      </c>
      <c r="J169" t="s">
        <v>18</v>
      </c>
      <c r="K169" t="s">
        <v>9</v>
      </c>
      <c r="L169" t="s">
        <v>1623</v>
      </c>
      <c r="M169" t="s">
        <v>1695</v>
      </c>
      <c r="N169" t="s">
        <v>1621</v>
      </c>
      <c r="O169" t="str">
        <f>CONCATENATE(Tabelle132[[#This Row],[Raumcode]],".",Tabelle132[[#This Row],[Code]])</f>
        <v>O4.BL1</v>
      </c>
      <c r="Q169" s="28" t="s">
        <v>83</v>
      </c>
    </row>
    <row r="170" spans="2:17" x14ac:dyDescent="0.25">
      <c r="B170" s="27" t="s">
        <v>116</v>
      </c>
      <c r="C170" s="36">
        <v>2</v>
      </c>
      <c r="D170" t="s">
        <v>122</v>
      </c>
      <c r="E170" s="36">
        <v>4</v>
      </c>
      <c r="F170" t="s">
        <v>1836</v>
      </c>
      <c r="G170" s="66" t="s">
        <v>1843</v>
      </c>
      <c r="H170" t="s">
        <v>1838</v>
      </c>
      <c r="I170" t="s">
        <v>17</v>
      </c>
      <c r="J170" t="s">
        <v>18</v>
      </c>
      <c r="K170" t="s">
        <v>9</v>
      </c>
      <c r="L170" t="s">
        <v>1640</v>
      </c>
      <c r="M170" t="s">
        <v>1555</v>
      </c>
      <c r="N170" t="s">
        <v>1643</v>
      </c>
      <c r="O170" t="str">
        <f>CONCATENATE(Tabelle132[[#This Row],[Raumcode]],".",Tabelle132[[#This Row],[Code]])</f>
        <v>O4.BL2</v>
      </c>
      <c r="Q170" s="28" t="s">
        <v>77</v>
      </c>
    </row>
    <row r="171" spans="2:17" x14ac:dyDescent="0.25">
      <c r="B171" s="27" t="s">
        <v>116</v>
      </c>
      <c r="C171" s="36">
        <v>2</v>
      </c>
      <c r="D171" t="s">
        <v>122</v>
      </c>
      <c r="E171" s="36">
        <v>4</v>
      </c>
      <c r="F171" t="s">
        <v>1836</v>
      </c>
      <c r="G171" s="66" t="s">
        <v>1843</v>
      </c>
      <c r="H171" t="s">
        <v>1749</v>
      </c>
      <c r="I171" t="s">
        <v>21</v>
      </c>
      <c r="J171" t="s">
        <v>87</v>
      </c>
      <c r="K171" t="s">
        <v>7</v>
      </c>
      <c r="L171" t="s">
        <v>1623</v>
      </c>
      <c r="M171" t="s">
        <v>1630</v>
      </c>
      <c r="N171" t="s">
        <v>1690</v>
      </c>
      <c r="O171" t="str">
        <f>CONCATENATE(Tabelle132[[#This Row],[Raumcode]],".",Tabelle132[[#This Row],[Code]])</f>
        <v>O4.R1</v>
      </c>
      <c r="Q171" s="28" t="s">
        <v>76</v>
      </c>
    </row>
    <row r="172" spans="2:17" x14ac:dyDescent="0.25">
      <c r="B172" s="27" t="s">
        <v>116</v>
      </c>
      <c r="C172" s="36">
        <v>2</v>
      </c>
      <c r="D172" t="s">
        <v>122</v>
      </c>
      <c r="E172" s="36">
        <v>4</v>
      </c>
      <c r="F172" t="s">
        <v>1836</v>
      </c>
      <c r="G172" s="66" t="s">
        <v>1843</v>
      </c>
      <c r="H172" t="s">
        <v>1841</v>
      </c>
      <c r="I172" t="s">
        <v>29</v>
      </c>
      <c r="J172" t="s">
        <v>33</v>
      </c>
      <c r="K172" t="s">
        <v>10</v>
      </c>
      <c r="L172" t="s">
        <v>10</v>
      </c>
      <c r="M172" t="s">
        <v>1629</v>
      </c>
      <c r="N172" t="s">
        <v>89</v>
      </c>
      <c r="O172" t="str">
        <f>CONCATENATE(Tabelle132[[#This Row],[Raumcode]],".",Tabelle132[[#This Row],[Code]])</f>
        <v>O4.BM1</v>
      </c>
      <c r="Q172" s="28" t="s">
        <v>77</v>
      </c>
    </row>
    <row r="173" spans="2:17" x14ac:dyDescent="0.25">
      <c r="B173" s="27" t="s">
        <v>116</v>
      </c>
      <c r="C173" s="36">
        <v>2</v>
      </c>
      <c r="D173" t="s">
        <v>122</v>
      </c>
      <c r="E173" s="36">
        <v>4</v>
      </c>
      <c r="F173" t="s">
        <v>1836</v>
      </c>
      <c r="G173" s="66" t="s">
        <v>1843</v>
      </c>
      <c r="H173" t="s">
        <v>1842</v>
      </c>
      <c r="I173" t="s">
        <v>29</v>
      </c>
      <c r="J173" t="s">
        <v>33</v>
      </c>
      <c r="K173" t="s">
        <v>10</v>
      </c>
      <c r="L173" t="s">
        <v>10</v>
      </c>
      <c r="M173" t="s">
        <v>1629</v>
      </c>
      <c r="N173" t="s">
        <v>90</v>
      </c>
      <c r="O173" t="str">
        <f>CONCATENATE(Tabelle132[[#This Row],[Raumcode]],".",Tabelle132[[#This Row],[Code]])</f>
        <v>O4.BM2</v>
      </c>
      <c r="Q173" s="28" t="s">
        <v>77</v>
      </c>
    </row>
    <row r="174" spans="2:17" x14ac:dyDescent="0.25">
      <c r="B174" s="27" t="s">
        <v>116</v>
      </c>
      <c r="C174" s="36">
        <v>2</v>
      </c>
      <c r="D174" t="s">
        <v>122</v>
      </c>
      <c r="E174" s="36">
        <v>4</v>
      </c>
      <c r="F174" t="s">
        <v>1836</v>
      </c>
      <c r="G174" s="66" t="s">
        <v>1843</v>
      </c>
      <c r="H174" t="s">
        <v>1732</v>
      </c>
      <c r="I174" t="s">
        <v>46</v>
      </c>
      <c r="J174" t="s">
        <v>47</v>
      </c>
      <c r="K174" t="s">
        <v>6</v>
      </c>
      <c r="L174" t="s">
        <v>1623</v>
      </c>
      <c r="M174" t="s">
        <v>1629</v>
      </c>
      <c r="N174" t="s">
        <v>1620</v>
      </c>
      <c r="O174" t="str">
        <f>CONCATENATE(Tabelle132[[#This Row],[Raumcode]],".",Tabelle132[[#This Row],[Code]])</f>
        <v>O4.SD1</v>
      </c>
      <c r="Q174" s="28" t="s">
        <v>76</v>
      </c>
    </row>
    <row r="175" spans="2:17" x14ac:dyDescent="0.25">
      <c r="B175" s="27" t="s">
        <v>116</v>
      </c>
      <c r="C175" s="36">
        <v>2</v>
      </c>
      <c r="D175" t="s">
        <v>122</v>
      </c>
      <c r="E175" s="36">
        <v>4</v>
      </c>
      <c r="F175" t="s">
        <v>1836</v>
      </c>
      <c r="G175" s="66" t="s">
        <v>1843</v>
      </c>
      <c r="H175" t="s">
        <v>1839</v>
      </c>
      <c r="I175" t="s">
        <v>255</v>
      </c>
      <c r="J175" t="s">
        <v>1695</v>
      </c>
      <c r="K175" t="s">
        <v>6</v>
      </c>
      <c r="L175" t="s">
        <v>1623</v>
      </c>
      <c r="M175" t="s">
        <v>1634</v>
      </c>
      <c r="N175" t="s">
        <v>1651</v>
      </c>
      <c r="O175" t="str">
        <f>CONCATENATE(Tabelle132[[#This Row],[Raumcode]],".",Tabelle132[[#This Row],[Code]])</f>
        <v>O4.DA1</v>
      </c>
      <c r="Q175" s="28"/>
    </row>
    <row r="176" spans="2:17" x14ac:dyDescent="0.25">
      <c r="B176" s="27" t="s">
        <v>116</v>
      </c>
      <c r="C176" s="36">
        <v>2</v>
      </c>
      <c r="D176" t="s">
        <v>122</v>
      </c>
      <c r="E176" s="36">
        <v>4</v>
      </c>
      <c r="F176" t="s">
        <v>1836</v>
      </c>
      <c r="G176" s="66" t="s">
        <v>1843</v>
      </c>
      <c r="H176" t="s">
        <v>1840</v>
      </c>
      <c r="I176" t="s">
        <v>255</v>
      </c>
      <c r="J176" t="s">
        <v>1656</v>
      </c>
      <c r="K176" t="s">
        <v>13</v>
      </c>
      <c r="L176" t="s">
        <v>1640</v>
      </c>
      <c r="M176" t="s">
        <v>1632</v>
      </c>
      <c r="N176" t="s">
        <v>1658</v>
      </c>
      <c r="O176" t="str">
        <f>CONCATENATE(Tabelle132[[#This Row],[Raumcode]],".",Tabelle132[[#This Row],[Code]])</f>
        <v>O4.DA2</v>
      </c>
      <c r="Q176" s="28"/>
    </row>
    <row r="177" spans="2:17" x14ac:dyDescent="0.25">
      <c r="B177" s="27" t="s">
        <v>116</v>
      </c>
      <c r="C177" s="36">
        <v>2</v>
      </c>
      <c r="D177" t="s">
        <v>123</v>
      </c>
      <c r="E177" s="36">
        <v>5</v>
      </c>
      <c r="F177" t="s">
        <v>1844</v>
      </c>
      <c r="G177" s="66" t="s">
        <v>1845</v>
      </c>
      <c r="H177" t="s">
        <v>1759</v>
      </c>
      <c r="I177" t="s">
        <v>1676</v>
      </c>
      <c r="K177" t="s">
        <v>14</v>
      </c>
      <c r="L177" t="s">
        <v>1639</v>
      </c>
      <c r="M177" t="s">
        <v>1649</v>
      </c>
      <c r="N177" t="s">
        <v>1678</v>
      </c>
      <c r="O177" t="str">
        <f>CONCATENATE(Tabelle132[[#This Row],[Raumcode]],".",Tabelle132[[#This Row],[Code]])</f>
        <v>O5.DL1</v>
      </c>
      <c r="Q177" s="28" t="s">
        <v>83</v>
      </c>
    </row>
    <row r="178" spans="2:17" x14ac:dyDescent="0.25">
      <c r="B178" s="27" t="s">
        <v>116</v>
      </c>
      <c r="C178" s="36">
        <v>2</v>
      </c>
      <c r="D178" t="s">
        <v>123</v>
      </c>
      <c r="E178" s="36">
        <v>5</v>
      </c>
      <c r="F178" t="s">
        <v>1844</v>
      </c>
      <c r="G178" s="66" t="s">
        <v>1845</v>
      </c>
      <c r="H178" t="s">
        <v>1760</v>
      </c>
      <c r="I178" t="s">
        <v>1676</v>
      </c>
      <c r="K178" t="s">
        <v>14</v>
      </c>
      <c r="L178" t="s">
        <v>1639</v>
      </c>
      <c r="M178" t="s">
        <v>1649</v>
      </c>
      <c r="N178" t="s">
        <v>1746</v>
      </c>
      <c r="O178" t="str">
        <f>CONCATENATE(Tabelle132[[#This Row],[Raumcode]],".",Tabelle132[[#This Row],[Code]])</f>
        <v>O5.DL2</v>
      </c>
      <c r="Q178" s="28" t="s">
        <v>83</v>
      </c>
    </row>
    <row r="179" spans="2:17" x14ac:dyDescent="0.25">
      <c r="B179" s="27" t="s">
        <v>116</v>
      </c>
      <c r="C179" s="36">
        <v>2</v>
      </c>
      <c r="D179" t="s">
        <v>123</v>
      </c>
      <c r="E179" s="36">
        <v>5</v>
      </c>
      <c r="F179" t="s">
        <v>1844</v>
      </c>
      <c r="G179" s="66" t="s">
        <v>1845</v>
      </c>
      <c r="H179" t="s">
        <v>1740</v>
      </c>
      <c r="I179" t="s">
        <v>17</v>
      </c>
      <c r="J179" t="s">
        <v>1614</v>
      </c>
      <c r="K179" t="s">
        <v>9</v>
      </c>
      <c r="L179" t="s">
        <v>1640</v>
      </c>
      <c r="M179" t="s">
        <v>1555</v>
      </c>
      <c r="N179" t="s">
        <v>1621</v>
      </c>
      <c r="O179" t="str">
        <f>CONCATENATE(Tabelle132[[#This Row],[Raumcode]],".",Tabelle132[[#This Row],[Code]])</f>
        <v>O5.BL1</v>
      </c>
      <c r="Q179" s="28" t="s">
        <v>83</v>
      </c>
    </row>
    <row r="180" spans="2:17" x14ac:dyDescent="0.25">
      <c r="B180" s="27" t="s">
        <v>116</v>
      </c>
      <c r="C180" s="36">
        <v>2</v>
      </c>
      <c r="D180" t="s">
        <v>123</v>
      </c>
      <c r="E180" s="36">
        <v>5</v>
      </c>
      <c r="F180" t="s">
        <v>1844</v>
      </c>
      <c r="G180" s="66" t="s">
        <v>1845</v>
      </c>
      <c r="H180" t="s">
        <v>1849</v>
      </c>
      <c r="I180" t="s">
        <v>17</v>
      </c>
      <c r="J180" t="s">
        <v>18</v>
      </c>
      <c r="K180" t="s">
        <v>9</v>
      </c>
      <c r="L180" t="s">
        <v>1640</v>
      </c>
      <c r="M180" t="s">
        <v>1555</v>
      </c>
      <c r="N180" t="s">
        <v>1643</v>
      </c>
      <c r="O180" t="str">
        <f>CONCATENATE(Tabelle132[[#This Row],[Raumcode]],".",Tabelle132[[#This Row],[Code]])</f>
        <v>O5.BL2</v>
      </c>
      <c r="Q180" s="28" t="s">
        <v>77</v>
      </c>
    </row>
    <row r="181" spans="2:17" x14ac:dyDescent="0.25">
      <c r="B181" s="27" t="s">
        <v>116</v>
      </c>
      <c r="C181" s="36">
        <v>2</v>
      </c>
      <c r="D181" t="s">
        <v>123</v>
      </c>
      <c r="E181" s="36">
        <v>5</v>
      </c>
      <c r="F181" t="s">
        <v>1844</v>
      </c>
      <c r="G181" s="66" t="s">
        <v>1845</v>
      </c>
      <c r="H181" t="s">
        <v>1850</v>
      </c>
      <c r="I181" t="s">
        <v>17</v>
      </c>
      <c r="J181" t="s">
        <v>18</v>
      </c>
      <c r="K181" t="s">
        <v>9</v>
      </c>
      <c r="L181" t="s">
        <v>1640</v>
      </c>
      <c r="M181" t="s">
        <v>1555</v>
      </c>
      <c r="N181" t="s">
        <v>1644</v>
      </c>
      <c r="O181" t="str">
        <f>CONCATENATE(Tabelle132[[#This Row],[Raumcode]],".",Tabelle132[[#This Row],[Code]])</f>
        <v>O5.BL3</v>
      </c>
      <c r="Q181" s="28" t="s">
        <v>77</v>
      </c>
    </row>
    <row r="182" spans="2:17" x14ac:dyDescent="0.25">
      <c r="B182" s="27" t="s">
        <v>116</v>
      </c>
      <c r="C182" s="36">
        <v>2</v>
      </c>
      <c r="D182" t="s">
        <v>123</v>
      </c>
      <c r="E182" s="36">
        <v>5</v>
      </c>
      <c r="F182" t="s">
        <v>1844</v>
      </c>
      <c r="G182" s="66" t="s">
        <v>1845</v>
      </c>
      <c r="H182" t="s">
        <v>1851</v>
      </c>
      <c r="I182" t="s">
        <v>17</v>
      </c>
      <c r="J182" t="s">
        <v>18</v>
      </c>
      <c r="K182" t="s">
        <v>9</v>
      </c>
      <c r="L182" t="s">
        <v>1640</v>
      </c>
      <c r="M182" t="s">
        <v>1555</v>
      </c>
      <c r="N182" t="s">
        <v>1645</v>
      </c>
      <c r="O182" t="str">
        <f>CONCATENATE(Tabelle132[[#This Row],[Raumcode]],".",Tabelle132[[#This Row],[Code]])</f>
        <v>O5.BL4</v>
      </c>
      <c r="Q182" s="28" t="s">
        <v>76</v>
      </c>
    </row>
    <row r="183" spans="2:17" x14ac:dyDescent="0.25">
      <c r="B183" s="27" t="s">
        <v>116</v>
      </c>
      <c r="C183" s="36">
        <v>2</v>
      </c>
      <c r="D183" t="s">
        <v>123</v>
      </c>
      <c r="E183" s="36">
        <v>5</v>
      </c>
      <c r="F183" t="s">
        <v>1844</v>
      </c>
      <c r="G183" s="66" t="s">
        <v>1845</v>
      </c>
      <c r="H183" t="s">
        <v>1852</v>
      </c>
      <c r="I183" t="s">
        <v>17</v>
      </c>
      <c r="J183" t="s">
        <v>18</v>
      </c>
      <c r="K183" t="s">
        <v>9</v>
      </c>
      <c r="L183" t="s">
        <v>1640</v>
      </c>
      <c r="M183" t="s">
        <v>1555</v>
      </c>
      <c r="N183" t="s">
        <v>1646</v>
      </c>
      <c r="O183" t="str">
        <f>CONCATENATE(Tabelle132[[#This Row],[Raumcode]],".",Tabelle132[[#This Row],[Code]])</f>
        <v>O5.BL5</v>
      </c>
      <c r="Q183" s="28" t="s">
        <v>77</v>
      </c>
    </row>
    <row r="184" spans="2:17" x14ac:dyDescent="0.25">
      <c r="B184" s="27" t="s">
        <v>116</v>
      </c>
      <c r="C184" s="36">
        <v>2</v>
      </c>
      <c r="D184" t="s">
        <v>123</v>
      </c>
      <c r="E184" s="36">
        <v>5</v>
      </c>
      <c r="F184" t="s">
        <v>1844</v>
      </c>
      <c r="G184" s="66" t="s">
        <v>1845</v>
      </c>
      <c r="H184" t="s">
        <v>1854</v>
      </c>
      <c r="I184" t="s">
        <v>17</v>
      </c>
      <c r="J184" t="s">
        <v>18</v>
      </c>
      <c r="K184" t="s">
        <v>9</v>
      </c>
      <c r="L184" t="s">
        <v>1640</v>
      </c>
      <c r="M184" t="s">
        <v>1555</v>
      </c>
      <c r="N184" t="s">
        <v>1647</v>
      </c>
      <c r="O184" t="str">
        <f>CONCATENATE(Tabelle132[[#This Row],[Raumcode]],".",Tabelle132[[#This Row],[Code]])</f>
        <v>O5.BL6</v>
      </c>
      <c r="Q184" s="28" t="s">
        <v>77</v>
      </c>
    </row>
    <row r="185" spans="2:17" x14ac:dyDescent="0.25">
      <c r="B185" s="27" t="s">
        <v>116</v>
      </c>
      <c r="C185" s="36">
        <v>2</v>
      </c>
      <c r="D185" t="s">
        <v>123</v>
      </c>
      <c r="E185" s="36">
        <v>5</v>
      </c>
      <c r="F185" t="s">
        <v>1844</v>
      </c>
      <c r="G185" s="66" t="s">
        <v>1845</v>
      </c>
      <c r="H185" t="s">
        <v>1749</v>
      </c>
      <c r="I185" t="s">
        <v>21</v>
      </c>
      <c r="J185" t="s">
        <v>87</v>
      </c>
      <c r="K185" t="s">
        <v>7</v>
      </c>
      <c r="L185" t="s">
        <v>1623</v>
      </c>
      <c r="M185" t="s">
        <v>1630</v>
      </c>
      <c r="N185" t="s">
        <v>1690</v>
      </c>
      <c r="O185" t="str">
        <f>CONCATENATE(Tabelle132[[#This Row],[Raumcode]],".",Tabelle132[[#This Row],[Code]])</f>
        <v>O5.R1</v>
      </c>
      <c r="Q185" s="28" t="s">
        <v>76</v>
      </c>
    </row>
    <row r="186" spans="2:17" x14ac:dyDescent="0.25">
      <c r="B186" s="27" t="s">
        <v>116</v>
      </c>
      <c r="C186" s="36">
        <v>2</v>
      </c>
      <c r="D186" t="s">
        <v>123</v>
      </c>
      <c r="E186" s="36">
        <v>5</v>
      </c>
      <c r="F186" t="s">
        <v>1844</v>
      </c>
      <c r="G186" s="66" t="s">
        <v>1845</v>
      </c>
      <c r="H186" t="s">
        <v>1793</v>
      </c>
      <c r="I186" t="s">
        <v>21</v>
      </c>
      <c r="J186" t="s">
        <v>87</v>
      </c>
      <c r="K186" t="s">
        <v>7</v>
      </c>
      <c r="L186" t="s">
        <v>1623</v>
      </c>
      <c r="M186" t="s">
        <v>1630</v>
      </c>
      <c r="N186" t="s">
        <v>1826</v>
      </c>
      <c r="O186" t="str">
        <f>CONCATENATE(Tabelle132[[#This Row],[Raumcode]],".",Tabelle132[[#This Row],[Code]])</f>
        <v>O5.R2</v>
      </c>
      <c r="Q186" s="28" t="s">
        <v>76</v>
      </c>
    </row>
    <row r="187" spans="2:17" x14ac:dyDescent="0.25">
      <c r="B187" s="27" t="s">
        <v>116</v>
      </c>
      <c r="C187" s="36">
        <v>2</v>
      </c>
      <c r="D187" t="s">
        <v>123</v>
      </c>
      <c r="E187" s="36">
        <v>5</v>
      </c>
      <c r="F187" t="s">
        <v>1844</v>
      </c>
      <c r="G187" s="66" t="s">
        <v>1845</v>
      </c>
      <c r="H187" t="s">
        <v>1736</v>
      </c>
      <c r="I187" t="s">
        <v>29</v>
      </c>
      <c r="J187" t="s">
        <v>1618</v>
      </c>
      <c r="K187" t="s">
        <v>14</v>
      </c>
      <c r="L187" t="s">
        <v>1641</v>
      </c>
      <c r="M187" t="s">
        <v>1692</v>
      </c>
      <c r="N187" t="s">
        <v>1693</v>
      </c>
      <c r="O187" t="str">
        <f>CONCATENATE(Tabelle132[[#This Row],[Raumcode]],".",Tabelle132[[#This Row],[Code]])</f>
        <v>O5.FK1</v>
      </c>
      <c r="Q187" s="28" t="s">
        <v>76</v>
      </c>
    </row>
    <row r="188" spans="2:17" x14ac:dyDescent="0.25">
      <c r="B188" s="27" t="s">
        <v>116</v>
      </c>
      <c r="C188" s="36">
        <v>2</v>
      </c>
      <c r="D188" t="s">
        <v>123</v>
      </c>
      <c r="E188" s="36">
        <v>5</v>
      </c>
      <c r="F188" t="s">
        <v>1844</v>
      </c>
      <c r="G188" s="66" t="s">
        <v>1845</v>
      </c>
      <c r="H188" t="s">
        <v>1795</v>
      </c>
      <c r="I188" t="s">
        <v>29</v>
      </c>
      <c r="J188" t="s">
        <v>1618</v>
      </c>
      <c r="K188" t="s">
        <v>14</v>
      </c>
      <c r="L188" t="s">
        <v>1641</v>
      </c>
      <c r="M188" t="s">
        <v>1692</v>
      </c>
      <c r="N188" t="s">
        <v>1739</v>
      </c>
      <c r="O188" t="str">
        <f>CONCATENATE(Tabelle132[[#This Row],[Raumcode]],".",Tabelle132[[#This Row],[Code]])</f>
        <v>O5.FK2</v>
      </c>
      <c r="Q188" s="28" t="s">
        <v>76</v>
      </c>
    </row>
    <row r="189" spans="2:17" x14ac:dyDescent="0.25">
      <c r="B189" s="27" t="s">
        <v>116</v>
      </c>
      <c r="C189" s="36">
        <v>2</v>
      </c>
      <c r="D189" t="s">
        <v>123</v>
      </c>
      <c r="E189" s="36">
        <v>5</v>
      </c>
      <c r="F189" t="s">
        <v>1844</v>
      </c>
      <c r="G189" s="66" t="s">
        <v>1845</v>
      </c>
      <c r="H189" t="s">
        <v>1735</v>
      </c>
      <c r="I189" t="s">
        <v>29</v>
      </c>
      <c r="J189" t="s">
        <v>37</v>
      </c>
      <c r="K189" t="s">
        <v>10</v>
      </c>
      <c r="L189" t="s">
        <v>10</v>
      </c>
      <c r="M189" t="s">
        <v>1638</v>
      </c>
      <c r="N189" t="s">
        <v>109</v>
      </c>
      <c r="O189" t="str">
        <f>CONCATENATE(Tabelle132[[#This Row],[Raumcode]],".",Tabelle132[[#This Row],[Code]])</f>
        <v>O5.TS1</v>
      </c>
      <c r="Q189" s="28" t="s">
        <v>77</v>
      </c>
    </row>
    <row r="190" spans="2:17" x14ac:dyDescent="0.25">
      <c r="B190" s="27" t="s">
        <v>116</v>
      </c>
      <c r="C190" s="36">
        <v>2</v>
      </c>
      <c r="D190" t="s">
        <v>123</v>
      </c>
      <c r="E190" s="36">
        <v>5</v>
      </c>
      <c r="F190" t="s">
        <v>1844</v>
      </c>
      <c r="G190" s="66" t="s">
        <v>1845</v>
      </c>
      <c r="H190" t="s">
        <v>40</v>
      </c>
      <c r="I190" t="s">
        <v>29</v>
      </c>
      <c r="J190" t="s">
        <v>1617</v>
      </c>
      <c r="K190" t="s">
        <v>10</v>
      </c>
      <c r="L190" t="s">
        <v>10</v>
      </c>
      <c r="M190" t="s">
        <v>1638</v>
      </c>
      <c r="N190" t="s">
        <v>103</v>
      </c>
      <c r="O190" t="str">
        <f>CONCATENATE(Tabelle132[[#This Row],[Raumcode]],".",Tabelle132[[#This Row],[Code]])</f>
        <v>O5.PM1</v>
      </c>
      <c r="Q190" s="28" t="s">
        <v>83</v>
      </c>
    </row>
    <row r="191" spans="2:17" x14ac:dyDescent="0.25">
      <c r="B191" s="27" t="s">
        <v>116</v>
      </c>
      <c r="C191" s="36">
        <v>2</v>
      </c>
      <c r="D191" t="s">
        <v>123</v>
      </c>
      <c r="E191" s="36">
        <v>5</v>
      </c>
      <c r="F191" t="s">
        <v>1844</v>
      </c>
      <c r="G191" s="66" t="s">
        <v>1845</v>
      </c>
      <c r="H191" t="s">
        <v>1732</v>
      </c>
      <c r="I191" t="s">
        <v>46</v>
      </c>
      <c r="J191" t="s">
        <v>47</v>
      </c>
      <c r="K191" t="s">
        <v>6</v>
      </c>
      <c r="L191" t="s">
        <v>1623</v>
      </c>
      <c r="M191" t="s">
        <v>1629</v>
      </c>
      <c r="N191" t="s">
        <v>1620</v>
      </c>
      <c r="O191" t="str">
        <f>CONCATENATE(Tabelle132[[#This Row],[Raumcode]],".",Tabelle132[[#This Row],[Code]])</f>
        <v>O5.SD1</v>
      </c>
      <c r="Q191" s="28" t="s">
        <v>76</v>
      </c>
    </row>
    <row r="192" spans="2:17" x14ac:dyDescent="0.25">
      <c r="B192" s="27" t="s">
        <v>116</v>
      </c>
      <c r="C192" s="36">
        <v>2</v>
      </c>
      <c r="D192" t="s">
        <v>123</v>
      </c>
      <c r="E192" s="36">
        <v>5</v>
      </c>
      <c r="F192" t="s">
        <v>1844</v>
      </c>
      <c r="G192" s="66" t="s">
        <v>1845</v>
      </c>
      <c r="H192" t="s">
        <v>1704</v>
      </c>
      <c r="I192" t="s">
        <v>46</v>
      </c>
      <c r="J192" t="s">
        <v>48</v>
      </c>
      <c r="K192" t="s">
        <v>6</v>
      </c>
      <c r="L192" t="s">
        <v>1623</v>
      </c>
      <c r="M192" t="s">
        <v>1634</v>
      </c>
      <c r="N192" t="s">
        <v>1668</v>
      </c>
      <c r="O192" t="str">
        <f>CONCATENATE(Tabelle132[[#This Row],[Raumcode]],".",Tabelle132[[#This Row],[Code]])</f>
        <v>O5.SD2</v>
      </c>
      <c r="Q192" s="28" t="s">
        <v>79</v>
      </c>
    </row>
    <row r="193" spans="2:17" x14ac:dyDescent="0.25">
      <c r="B193" s="27" t="s">
        <v>116</v>
      </c>
      <c r="C193" s="36">
        <v>2</v>
      </c>
      <c r="D193" t="s">
        <v>123</v>
      </c>
      <c r="E193" s="36">
        <v>5</v>
      </c>
      <c r="F193" t="s">
        <v>1844</v>
      </c>
      <c r="G193" s="66" t="s">
        <v>1845</v>
      </c>
      <c r="H193" t="s">
        <v>1687</v>
      </c>
      <c r="I193" t="s">
        <v>46</v>
      </c>
      <c r="J193" t="s">
        <v>49</v>
      </c>
      <c r="K193" t="s">
        <v>6</v>
      </c>
      <c r="L193" t="s">
        <v>1625</v>
      </c>
      <c r="M193" t="s">
        <v>1634</v>
      </c>
      <c r="N193" t="s">
        <v>1670</v>
      </c>
      <c r="O193" t="str">
        <f>CONCATENATE(Tabelle132[[#This Row],[Raumcode]],".",Tabelle132[[#This Row],[Code]])</f>
        <v>O5.SD4</v>
      </c>
      <c r="Q193" s="28" t="s">
        <v>79</v>
      </c>
    </row>
    <row r="194" spans="2:17" x14ac:dyDescent="0.25">
      <c r="B194" s="27" t="s">
        <v>116</v>
      </c>
      <c r="C194" s="36">
        <v>2</v>
      </c>
      <c r="D194" t="s">
        <v>123</v>
      </c>
      <c r="E194" s="36">
        <v>5</v>
      </c>
      <c r="F194" t="s">
        <v>1844</v>
      </c>
      <c r="G194" s="66" t="s">
        <v>1845</v>
      </c>
      <c r="H194" t="s">
        <v>1792</v>
      </c>
      <c r="I194" t="s">
        <v>46</v>
      </c>
      <c r="J194" t="s">
        <v>47</v>
      </c>
      <c r="K194" t="s">
        <v>6</v>
      </c>
      <c r="L194" t="s">
        <v>1623</v>
      </c>
      <c r="M194" t="s">
        <v>1629</v>
      </c>
      <c r="N194" t="s">
        <v>1671</v>
      </c>
      <c r="O194" t="str">
        <f>CONCATENATE(Tabelle132[[#This Row],[Raumcode]],".",Tabelle132[[#This Row],[Code]])</f>
        <v>O5.SD5</v>
      </c>
      <c r="Q194" s="28" t="s">
        <v>76</v>
      </c>
    </row>
    <row r="195" spans="2:17" x14ac:dyDescent="0.25">
      <c r="B195" s="27" t="s">
        <v>116</v>
      </c>
      <c r="C195" s="36">
        <v>2</v>
      </c>
      <c r="D195" t="s">
        <v>123</v>
      </c>
      <c r="E195" s="36">
        <v>5</v>
      </c>
      <c r="F195" t="s">
        <v>1844</v>
      </c>
      <c r="G195" s="66" t="s">
        <v>1845</v>
      </c>
      <c r="H195" t="s">
        <v>1846</v>
      </c>
      <c r="I195" t="s">
        <v>46</v>
      </c>
      <c r="J195" t="s">
        <v>48</v>
      </c>
      <c r="K195" t="s">
        <v>6</v>
      </c>
      <c r="L195" t="s">
        <v>1623</v>
      </c>
      <c r="M195" t="s">
        <v>1634</v>
      </c>
      <c r="N195" t="s">
        <v>1671</v>
      </c>
      <c r="O195" t="str">
        <f>CONCATENATE(Tabelle132[[#This Row],[Raumcode]],".",Tabelle132[[#This Row],[Code]])</f>
        <v>O5.SD5</v>
      </c>
      <c r="Q195" s="28" t="s">
        <v>79</v>
      </c>
    </row>
    <row r="196" spans="2:17" x14ac:dyDescent="0.25">
      <c r="B196" s="27" t="s">
        <v>116</v>
      </c>
      <c r="C196" s="36">
        <v>2</v>
      </c>
      <c r="D196" t="s">
        <v>123</v>
      </c>
      <c r="E196" s="36">
        <v>5</v>
      </c>
      <c r="F196" t="s">
        <v>1844</v>
      </c>
      <c r="G196" s="66" t="s">
        <v>1845</v>
      </c>
      <c r="H196" t="s">
        <v>1716</v>
      </c>
      <c r="I196" t="s">
        <v>46</v>
      </c>
      <c r="J196" t="s">
        <v>48</v>
      </c>
      <c r="K196" t="s">
        <v>6</v>
      </c>
      <c r="L196" t="s">
        <v>1623</v>
      </c>
      <c r="M196" t="s">
        <v>1634</v>
      </c>
      <c r="N196" t="s">
        <v>1673</v>
      </c>
      <c r="O196" t="str">
        <f>CONCATENATE(Tabelle132[[#This Row],[Raumcode]],".",Tabelle132[[#This Row],[Code]])</f>
        <v>O5.SD6</v>
      </c>
      <c r="Q196" s="28" t="s">
        <v>79</v>
      </c>
    </row>
    <row r="197" spans="2:17" x14ac:dyDescent="0.25">
      <c r="B197" s="27" t="s">
        <v>116</v>
      </c>
      <c r="C197" s="36">
        <v>2</v>
      </c>
      <c r="D197" t="s">
        <v>123</v>
      </c>
      <c r="E197" s="36">
        <v>5</v>
      </c>
      <c r="F197" t="s">
        <v>1844</v>
      </c>
      <c r="G197" s="66" t="s">
        <v>1845</v>
      </c>
      <c r="H197" t="s">
        <v>1717</v>
      </c>
      <c r="I197" t="s">
        <v>46</v>
      </c>
      <c r="J197" t="s">
        <v>48</v>
      </c>
      <c r="K197" t="s">
        <v>6</v>
      </c>
      <c r="L197" t="s">
        <v>1623</v>
      </c>
      <c r="M197" t="s">
        <v>1634</v>
      </c>
      <c r="N197" t="s">
        <v>1721</v>
      </c>
      <c r="O197" t="str">
        <f>CONCATENATE(Tabelle132[[#This Row],[Raumcode]],".",Tabelle132[[#This Row],[Code]])</f>
        <v>O5.SD7</v>
      </c>
      <c r="Q197" s="28" t="s">
        <v>79</v>
      </c>
    </row>
    <row r="198" spans="2:17" x14ac:dyDescent="0.25">
      <c r="B198" s="27" t="s">
        <v>116</v>
      </c>
      <c r="C198" s="36">
        <v>2</v>
      </c>
      <c r="D198" t="s">
        <v>123</v>
      </c>
      <c r="E198" s="36">
        <v>5</v>
      </c>
      <c r="F198" t="s">
        <v>1844</v>
      </c>
      <c r="G198" s="66" t="s">
        <v>1845</v>
      </c>
      <c r="H198" t="s">
        <v>1718</v>
      </c>
      <c r="I198" t="s">
        <v>46</v>
      </c>
      <c r="J198" t="s">
        <v>48</v>
      </c>
      <c r="K198" t="s">
        <v>6</v>
      </c>
      <c r="L198" t="s">
        <v>1623</v>
      </c>
      <c r="M198" t="s">
        <v>1634</v>
      </c>
      <c r="N198" t="s">
        <v>1722</v>
      </c>
      <c r="O198" t="str">
        <f>CONCATENATE(Tabelle132[[#This Row],[Raumcode]],".",Tabelle132[[#This Row],[Code]])</f>
        <v>O5.SD8</v>
      </c>
      <c r="Q198" s="28" t="s">
        <v>79</v>
      </c>
    </row>
    <row r="199" spans="2:17" x14ac:dyDescent="0.25">
      <c r="B199" s="27" t="s">
        <v>116</v>
      </c>
      <c r="C199" s="36">
        <v>2</v>
      </c>
      <c r="D199" t="s">
        <v>123</v>
      </c>
      <c r="E199" s="36">
        <v>5</v>
      </c>
      <c r="F199" t="s">
        <v>1844</v>
      </c>
      <c r="G199" s="66" t="s">
        <v>1845</v>
      </c>
      <c r="H199" t="s">
        <v>1755</v>
      </c>
      <c r="I199" t="s">
        <v>46</v>
      </c>
      <c r="J199" t="s">
        <v>48</v>
      </c>
      <c r="K199" t="s">
        <v>6</v>
      </c>
      <c r="L199" t="s">
        <v>1623</v>
      </c>
      <c r="M199" t="s">
        <v>1634</v>
      </c>
      <c r="N199" t="s">
        <v>1723</v>
      </c>
      <c r="O199" t="str">
        <f>CONCATENATE(Tabelle132[[#This Row],[Raumcode]],".",Tabelle132[[#This Row],[Code]])</f>
        <v>O5.SD9</v>
      </c>
      <c r="Q199" s="28" t="s">
        <v>79</v>
      </c>
    </row>
    <row r="200" spans="2:17" x14ac:dyDescent="0.25">
      <c r="B200" s="27" t="s">
        <v>116</v>
      </c>
      <c r="C200" s="36">
        <v>2</v>
      </c>
      <c r="D200" t="s">
        <v>123</v>
      </c>
      <c r="E200" s="36">
        <v>5</v>
      </c>
      <c r="F200" t="s">
        <v>1844</v>
      </c>
      <c r="G200" s="66" t="s">
        <v>1845</v>
      </c>
      <c r="H200" t="s">
        <v>1688</v>
      </c>
      <c r="I200" t="s">
        <v>46</v>
      </c>
      <c r="J200" t="s">
        <v>48</v>
      </c>
      <c r="K200" t="s">
        <v>6</v>
      </c>
      <c r="L200" t="s">
        <v>1623</v>
      </c>
      <c r="M200" t="s">
        <v>1634</v>
      </c>
      <c r="N200" t="s">
        <v>1724</v>
      </c>
      <c r="O200" t="str">
        <f>CONCATENATE(Tabelle132[[#This Row],[Raumcode]],".",Tabelle132[[#This Row],[Code]])</f>
        <v>O5.SD10</v>
      </c>
      <c r="Q200" s="28" t="s">
        <v>77</v>
      </c>
    </row>
    <row r="201" spans="2:17" x14ac:dyDescent="0.25">
      <c r="B201" s="27" t="s">
        <v>116</v>
      </c>
      <c r="C201" s="36">
        <v>2</v>
      </c>
      <c r="D201" t="s">
        <v>123</v>
      </c>
      <c r="E201" s="36">
        <v>5</v>
      </c>
      <c r="F201" t="s">
        <v>1844</v>
      </c>
      <c r="G201" s="66" t="s">
        <v>1845</v>
      </c>
      <c r="H201" t="s">
        <v>1689</v>
      </c>
      <c r="I201" t="s">
        <v>46</v>
      </c>
      <c r="J201" t="s">
        <v>48</v>
      </c>
      <c r="K201" t="s">
        <v>6</v>
      </c>
      <c r="L201" t="s">
        <v>1623</v>
      </c>
      <c r="M201" t="s">
        <v>1634</v>
      </c>
      <c r="N201" t="s">
        <v>1725</v>
      </c>
      <c r="O201" t="str">
        <f>CONCATENATE(Tabelle132[[#This Row],[Raumcode]],".",Tabelle132[[#This Row],[Code]])</f>
        <v>O5.SD11</v>
      </c>
      <c r="Q201" s="28" t="s">
        <v>77</v>
      </c>
    </row>
    <row r="202" spans="2:17" x14ac:dyDescent="0.25">
      <c r="B202" s="27" t="s">
        <v>116</v>
      </c>
      <c r="C202" s="36">
        <v>2</v>
      </c>
      <c r="D202" t="s">
        <v>123</v>
      </c>
      <c r="E202" s="36">
        <v>5</v>
      </c>
      <c r="F202" t="s">
        <v>1844</v>
      </c>
      <c r="G202" s="66" t="s">
        <v>1845</v>
      </c>
      <c r="H202" t="s">
        <v>1847</v>
      </c>
      <c r="I202" t="s">
        <v>46</v>
      </c>
      <c r="J202" t="s">
        <v>48</v>
      </c>
      <c r="K202" t="s">
        <v>6</v>
      </c>
      <c r="L202" t="s">
        <v>1623</v>
      </c>
      <c r="M202" t="s">
        <v>1634</v>
      </c>
      <c r="N202" t="s">
        <v>1726</v>
      </c>
      <c r="O202" t="str">
        <f>CONCATENATE(Tabelle132[[#This Row],[Raumcode]],".",Tabelle132[[#This Row],[Code]])</f>
        <v>O5.SD12</v>
      </c>
      <c r="Q202" s="28" t="s">
        <v>77</v>
      </c>
    </row>
    <row r="203" spans="2:17" x14ac:dyDescent="0.25">
      <c r="B203" s="27" t="s">
        <v>116</v>
      </c>
      <c r="C203" s="36">
        <v>2</v>
      </c>
      <c r="D203" t="s">
        <v>123</v>
      </c>
      <c r="E203" s="36">
        <v>5</v>
      </c>
      <c r="F203" t="s">
        <v>1844</v>
      </c>
      <c r="G203" s="66" t="s">
        <v>1845</v>
      </c>
      <c r="H203" t="s">
        <v>1848</v>
      </c>
      <c r="I203" t="s">
        <v>46</v>
      </c>
      <c r="J203" t="s">
        <v>48</v>
      </c>
      <c r="K203" t="s">
        <v>6</v>
      </c>
      <c r="L203" t="s">
        <v>1623</v>
      </c>
      <c r="M203" t="s">
        <v>1634</v>
      </c>
      <c r="N203" t="s">
        <v>1727</v>
      </c>
      <c r="O203" t="str">
        <f>CONCATENATE(Tabelle132[[#This Row],[Raumcode]],".",Tabelle132[[#This Row],[Code]])</f>
        <v>O5.SD13</v>
      </c>
      <c r="Q203" s="28" t="s">
        <v>77</v>
      </c>
    </row>
    <row r="204" spans="2:17" x14ac:dyDescent="0.25">
      <c r="B204" s="27" t="s">
        <v>116</v>
      </c>
      <c r="C204" s="36">
        <v>2</v>
      </c>
      <c r="D204" t="s">
        <v>123</v>
      </c>
      <c r="E204" s="36">
        <v>5</v>
      </c>
      <c r="F204" t="s">
        <v>1844</v>
      </c>
      <c r="G204" s="66" t="s">
        <v>1845</v>
      </c>
      <c r="H204" t="s">
        <v>1855</v>
      </c>
      <c r="I204" t="s">
        <v>46</v>
      </c>
      <c r="J204" t="s">
        <v>49</v>
      </c>
      <c r="K204" t="s">
        <v>13</v>
      </c>
      <c r="L204" t="s">
        <v>1640</v>
      </c>
      <c r="M204" t="s">
        <v>1632</v>
      </c>
      <c r="N204" t="s">
        <v>1728</v>
      </c>
      <c r="O204" t="str">
        <f>CONCATENATE(Tabelle132[[#This Row],[Raumcode]],".",Tabelle132[[#This Row],[Code]])</f>
        <v>O5.SD14</v>
      </c>
      <c r="Q204" s="28" t="s">
        <v>76</v>
      </c>
    </row>
    <row r="205" spans="2:17" x14ac:dyDescent="0.25">
      <c r="B205" s="27" t="s">
        <v>116</v>
      </c>
      <c r="C205" s="36">
        <v>2</v>
      </c>
      <c r="D205" t="s">
        <v>123</v>
      </c>
      <c r="E205" s="36">
        <v>5</v>
      </c>
      <c r="F205" t="s">
        <v>1844</v>
      </c>
      <c r="G205" s="66" t="s">
        <v>1845</v>
      </c>
      <c r="H205" t="s">
        <v>1652</v>
      </c>
      <c r="I205" t="s">
        <v>255</v>
      </c>
      <c r="J205" t="s">
        <v>1657</v>
      </c>
      <c r="K205" t="s">
        <v>13</v>
      </c>
      <c r="L205" t="s">
        <v>1640</v>
      </c>
      <c r="M205" t="s">
        <v>1632</v>
      </c>
      <c r="N205" t="s">
        <v>1651</v>
      </c>
      <c r="O205" t="str">
        <f>CONCATENATE(Tabelle132[[#This Row],[Raumcode]],".",Tabelle132[[#This Row],[Code]])</f>
        <v>O5.DA1</v>
      </c>
      <c r="Q205" s="28"/>
    </row>
    <row r="206" spans="2:17" x14ac:dyDescent="0.25">
      <c r="B206" s="27" t="s">
        <v>116</v>
      </c>
      <c r="C206" s="36">
        <v>2</v>
      </c>
      <c r="D206" t="s">
        <v>123</v>
      </c>
      <c r="E206" s="36">
        <v>5</v>
      </c>
      <c r="F206" t="s">
        <v>1844</v>
      </c>
      <c r="G206" s="66" t="s">
        <v>1845</v>
      </c>
      <c r="H206" t="s">
        <v>1853</v>
      </c>
      <c r="I206" t="s">
        <v>255</v>
      </c>
      <c r="J206" t="s">
        <v>1656</v>
      </c>
      <c r="K206" t="s">
        <v>13</v>
      </c>
      <c r="L206" t="s">
        <v>1640</v>
      </c>
      <c r="M206" t="s">
        <v>1632</v>
      </c>
      <c r="N206" t="s">
        <v>1658</v>
      </c>
      <c r="O206" t="str">
        <f>CONCATENATE(Tabelle132[[#This Row],[Raumcode]],".",Tabelle132[[#This Row],[Code]])</f>
        <v>O5.DA2</v>
      </c>
      <c r="Q206" s="28"/>
    </row>
    <row r="207" spans="2:17" x14ac:dyDescent="0.25">
      <c r="B207" s="27" t="s">
        <v>1613</v>
      </c>
      <c r="C207" s="36">
        <v>1</v>
      </c>
      <c r="D207" t="s">
        <v>106</v>
      </c>
      <c r="E207" s="36">
        <v>5</v>
      </c>
      <c r="F207" t="s">
        <v>32</v>
      </c>
      <c r="G207" s="66" t="s">
        <v>1761</v>
      </c>
      <c r="H207" t="s">
        <v>1759</v>
      </c>
      <c r="I207" t="s">
        <v>1676</v>
      </c>
      <c r="K207" t="s">
        <v>14</v>
      </c>
      <c r="L207" t="s">
        <v>1639</v>
      </c>
      <c r="M207" t="s">
        <v>1649</v>
      </c>
      <c r="N207" t="s">
        <v>1678</v>
      </c>
      <c r="O207" t="str">
        <f>CONCATENATE(Tabelle132[[#This Row],[Raumcode]],".",Tabelle132[[#This Row],[Code]])</f>
        <v>E5.DL1</v>
      </c>
      <c r="Q207" s="28" t="s">
        <v>83</v>
      </c>
    </row>
    <row r="208" spans="2:17" x14ac:dyDescent="0.25">
      <c r="B208" s="27" t="s">
        <v>1613</v>
      </c>
      <c r="C208" s="36">
        <v>1</v>
      </c>
      <c r="D208" t="s">
        <v>106</v>
      </c>
      <c r="E208" s="36">
        <v>5</v>
      </c>
      <c r="F208" t="s">
        <v>32</v>
      </c>
      <c r="G208" s="66" t="s">
        <v>1761</v>
      </c>
      <c r="H208" t="s">
        <v>1760</v>
      </c>
      <c r="I208" t="s">
        <v>1676</v>
      </c>
      <c r="K208" t="s">
        <v>14</v>
      </c>
      <c r="L208" t="s">
        <v>1639</v>
      </c>
      <c r="M208" t="s">
        <v>1649</v>
      </c>
      <c r="N208" t="s">
        <v>1746</v>
      </c>
      <c r="O208" t="str">
        <f>CONCATENATE(Tabelle132[[#This Row],[Raumcode]],".",Tabelle132[[#This Row],[Code]])</f>
        <v>E5.DL2</v>
      </c>
      <c r="Q208" s="28" t="s">
        <v>83</v>
      </c>
    </row>
    <row r="209" spans="2:17" x14ac:dyDescent="0.25">
      <c r="B209" s="27" t="s">
        <v>1613</v>
      </c>
      <c r="C209" s="36">
        <v>1</v>
      </c>
      <c r="D209" t="s">
        <v>106</v>
      </c>
      <c r="E209" s="36">
        <v>5</v>
      </c>
      <c r="F209" t="s">
        <v>32</v>
      </c>
      <c r="G209" s="66" t="s">
        <v>1761</v>
      </c>
      <c r="H209" t="s">
        <v>1779</v>
      </c>
      <c r="I209" t="s">
        <v>17</v>
      </c>
      <c r="J209" t="s">
        <v>18</v>
      </c>
      <c r="K209" t="s">
        <v>9</v>
      </c>
      <c r="L209" t="s">
        <v>1640</v>
      </c>
      <c r="M209" t="s">
        <v>1555</v>
      </c>
      <c r="N209" t="s">
        <v>1621</v>
      </c>
      <c r="O209" t="str">
        <f>CONCATENATE(Tabelle132[[#This Row],[Raumcode]],".",Tabelle132[[#This Row],[Code]])</f>
        <v>E5.BL1</v>
      </c>
      <c r="Q209" s="28" t="s">
        <v>93</v>
      </c>
    </row>
    <row r="210" spans="2:17" x14ac:dyDescent="0.25">
      <c r="B210" s="27" t="s">
        <v>1613</v>
      </c>
      <c r="C210" s="36">
        <v>1</v>
      </c>
      <c r="D210" t="s">
        <v>106</v>
      </c>
      <c r="E210" s="36">
        <v>5</v>
      </c>
      <c r="F210" t="s">
        <v>32</v>
      </c>
      <c r="G210" s="66" t="s">
        <v>1761</v>
      </c>
      <c r="H210" t="s">
        <v>1780</v>
      </c>
      <c r="I210" t="s">
        <v>17</v>
      </c>
      <c r="J210" t="s">
        <v>1614</v>
      </c>
      <c r="K210" t="s">
        <v>9</v>
      </c>
      <c r="L210" t="s">
        <v>1640</v>
      </c>
      <c r="M210" t="s">
        <v>1555</v>
      </c>
      <c r="N210" t="s">
        <v>1643</v>
      </c>
      <c r="O210" t="str">
        <f>CONCATENATE(Tabelle132[[#This Row],[Raumcode]],".",Tabelle132[[#This Row],[Code]])</f>
        <v>E5.BL2</v>
      </c>
      <c r="Q210" s="28" t="s">
        <v>83</v>
      </c>
    </row>
    <row r="211" spans="2:17" x14ac:dyDescent="0.25">
      <c r="B211" s="27" t="s">
        <v>1613</v>
      </c>
      <c r="C211" s="36">
        <v>1</v>
      </c>
      <c r="D211" t="s">
        <v>106</v>
      </c>
      <c r="E211" s="36">
        <v>5</v>
      </c>
      <c r="F211" t="s">
        <v>32</v>
      </c>
      <c r="G211" s="66" t="s">
        <v>1761</v>
      </c>
      <c r="H211" t="s">
        <v>1781</v>
      </c>
      <c r="I211" t="s">
        <v>17</v>
      </c>
      <c r="J211" t="s">
        <v>1614</v>
      </c>
      <c r="K211" t="s">
        <v>9</v>
      </c>
      <c r="L211" t="s">
        <v>1640</v>
      </c>
      <c r="M211" t="s">
        <v>1555</v>
      </c>
      <c r="N211" t="s">
        <v>1644</v>
      </c>
      <c r="O211" t="str">
        <f>CONCATENATE(Tabelle132[[#This Row],[Raumcode]],".",Tabelle132[[#This Row],[Code]])</f>
        <v>E5.BL3</v>
      </c>
      <c r="Q211" s="28" t="s">
        <v>83</v>
      </c>
    </row>
    <row r="212" spans="2:17" x14ac:dyDescent="0.25">
      <c r="B212" s="27" t="s">
        <v>1613</v>
      </c>
      <c r="C212" s="36">
        <v>1</v>
      </c>
      <c r="D212" t="s">
        <v>106</v>
      </c>
      <c r="E212" s="36">
        <v>5</v>
      </c>
      <c r="F212" t="s">
        <v>32</v>
      </c>
      <c r="G212" s="66" t="s">
        <v>1761</v>
      </c>
      <c r="H212" t="s">
        <v>1782</v>
      </c>
      <c r="I212" t="s">
        <v>17</v>
      </c>
      <c r="J212" t="s">
        <v>1614</v>
      </c>
      <c r="K212" t="s">
        <v>9</v>
      </c>
      <c r="L212" t="s">
        <v>1640</v>
      </c>
      <c r="M212" t="s">
        <v>1555</v>
      </c>
      <c r="N212" t="s">
        <v>1645</v>
      </c>
      <c r="O212" t="str">
        <f>CONCATENATE(Tabelle132[[#This Row],[Raumcode]],".",Tabelle132[[#This Row],[Code]])</f>
        <v>E5.BL4</v>
      </c>
      <c r="Q212" s="28" t="s">
        <v>83</v>
      </c>
    </row>
    <row r="213" spans="2:17" x14ac:dyDescent="0.25">
      <c r="B213" s="27" t="s">
        <v>1613</v>
      </c>
      <c r="C213" s="36">
        <v>1</v>
      </c>
      <c r="D213" t="s">
        <v>106</v>
      </c>
      <c r="E213" s="36">
        <v>5</v>
      </c>
      <c r="F213" t="s">
        <v>32</v>
      </c>
      <c r="G213" s="66" t="s">
        <v>1761</v>
      </c>
      <c r="H213" t="s">
        <v>1783</v>
      </c>
      <c r="I213" t="s">
        <v>17</v>
      </c>
      <c r="J213" t="s">
        <v>18</v>
      </c>
      <c r="K213" t="s">
        <v>9</v>
      </c>
      <c r="L213" t="s">
        <v>1640</v>
      </c>
      <c r="M213" t="s">
        <v>1555</v>
      </c>
      <c r="N213" t="s">
        <v>1646</v>
      </c>
      <c r="O213" t="str">
        <f>CONCATENATE(Tabelle132[[#This Row],[Raumcode]],".",Tabelle132[[#This Row],[Code]])</f>
        <v>E5.BL5</v>
      </c>
      <c r="Q213" s="28" t="s">
        <v>77</v>
      </c>
    </row>
    <row r="214" spans="2:17" x14ac:dyDescent="0.25">
      <c r="B214" s="27" t="s">
        <v>1613</v>
      </c>
      <c r="C214" s="36">
        <v>1</v>
      </c>
      <c r="D214" t="s">
        <v>106</v>
      </c>
      <c r="E214" s="36">
        <v>5</v>
      </c>
      <c r="F214" t="s">
        <v>32</v>
      </c>
      <c r="G214" s="66" t="s">
        <v>1761</v>
      </c>
      <c r="H214" t="s">
        <v>1762</v>
      </c>
      <c r="I214" t="s">
        <v>21</v>
      </c>
      <c r="J214" t="s">
        <v>1616</v>
      </c>
      <c r="K214" t="s">
        <v>7</v>
      </c>
      <c r="L214" t="s">
        <v>1623</v>
      </c>
      <c r="M214" t="s">
        <v>1630</v>
      </c>
      <c r="N214" t="s">
        <v>1703</v>
      </c>
      <c r="O214" t="str">
        <f>CONCATENATE(Tabelle132[[#This Row],[Raumcode]],".",Tabelle132[[#This Row],[Code]])</f>
        <v>E5.RS1</v>
      </c>
      <c r="Q214" s="28" t="s">
        <v>76</v>
      </c>
    </row>
    <row r="215" spans="2:17" x14ac:dyDescent="0.25">
      <c r="B215" s="27" t="s">
        <v>1613</v>
      </c>
      <c r="C215" s="36">
        <v>1</v>
      </c>
      <c r="D215" t="s">
        <v>106</v>
      </c>
      <c r="E215" s="36">
        <v>5</v>
      </c>
      <c r="F215" t="s">
        <v>32</v>
      </c>
      <c r="G215" s="66" t="s">
        <v>1761</v>
      </c>
      <c r="H215" t="s">
        <v>1774</v>
      </c>
      <c r="I215" t="s">
        <v>29</v>
      </c>
      <c r="J215" t="s">
        <v>35</v>
      </c>
      <c r="K215" t="s">
        <v>10</v>
      </c>
      <c r="L215" t="s">
        <v>10</v>
      </c>
      <c r="M215" t="s">
        <v>1638</v>
      </c>
      <c r="N215" t="s">
        <v>109</v>
      </c>
      <c r="O215" t="str">
        <f>CONCATENATE(Tabelle132[[#This Row],[Raumcode]],".",Tabelle132[[#This Row],[Code]])</f>
        <v>E5.TS1</v>
      </c>
      <c r="Q215" s="28" t="s">
        <v>77</v>
      </c>
    </row>
    <row r="216" spans="2:17" x14ac:dyDescent="0.25">
      <c r="B216" s="27" t="s">
        <v>1613</v>
      </c>
      <c r="C216" s="36">
        <v>1</v>
      </c>
      <c r="D216" t="s">
        <v>106</v>
      </c>
      <c r="E216" s="36">
        <v>5</v>
      </c>
      <c r="F216" t="s">
        <v>32</v>
      </c>
      <c r="G216" s="66" t="s">
        <v>1761</v>
      </c>
      <c r="H216" t="s">
        <v>1754</v>
      </c>
      <c r="I216" t="s">
        <v>29</v>
      </c>
      <c r="J216" t="s">
        <v>35</v>
      </c>
      <c r="K216" t="s">
        <v>10</v>
      </c>
      <c r="L216" t="s">
        <v>10</v>
      </c>
      <c r="M216" t="s">
        <v>1638</v>
      </c>
      <c r="N216" t="s">
        <v>1768</v>
      </c>
      <c r="O216" t="str">
        <f>CONCATENATE(Tabelle132[[#This Row],[Raumcode]],".",Tabelle132[[#This Row],[Code]])</f>
        <v>E5.TS2</v>
      </c>
      <c r="Q216" s="28" t="s">
        <v>77</v>
      </c>
    </row>
    <row r="217" spans="2:17" x14ac:dyDescent="0.25">
      <c r="B217" s="27" t="s">
        <v>1613</v>
      </c>
      <c r="C217" s="36">
        <v>1</v>
      </c>
      <c r="D217" t="s">
        <v>106</v>
      </c>
      <c r="E217" s="36">
        <v>5</v>
      </c>
      <c r="F217" t="s">
        <v>32</v>
      </c>
      <c r="G217" s="66" t="s">
        <v>1761</v>
      </c>
      <c r="H217" t="s">
        <v>1776</v>
      </c>
      <c r="I217" t="s">
        <v>29</v>
      </c>
      <c r="J217" t="s">
        <v>1618</v>
      </c>
      <c r="K217" t="s">
        <v>14</v>
      </c>
      <c r="L217" t="s">
        <v>1641</v>
      </c>
      <c r="M217" t="s">
        <v>1692</v>
      </c>
      <c r="N217" t="s">
        <v>1693</v>
      </c>
      <c r="O217" t="str">
        <f>CONCATENATE(Tabelle132[[#This Row],[Raumcode]],".",Tabelle132[[#This Row],[Code]])</f>
        <v>E5.FK1</v>
      </c>
      <c r="Q217" s="28" t="s">
        <v>76</v>
      </c>
    </row>
    <row r="218" spans="2:17" x14ac:dyDescent="0.25">
      <c r="B218" s="27" t="s">
        <v>1613</v>
      </c>
      <c r="C218" s="36">
        <v>1</v>
      </c>
      <c r="D218" t="s">
        <v>106</v>
      </c>
      <c r="E218" s="36">
        <v>5</v>
      </c>
      <c r="F218" t="s">
        <v>32</v>
      </c>
      <c r="G218" s="66" t="s">
        <v>1761</v>
      </c>
      <c r="H218" t="s">
        <v>1763</v>
      </c>
      <c r="I218" t="s">
        <v>46</v>
      </c>
      <c r="J218" t="s">
        <v>48</v>
      </c>
      <c r="K218" t="s">
        <v>6</v>
      </c>
      <c r="L218" t="s">
        <v>1623</v>
      </c>
      <c r="M218" t="s">
        <v>1634</v>
      </c>
      <c r="N218" t="s">
        <v>1620</v>
      </c>
      <c r="O218" t="str">
        <f>CONCATENATE(Tabelle132[[#This Row],[Raumcode]],".",Tabelle132[[#This Row],[Code]])</f>
        <v>E5.SD1</v>
      </c>
      <c r="Q218" s="28" t="s">
        <v>79</v>
      </c>
    </row>
    <row r="219" spans="2:17" x14ac:dyDescent="0.25">
      <c r="B219" s="27" t="s">
        <v>1613</v>
      </c>
      <c r="C219" s="36">
        <v>1</v>
      </c>
      <c r="D219" t="s">
        <v>106</v>
      </c>
      <c r="E219" s="36">
        <v>5</v>
      </c>
      <c r="F219" t="s">
        <v>32</v>
      </c>
      <c r="G219" s="66" t="s">
        <v>1761</v>
      </c>
      <c r="H219" t="s">
        <v>1764</v>
      </c>
      <c r="I219" t="s">
        <v>46</v>
      </c>
      <c r="J219" t="s">
        <v>48</v>
      </c>
      <c r="K219" t="s">
        <v>6</v>
      </c>
      <c r="L219" t="s">
        <v>1623</v>
      </c>
      <c r="M219" t="s">
        <v>1634</v>
      </c>
      <c r="N219" t="s">
        <v>1668</v>
      </c>
      <c r="O219" t="str">
        <f>CONCATENATE(Tabelle132[[#This Row],[Raumcode]],".",Tabelle132[[#This Row],[Code]])</f>
        <v>E5.SD2</v>
      </c>
      <c r="Q219" s="28" t="s">
        <v>77</v>
      </c>
    </row>
    <row r="220" spans="2:17" x14ac:dyDescent="0.25">
      <c r="B220" s="27" t="s">
        <v>1613</v>
      </c>
      <c r="C220" s="36">
        <v>1</v>
      </c>
      <c r="D220" t="s">
        <v>106</v>
      </c>
      <c r="E220" s="36">
        <v>5</v>
      </c>
      <c r="F220" t="s">
        <v>32</v>
      </c>
      <c r="G220" s="66" t="s">
        <v>1761</v>
      </c>
      <c r="H220" t="s">
        <v>1765</v>
      </c>
      <c r="I220" t="s">
        <v>46</v>
      </c>
      <c r="J220" t="s">
        <v>48</v>
      </c>
      <c r="K220" t="s">
        <v>6</v>
      </c>
      <c r="L220" t="s">
        <v>1623</v>
      </c>
      <c r="M220" t="s">
        <v>1634</v>
      </c>
      <c r="N220" t="s">
        <v>1669</v>
      </c>
      <c r="O220" t="str">
        <f>CONCATENATE(Tabelle132[[#This Row],[Raumcode]],".",Tabelle132[[#This Row],[Code]])</f>
        <v>E5.SD3</v>
      </c>
      <c r="Q220" s="28" t="s">
        <v>77</v>
      </c>
    </row>
    <row r="221" spans="2:17" x14ac:dyDescent="0.25">
      <c r="B221" s="27" t="s">
        <v>1613</v>
      </c>
      <c r="C221" s="36">
        <v>1</v>
      </c>
      <c r="D221" t="s">
        <v>106</v>
      </c>
      <c r="E221" s="36">
        <v>5</v>
      </c>
      <c r="F221" t="s">
        <v>32</v>
      </c>
      <c r="G221" s="66" t="s">
        <v>1761</v>
      </c>
      <c r="H221" t="s">
        <v>1766</v>
      </c>
      <c r="I221" t="s">
        <v>46</v>
      </c>
      <c r="J221" t="s">
        <v>48</v>
      </c>
      <c r="K221" t="s">
        <v>6</v>
      </c>
      <c r="L221" t="s">
        <v>1623</v>
      </c>
      <c r="M221" t="s">
        <v>1634</v>
      </c>
      <c r="N221" t="s">
        <v>1670</v>
      </c>
      <c r="O221" t="str">
        <f>CONCATENATE(Tabelle132[[#This Row],[Raumcode]],".",Tabelle132[[#This Row],[Code]])</f>
        <v>E5.SD4</v>
      </c>
      <c r="Q221" s="28" t="s">
        <v>77</v>
      </c>
    </row>
    <row r="222" spans="2:17" x14ac:dyDescent="0.25">
      <c r="B222" s="27" t="s">
        <v>1613</v>
      </c>
      <c r="C222" s="36">
        <v>1</v>
      </c>
      <c r="D222" t="s">
        <v>106</v>
      </c>
      <c r="E222" s="36">
        <v>5</v>
      </c>
      <c r="F222" t="s">
        <v>32</v>
      </c>
      <c r="G222" s="66" t="s">
        <v>1761</v>
      </c>
      <c r="H222" t="s">
        <v>1767</v>
      </c>
      <c r="I222" t="s">
        <v>46</v>
      </c>
      <c r="J222" t="s">
        <v>48</v>
      </c>
      <c r="K222" t="s">
        <v>6</v>
      </c>
      <c r="L222" t="s">
        <v>1623</v>
      </c>
      <c r="M222" t="s">
        <v>1634</v>
      </c>
      <c r="N222" t="s">
        <v>1671</v>
      </c>
      <c r="O222" t="str">
        <f>CONCATENATE(Tabelle132[[#This Row],[Raumcode]],".",Tabelle132[[#This Row],[Code]])</f>
        <v>E5.SD5</v>
      </c>
      <c r="Q222" s="28" t="s">
        <v>77</v>
      </c>
    </row>
    <row r="223" spans="2:17" x14ac:dyDescent="0.25">
      <c r="B223" s="27" t="s">
        <v>1613</v>
      </c>
      <c r="C223" s="36">
        <v>1</v>
      </c>
      <c r="D223" t="s">
        <v>106</v>
      </c>
      <c r="E223" s="36">
        <v>5</v>
      </c>
      <c r="F223" t="s">
        <v>32</v>
      </c>
      <c r="G223" s="66" t="s">
        <v>1761</v>
      </c>
      <c r="H223" t="s">
        <v>92</v>
      </c>
      <c r="I223" t="s">
        <v>46</v>
      </c>
      <c r="J223" t="s">
        <v>48</v>
      </c>
      <c r="K223" t="s">
        <v>6</v>
      </c>
      <c r="L223" t="s">
        <v>1623</v>
      </c>
      <c r="M223" t="s">
        <v>1634</v>
      </c>
      <c r="N223" t="s">
        <v>1673</v>
      </c>
      <c r="O223" t="str">
        <f>CONCATENATE(Tabelle132[[#This Row],[Raumcode]],".",Tabelle132[[#This Row],[Code]])</f>
        <v>E5.SD6</v>
      </c>
      <c r="Q223" s="28" t="s">
        <v>76</v>
      </c>
    </row>
    <row r="224" spans="2:17" x14ac:dyDescent="0.25">
      <c r="B224" s="27" t="s">
        <v>1613</v>
      </c>
      <c r="C224" s="36">
        <v>1</v>
      </c>
      <c r="D224" t="s">
        <v>106</v>
      </c>
      <c r="E224" s="36">
        <v>5</v>
      </c>
      <c r="F224" t="s">
        <v>32</v>
      </c>
      <c r="G224" s="66" t="s">
        <v>1761</v>
      </c>
      <c r="H224" t="s">
        <v>1710</v>
      </c>
      <c r="I224" t="s">
        <v>46</v>
      </c>
      <c r="J224" t="s">
        <v>48</v>
      </c>
      <c r="K224" t="s">
        <v>6</v>
      </c>
      <c r="L224" t="s">
        <v>1623</v>
      </c>
      <c r="M224" t="s">
        <v>1634</v>
      </c>
      <c r="N224" t="s">
        <v>1721</v>
      </c>
      <c r="O224" t="str">
        <f>CONCATENATE(Tabelle132[[#This Row],[Raumcode]],".",Tabelle132[[#This Row],[Code]])</f>
        <v>E5.SD7</v>
      </c>
      <c r="Q224" s="28" t="s">
        <v>79</v>
      </c>
    </row>
    <row r="225" spans="2:17" x14ac:dyDescent="0.25">
      <c r="B225" s="27" t="s">
        <v>1613</v>
      </c>
      <c r="C225" s="36">
        <v>1</v>
      </c>
      <c r="D225" t="s">
        <v>106</v>
      </c>
      <c r="E225" s="36">
        <v>5</v>
      </c>
      <c r="F225" t="s">
        <v>32</v>
      </c>
      <c r="G225" s="66" t="s">
        <v>1761</v>
      </c>
      <c r="H225" t="s">
        <v>1711</v>
      </c>
      <c r="I225" t="s">
        <v>46</v>
      </c>
      <c r="J225" t="s">
        <v>48</v>
      </c>
      <c r="K225" t="s">
        <v>6</v>
      </c>
      <c r="L225" t="s">
        <v>1623</v>
      </c>
      <c r="M225" t="s">
        <v>1634</v>
      </c>
      <c r="N225" t="s">
        <v>1722</v>
      </c>
      <c r="O225" t="str">
        <f>CONCATENATE(Tabelle132[[#This Row],[Raumcode]],".",Tabelle132[[#This Row],[Code]])</f>
        <v>E5.SD8</v>
      </c>
      <c r="Q225" s="28" t="s">
        <v>79</v>
      </c>
    </row>
    <row r="226" spans="2:17" x14ac:dyDescent="0.25">
      <c r="B226" s="27" t="s">
        <v>1613</v>
      </c>
      <c r="C226" s="36">
        <v>1</v>
      </c>
      <c r="D226" t="s">
        <v>106</v>
      </c>
      <c r="E226" s="36">
        <v>5</v>
      </c>
      <c r="F226" t="s">
        <v>32</v>
      </c>
      <c r="G226" s="66" t="s">
        <v>1761</v>
      </c>
      <c r="H226" t="s">
        <v>1712</v>
      </c>
      <c r="I226" t="s">
        <v>46</v>
      </c>
      <c r="J226" t="s">
        <v>48</v>
      </c>
      <c r="K226" t="s">
        <v>6</v>
      </c>
      <c r="L226" t="s">
        <v>1623</v>
      </c>
      <c r="M226" t="s">
        <v>1634</v>
      </c>
      <c r="N226" t="s">
        <v>1723</v>
      </c>
      <c r="O226" t="str">
        <f>CONCATENATE(Tabelle132[[#This Row],[Raumcode]],".",Tabelle132[[#This Row],[Code]])</f>
        <v>E5.SD9</v>
      </c>
      <c r="Q226" s="28" t="s">
        <v>79</v>
      </c>
    </row>
    <row r="227" spans="2:17" x14ac:dyDescent="0.25">
      <c r="B227" s="27" t="s">
        <v>1613</v>
      </c>
      <c r="C227" s="36">
        <v>1</v>
      </c>
      <c r="D227" t="s">
        <v>106</v>
      </c>
      <c r="E227" s="36">
        <v>5</v>
      </c>
      <c r="F227" t="s">
        <v>32</v>
      </c>
      <c r="G227" s="66" t="s">
        <v>1761</v>
      </c>
      <c r="H227" t="s">
        <v>1751</v>
      </c>
      <c r="I227" t="s">
        <v>46</v>
      </c>
      <c r="J227" t="s">
        <v>49</v>
      </c>
      <c r="K227" t="s">
        <v>6</v>
      </c>
      <c r="L227" t="s">
        <v>1625</v>
      </c>
      <c r="M227" t="s">
        <v>1629</v>
      </c>
      <c r="N227" t="s">
        <v>1724</v>
      </c>
      <c r="O227" t="str">
        <f>CONCATENATE(Tabelle132[[#This Row],[Raumcode]],".",Tabelle132[[#This Row],[Code]])</f>
        <v>E5.SD10</v>
      </c>
      <c r="Q227" s="28" t="s">
        <v>77</v>
      </c>
    </row>
    <row r="228" spans="2:17" x14ac:dyDescent="0.25">
      <c r="B228" s="27" t="s">
        <v>1613</v>
      </c>
      <c r="C228" s="36">
        <v>1</v>
      </c>
      <c r="D228" t="s">
        <v>106</v>
      </c>
      <c r="E228" s="36">
        <v>5</v>
      </c>
      <c r="F228" t="s">
        <v>32</v>
      </c>
      <c r="G228" s="66" t="s">
        <v>1761</v>
      </c>
      <c r="H228" t="s">
        <v>1615</v>
      </c>
      <c r="I228" t="s">
        <v>46</v>
      </c>
      <c r="J228" t="s">
        <v>49</v>
      </c>
      <c r="K228" t="s">
        <v>1615</v>
      </c>
      <c r="L228" t="s">
        <v>1615</v>
      </c>
      <c r="M228" t="s">
        <v>1649</v>
      </c>
      <c r="N228" t="s">
        <v>1650</v>
      </c>
      <c r="O228" t="str">
        <f>CONCATENATE(Tabelle132[[#This Row],[Raumcode]],".",Tabelle132[[#This Row],[Code]])</f>
        <v>E5.HD1</v>
      </c>
      <c r="Q228" s="28" t="s">
        <v>77</v>
      </c>
    </row>
    <row r="229" spans="2:17" x14ac:dyDescent="0.25">
      <c r="B229" s="27" t="s">
        <v>1613</v>
      </c>
      <c r="C229" s="36">
        <v>1</v>
      </c>
      <c r="D229" t="s">
        <v>106</v>
      </c>
      <c r="E229" s="36">
        <v>5</v>
      </c>
      <c r="F229" t="s">
        <v>32</v>
      </c>
      <c r="G229" s="66" t="s">
        <v>1761</v>
      </c>
      <c r="H229" t="s">
        <v>1682</v>
      </c>
      <c r="I229" t="s">
        <v>46</v>
      </c>
      <c r="J229" t="s">
        <v>49</v>
      </c>
      <c r="K229" t="s">
        <v>104</v>
      </c>
      <c r="L229" t="s">
        <v>1626</v>
      </c>
      <c r="M229" t="s">
        <v>1649</v>
      </c>
      <c r="N229" t="s">
        <v>1681</v>
      </c>
      <c r="O229" t="str">
        <f>CONCATENATE(Tabelle132[[#This Row],[Raumcode]],".",Tabelle132[[#This Row],[Code]])</f>
        <v>E5.ND1</v>
      </c>
      <c r="Q229" s="28" t="s">
        <v>77</v>
      </c>
    </row>
    <row r="230" spans="2:17" x14ac:dyDescent="0.25">
      <c r="B230" s="27" t="s">
        <v>1613</v>
      </c>
      <c r="C230" s="36">
        <v>1</v>
      </c>
      <c r="D230" t="s">
        <v>106</v>
      </c>
      <c r="E230" s="36">
        <v>5</v>
      </c>
      <c r="F230" t="s">
        <v>32</v>
      </c>
      <c r="G230" s="66" t="s">
        <v>1761</v>
      </c>
      <c r="H230" t="s">
        <v>1769</v>
      </c>
      <c r="I230" t="s">
        <v>46</v>
      </c>
      <c r="J230" t="s">
        <v>48</v>
      </c>
      <c r="K230" t="s">
        <v>6</v>
      </c>
      <c r="L230" t="s">
        <v>1623</v>
      </c>
      <c r="M230" t="s">
        <v>1634</v>
      </c>
      <c r="N230" t="s">
        <v>1725</v>
      </c>
      <c r="O230" t="str">
        <f>CONCATENATE(Tabelle132[[#This Row],[Raumcode]],".",Tabelle132[[#This Row],[Code]])</f>
        <v>E5.SD11</v>
      </c>
      <c r="Q230" s="28" t="s">
        <v>93</v>
      </c>
    </row>
    <row r="231" spans="2:17" x14ac:dyDescent="0.25">
      <c r="B231" s="27" t="s">
        <v>1613</v>
      </c>
      <c r="C231" s="36">
        <v>1</v>
      </c>
      <c r="D231" t="s">
        <v>106</v>
      </c>
      <c r="E231" s="36">
        <v>5</v>
      </c>
      <c r="F231" t="s">
        <v>32</v>
      </c>
      <c r="G231" s="66" t="s">
        <v>1761</v>
      </c>
      <c r="H231" t="s">
        <v>1770</v>
      </c>
      <c r="I231" t="s">
        <v>46</v>
      </c>
      <c r="J231" t="s">
        <v>48</v>
      </c>
      <c r="K231" t="s">
        <v>6</v>
      </c>
      <c r="L231" t="s">
        <v>1623</v>
      </c>
      <c r="M231" t="s">
        <v>1634</v>
      </c>
      <c r="N231" t="s">
        <v>1726</v>
      </c>
      <c r="O231" t="str">
        <f>CONCATENATE(Tabelle132[[#This Row],[Raumcode]],".",Tabelle132[[#This Row],[Code]])</f>
        <v>E5.SD12</v>
      </c>
      <c r="Q231" s="28" t="s">
        <v>93</v>
      </c>
    </row>
    <row r="232" spans="2:17" x14ac:dyDescent="0.25">
      <c r="B232" s="27" t="s">
        <v>1613</v>
      </c>
      <c r="C232" s="36">
        <v>1</v>
      </c>
      <c r="D232" t="s">
        <v>106</v>
      </c>
      <c r="E232" s="36">
        <v>5</v>
      </c>
      <c r="F232" t="s">
        <v>32</v>
      </c>
      <c r="G232" s="66" t="s">
        <v>1761</v>
      </c>
      <c r="H232" t="s">
        <v>1771</v>
      </c>
      <c r="I232" t="s">
        <v>46</v>
      </c>
      <c r="J232" t="s">
        <v>48</v>
      </c>
      <c r="K232" t="s">
        <v>6</v>
      </c>
      <c r="L232" t="s">
        <v>1623</v>
      </c>
      <c r="M232" t="s">
        <v>1634</v>
      </c>
      <c r="N232" t="s">
        <v>1727</v>
      </c>
      <c r="O232" t="str">
        <f>CONCATENATE(Tabelle132[[#This Row],[Raumcode]],".",Tabelle132[[#This Row],[Code]])</f>
        <v>E5.SD13</v>
      </c>
      <c r="Q232" s="28" t="s">
        <v>93</v>
      </c>
    </row>
    <row r="233" spans="2:17" x14ac:dyDescent="0.25">
      <c r="B233" s="27" t="s">
        <v>1613</v>
      </c>
      <c r="C233" s="36">
        <v>1</v>
      </c>
      <c r="D233" t="s">
        <v>106</v>
      </c>
      <c r="E233" s="36">
        <v>5</v>
      </c>
      <c r="F233" t="s">
        <v>32</v>
      </c>
      <c r="G233" s="66" t="s">
        <v>1761</v>
      </c>
      <c r="H233" t="s">
        <v>1772</v>
      </c>
      <c r="I233" t="s">
        <v>46</v>
      </c>
      <c r="J233" t="s">
        <v>49</v>
      </c>
      <c r="K233" t="s">
        <v>6</v>
      </c>
      <c r="L233" t="s">
        <v>1623</v>
      </c>
      <c r="M233" t="s">
        <v>1634</v>
      </c>
      <c r="N233" t="s">
        <v>1728</v>
      </c>
      <c r="O233" t="str">
        <f>CONCATENATE(Tabelle132[[#This Row],[Raumcode]],".",Tabelle132[[#This Row],[Code]])</f>
        <v>E5.SD14</v>
      </c>
      <c r="Q233" s="28" t="s">
        <v>93</v>
      </c>
    </row>
    <row r="234" spans="2:17" x14ac:dyDescent="0.25">
      <c r="B234" s="27" t="s">
        <v>1613</v>
      </c>
      <c r="C234" s="36">
        <v>1</v>
      </c>
      <c r="D234" t="s">
        <v>106</v>
      </c>
      <c r="E234" s="36">
        <v>5</v>
      </c>
      <c r="F234" t="s">
        <v>32</v>
      </c>
      <c r="G234" s="66" t="s">
        <v>1761</v>
      </c>
      <c r="H234" t="s">
        <v>1773</v>
      </c>
      <c r="I234" t="s">
        <v>46</v>
      </c>
      <c r="J234" t="s">
        <v>49</v>
      </c>
      <c r="K234" t="s">
        <v>6</v>
      </c>
      <c r="L234" t="s">
        <v>1625</v>
      </c>
      <c r="M234" t="s">
        <v>1634</v>
      </c>
      <c r="N234" t="s">
        <v>1729</v>
      </c>
      <c r="O234" t="str">
        <f>CONCATENATE(Tabelle132[[#This Row],[Raumcode]],".",Tabelle132[[#This Row],[Code]])</f>
        <v>E5.SD15</v>
      </c>
      <c r="Q234" s="28" t="s">
        <v>93</v>
      </c>
    </row>
    <row r="235" spans="2:17" x14ac:dyDescent="0.25">
      <c r="B235" s="27" t="s">
        <v>1613</v>
      </c>
      <c r="C235" s="36">
        <v>1</v>
      </c>
      <c r="D235" t="s">
        <v>106</v>
      </c>
      <c r="E235" s="36">
        <v>5</v>
      </c>
      <c r="F235" t="s">
        <v>32</v>
      </c>
      <c r="G235" s="66" t="s">
        <v>1761</v>
      </c>
      <c r="H235" t="s">
        <v>1716</v>
      </c>
      <c r="I235" t="s">
        <v>46</v>
      </c>
      <c r="J235" t="s">
        <v>48</v>
      </c>
      <c r="K235" t="s">
        <v>6</v>
      </c>
      <c r="L235" t="s">
        <v>1623</v>
      </c>
      <c r="M235" t="s">
        <v>1634</v>
      </c>
      <c r="N235" t="s">
        <v>1730</v>
      </c>
      <c r="O235" t="str">
        <f>CONCATENATE(Tabelle132[[#This Row],[Raumcode]],".",Tabelle132[[#This Row],[Code]])</f>
        <v>E5.SD16</v>
      </c>
      <c r="Q235" s="28" t="s">
        <v>79</v>
      </c>
    </row>
    <row r="236" spans="2:17" x14ac:dyDescent="0.25">
      <c r="B236" s="27" t="s">
        <v>1613</v>
      </c>
      <c r="C236" s="36">
        <v>1</v>
      </c>
      <c r="D236" t="s">
        <v>106</v>
      </c>
      <c r="E236" s="36">
        <v>5</v>
      </c>
      <c r="F236" t="s">
        <v>32</v>
      </c>
      <c r="G236" s="66" t="s">
        <v>1761</v>
      </c>
      <c r="H236" t="s">
        <v>1717</v>
      </c>
      <c r="I236" t="s">
        <v>46</v>
      </c>
      <c r="J236" t="s">
        <v>48</v>
      </c>
      <c r="K236" t="s">
        <v>6</v>
      </c>
      <c r="L236" t="s">
        <v>1623</v>
      </c>
      <c r="M236" t="s">
        <v>1634</v>
      </c>
      <c r="N236" t="s">
        <v>1731</v>
      </c>
      <c r="O236" t="str">
        <f>CONCATENATE(Tabelle132[[#This Row],[Raumcode]],".",Tabelle132[[#This Row],[Code]])</f>
        <v>E5.SD17</v>
      </c>
      <c r="Q236" s="28" t="s">
        <v>79</v>
      </c>
    </row>
    <row r="237" spans="2:17" x14ac:dyDescent="0.25">
      <c r="B237" s="27" t="s">
        <v>1613</v>
      </c>
      <c r="C237" s="36">
        <v>1</v>
      </c>
      <c r="D237" t="s">
        <v>106</v>
      </c>
      <c r="E237" s="36">
        <v>5</v>
      </c>
      <c r="F237" t="s">
        <v>32</v>
      </c>
      <c r="G237" s="66" t="s">
        <v>1761</v>
      </c>
      <c r="H237" t="s">
        <v>1718</v>
      </c>
      <c r="I237" t="s">
        <v>46</v>
      </c>
      <c r="J237" t="s">
        <v>48</v>
      </c>
      <c r="K237" t="s">
        <v>6</v>
      </c>
      <c r="L237" t="s">
        <v>1623</v>
      </c>
      <c r="M237" t="s">
        <v>1634</v>
      </c>
      <c r="N237" t="s">
        <v>1734</v>
      </c>
      <c r="O237" t="str">
        <f>CONCATENATE(Tabelle132[[#This Row],[Raumcode]],".",Tabelle132[[#This Row],[Code]])</f>
        <v>E5.SD18</v>
      </c>
      <c r="Q237" s="28" t="s">
        <v>79</v>
      </c>
    </row>
    <row r="238" spans="2:17" x14ac:dyDescent="0.25">
      <c r="B238" s="27" t="s">
        <v>1613</v>
      </c>
      <c r="C238" s="36">
        <v>1</v>
      </c>
      <c r="D238" t="s">
        <v>106</v>
      </c>
      <c r="E238" s="36">
        <v>5</v>
      </c>
      <c r="F238" t="s">
        <v>32</v>
      </c>
      <c r="G238" s="66" t="s">
        <v>1761</v>
      </c>
      <c r="H238" t="s">
        <v>1719</v>
      </c>
      <c r="I238" t="s">
        <v>46</v>
      </c>
      <c r="J238" t="s">
        <v>48</v>
      </c>
      <c r="K238" t="s">
        <v>6</v>
      </c>
      <c r="L238" t="s">
        <v>1623</v>
      </c>
      <c r="M238" t="s">
        <v>1634</v>
      </c>
      <c r="N238" t="s">
        <v>1777</v>
      </c>
      <c r="O238" t="str">
        <f>CONCATENATE(Tabelle132[[#This Row],[Raumcode]],".",Tabelle132[[#This Row],[Code]])</f>
        <v>E5.SD19</v>
      </c>
      <c r="Q238" s="28" t="s">
        <v>79</v>
      </c>
    </row>
    <row r="239" spans="2:17" x14ac:dyDescent="0.25">
      <c r="B239" s="27" t="s">
        <v>1613</v>
      </c>
      <c r="C239" s="36">
        <v>1</v>
      </c>
      <c r="D239" t="s">
        <v>106</v>
      </c>
      <c r="E239" s="36">
        <v>5</v>
      </c>
      <c r="F239" t="s">
        <v>32</v>
      </c>
      <c r="G239" s="66" t="s">
        <v>1761</v>
      </c>
      <c r="H239" t="s">
        <v>1775</v>
      </c>
      <c r="I239" t="s">
        <v>46</v>
      </c>
      <c r="J239" t="s">
        <v>47</v>
      </c>
      <c r="K239" t="s">
        <v>6</v>
      </c>
      <c r="L239" t="s">
        <v>1623</v>
      </c>
      <c r="M239" t="s">
        <v>1629</v>
      </c>
      <c r="N239" t="s">
        <v>1778</v>
      </c>
      <c r="O239" t="str">
        <f>CONCATENATE(Tabelle132[[#This Row],[Raumcode]],".",Tabelle132[[#This Row],[Code]])</f>
        <v>E5.SD20</v>
      </c>
      <c r="Q239" s="28" t="s">
        <v>76</v>
      </c>
    </row>
    <row r="240" spans="2:17" x14ac:dyDescent="0.25">
      <c r="B240" s="27" t="s">
        <v>1613</v>
      </c>
      <c r="C240" s="36">
        <v>1</v>
      </c>
      <c r="D240" t="s">
        <v>106</v>
      </c>
      <c r="E240" s="36">
        <v>5</v>
      </c>
      <c r="F240" t="s">
        <v>32</v>
      </c>
      <c r="G240" s="66" t="s">
        <v>1761</v>
      </c>
      <c r="H240" t="s">
        <v>1784</v>
      </c>
      <c r="I240" t="s">
        <v>255</v>
      </c>
      <c r="J240" t="s">
        <v>1656</v>
      </c>
      <c r="K240" t="s">
        <v>13</v>
      </c>
      <c r="L240" t="s">
        <v>1640</v>
      </c>
      <c r="M240" t="s">
        <v>1632</v>
      </c>
      <c r="N240" t="s">
        <v>1651</v>
      </c>
      <c r="O240" t="str">
        <f>CONCATENATE(Tabelle132[[#This Row],[Raumcode]],".",Tabelle132[[#This Row],[Code]])</f>
        <v>E5.DA1</v>
      </c>
      <c r="Q240" s="28"/>
    </row>
    <row r="241" spans="2:17" x14ac:dyDescent="0.25">
      <c r="B241" s="27" t="s">
        <v>1613</v>
      </c>
      <c r="C241" s="36">
        <v>1</v>
      </c>
      <c r="D241" t="s">
        <v>106</v>
      </c>
      <c r="E241" s="36">
        <v>5</v>
      </c>
      <c r="F241" t="s">
        <v>32</v>
      </c>
      <c r="G241" s="66" t="s">
        <v>1761</v>
      </c>
      <c r="H241" t="s">
        <v>1652</v>
      </c>
      <c r="I241" t="s">
        <v>255</v>
      </c>
      <c r="J241" t="s">
        <v>1657</v>
      </c>
      <c r="K241" t="s">
        <v>13</v>
      </c>
      <c r="L241" t="s">
        <v>1640</v>
      </c>
      <c r="M241" t="s">
        <v>1632</v>
      </c>
      <c r="N241" t="s">
        <v>1658</v>
      </c>
      <c r="O241" t="str">
        <f>CONCATENATE(Tabelle132[[#This Row],[Raumcode]],".",Tabelle132[[#This Row],[Code]])</f>
        <v>E5.DA2</v>
      </c>
      <c r="Q241" s="28"/>
    </row>
    <row r="242" spans="2:17" x14ac:dyDescent="0.25">
      <c r="B242" s="27" t="s">
        <v>1613</v>
      </c>
      <c r="C242" s="36">
        <v>1</v>
      </c>
      <c r="D242" t="s">
        <v>106</v>
      </c>
      <c r="E242" s="36">
        <v>5</v>
      </c>
      <c r="F242" t="s">
        <v>32</v>
      </c>
      <c r="G242" s="66" t="s">
        <v>1761</v>
      </c>
      <c r="H242" t="s">
        <v>1785</v>
      </c>
      <c r="I242" t="s">
        <v>255</v>
      </c>
      <c r="J242" t="s">
        <v>1656</v>
      </c>
      <c r="K242" t="s">
        <v>13</v>
      </c>
      <c r="L242" t="s">
        <v>1640</v>
      </c>
      <c r="M242" t="s">
        <v>1632</v>
      </c>
      <c r="N242" t="s">
        <v>1665</v>
      </c>
      <c r="O242" t="str">
        <f>CONCATENATE(Tabelle132[[#This Row],[Raumcode]],".",Tabelle132[[#This Row],[Code]])</f>
        <v>E5.DA3</v>
      </c>
      <c r="Q242" s="28"/>
    </row>
    <row r="243" spans="2:17" x14ac:dyDescent="0.25">
      <c r="B243" s="27" t="s">
        <v>1613</v>
      </c>
      <c r="C243" s="36">
        <v>1</v>
      </c>
      <c r="D243" t="s">
        <v>106</v>
      </c>
      <c r="E243" s="36">
        <v>5</v>
      </c>
      <c r="F243" t="s">
        <v>32</v>
      </c>
      <c r="G243" s="66" t="s">
        <v>1761</v>
      </c>
      <c r="H243" t="s">
        <v>1786</v>
      </c>
      <c r="I243" t="s">
        <v>255</v>
      </c>
      <c r="J243" t="s">
        <v>1657</v>
      </c>
      <c r="K243" t="s">
        <v>13</v>
      </c>
      <c r="L243" t="s">
        <v>1640</v>
      </c>
      <c r="M243" t="s">
        <v>1632</v>
      </c>
      <c r="N243" t="s">
        <v>1667</v>
      </c>
      <c r="O243" t="str">
        <f>CONCATENATE(Tabelle132[[#This Row],[Raumcode]],".",Tabelle132[[#This Row],[Code]])</f>
        <v>E5.DA4</v>
      </c>
      <c r="Q243" s="28"/>
    </row>
    <row r="244" spans="2:17" x14ac:dyDescent="0.25">
      <c r="B244" s="27" t="s">
        <v>116</v>
      </c>
      <c r="C244" s="36">
        <v>2</v>
      </c>
      <c r="D244" t="s">
        <v>124</v>
      </c>
      <c r="E244" s="36">
        <v>6</v>
      </c>
      <c r="F244" t="s">
        <v>26</v>
      </c>
      <c r="G244" s="66" t="s">
        <v>1856</v>
      </c>
      <c r="H244" t="s">
        <v>1759</v>
      </c>
      <c r="I244" t="s">
        <v>1676</v>
      </c>
      <c r="K244" t="s">
        <v>14</v>
      </c>
      <c r="L244" t="s">
        <v>1639</v>
      </c>
      <c r="M244" t="s">
        <v>1649</v>
      </c>
      <c r="N244" t="s">
        <v>1678</v>
      </c>
      <c r="O244" t="str">
        <f>CONCATENATE(Tabelle132[[#This Row],[Raumcode]],".",Tabelle132[[#This Row],[Code]])</f>
        <v>O6.DL1</v>
      </c>
      <c r="Q244" s="28" t="s">
        <v>83</v>
      </c>
    </row>
    <row r="245" spans="2:17" x14ac:dyDescent="0.25">
      <c r="B245" s="27" t="s">
        <v>116</v>
      </c>
      <c r="C245" s="36">
        <v>2</v>
      </c>
      <c r="D245" t="s">
        <v>124</v>
      </c>
      <c r="E245" s="36">
        <v>6</v>
      </c>
      <c r="F245" t="s">
        <v>26</v>
      </c>
      <c r="G245" s="66" t="s">
        <v>1856</v>
      </c>
      <c r="H245" t="s">
        <v>1782</v>
      </c>
      <c r="I245" t="s">
        <v>17</v>
      </c>
      <c r="J245" t="s">
        <v>1614</v>
      </c>
      <c r="K245" t="s">
        <v>9</v>
      </c>
      <c r="L245" t="s">
        <v>1640</v>
      </c>
      <c r="M245" t="s">
        <v>1555</v>
      </c>
      <c r="N245" t="s">
        <v>1621</v>
      </c>
      <c r="O245" t="str">
        <f>CONCATENATE(Tabelle132[[#This Row],[Raumcode]],".",Tabelle132[[#This Row],[Code]])</f>
        <v>O6.BL1</v>
      </c>
      <c r="Q245" s="28" t="s">
        <v>83</v>
      </c>
    </row>
    <row r="246" spans="2:17" x14ac:dyDescent="0.25">
      <c r="B246" s="27" t="s">
        <v>116</v>
      </c>
      <c r="C246" s="36">
        <v>2</v>
      </c>
      <c r="D246" t="s">
        <v>124</v>
      </c>
      <c r="E246" s="36">
        <v>6</v>
      </c>
      <c r="F246" t="s">
        <v>26</v>
      </c>
      <c r="G246" s="66" t="s">
        <v>1856</v>
      </c>
      <c r="H246" t="s">
        <v>1857</v>
      </c>
      <c r="I246" t="s">
        <v>17</v>
      </c>
      <c r="J246" t="s">
        <v>18</v>
      </c>
      <c r="K246" t="s">
        <v>9</v>
      </c>
      <c r="L246" t="s">
        <v>1640</v>
      </c>
      <c r="M246" t="s">
        <v>1555</v>
      </c>
      <c r="N246" t="s">
        <v>1643</v>
      </c>
      <c r="O246" t="str">
        <f>CONCATENATE(Tabelle132[[#This Row],[Raumcode]],".",Tabelle132[[#This Row],[Code]])</f>
        <v>O6.BL2</v>
      </c>
      <c r="Q246" s="28" t="s">
        <v>76</v>
      </c>
    </row>
    <row r="247" spans="2:17" x14ac:dyDescent="0.25">
      <c r="B247" s="27" t="s">
        <v>116</v>
      </c>
      <c r="C247" s="36">
        <v>2</v>
      </c>
      <c r="D247" t="s">
        <v>124</v>
      </c>
      <c r="E247" s="36">
        <v>6</v>
      </c>
      <c r="F247" t="s">
        <v>26</v>
      </c>
      <c r="G247" s="66" t="s">
        <v>1856</v>
      </c>
      <c r="H247" t="s">
        <v>1858</v>
      </c>
      <c r="I247" t="s">
        <v>17</v>
      </c>
      <c r="J247" t="s">
        <v>18</v>
      </c>
      <c r="K247" t="s">
        <v>9</v>
      </c>
      <c r="L247" t="s">
        <v>1640</v>
      </c>
      <c r="M247" t="s">
        <v>1555</v>
      </c>
      <c r="N247" t="s">
        <v>1644</v>
      </c>
      <c r="O247" t="str">
        <f>CONCATENATE(Tabelle132[[#This Row],[Raumcode]],".",Tabelle132[[#This Row],[Code]])</f>
        <v>O6.BL3</v>
      </c>
      <c r="Q247" s="28" t="s">
        <v>76</v>
      </c>
    </row>
    <row r="248" spans="2:17" x14ac:dyDescent="0.25">
      <c r="B248" s="27" t="s">
        <v>116</v>
      </c>
      <c r="C248" s="36">
        <v>2</v>
      </c>
      <c r="D248" t="s">
        <v>124</v>
      </c>
      <c r="E248" s="36">
        <v>6</v>
      </c>
      <c r="F248" t="s">
        <v>26</v>
      </c>
      <c r="G248" s="66" t="s">
        <v>1856</v>
      </c>
      <c r="H248" t="s">
        <v>1793</v>
      </c>
      <c r="I248" t="s">
        <v>21</v>
      </c>
      <c r="J248" t="s">
        <v>87</v>
      </c>
      <c r="K248" t="s">
        <v>7</v>
      </c>
      <c r="L248" t="s">
        <v>1623</v>
      </c>
      <c r="M248" t="s">
        <v>1630</v>
      </c>
      <c r="N248" t="s">
        <v>1690</v>
      </c>
      <c r="O248" t="str">
        <f>CONCATENATE(Tabelle132[[#This Row],[Raumcode]],".",Tabelle132[[#This Row],[Code]])</f>
        <v>O6.R1</v>
      </c>
      <c r="Q248" s="28" t="s">
        <v>76</v>
      </c>
    </row>
    <row r="249" spans="2:17" x14ac:dyDescent="0.25">
      <c r="B249" s="27" t="s">
        <v>116</v>
      </c>
      <c r="C249" s="36">
        <v>2</v>
      </c>
      <c r="D249" t="s">
        <v>124</v>
      </c>
      <c r="E249" s="36">
        <v>6</v>
      </c>
      <c r="F249" t="s">
        <v>26</v>
      </c>
      <c r="G249" s="66" t="s">
        <v>1856</v>
      </c>
      <c r="H249" t="s">
        <v>1795</v>
      </c>
      <c r="I249" t="s">
        <v>29</v>
      </c>
      <c r="J249" t="s">
        <v>1618</v>
      </c>
      <c r="K249" t="s">
        <v>14</v>
      </c>
      <c r="L249" t="s">
        <v>1641</v>
      </c>
      <c r="M249" t="s">
        <v>1692</v>
      </c>
      <c r="N249" t="s">
        <v>1693</v>
      </c>
      <c r="O249" t="str">
        <f>CONCATENATE(Tabelle132[[#This Row],[Raumcode]],".",Tabelle132[[#This Row],[Code]])</f>
        <v>O6.FK1</v>
      </c>
      <c r="Q249" s="28" t="s">
        <v>76</v>
      </c>
    </row>
    <row r="250" spans="2:17" x14ac:dyDescent="0.25">
      <c r="B250" s="27" t="s">
        <v>116</v>
      </c>
      <c r="C250" s="36">
        <v>2</v>
      </c>
      <c r="D250" t="s">
        <v>124</v>
      </c>
      <c r="E250" s="36">
        <v>6</v>
      </c>
      <c r="F250" t="s">
        <v>26</v>
      </c>
      <c r="G250" s="66" t="s">
        <v>1856</v>
      </c>
      <c r="H250" t="s">
        <v>1735</v>
      </c>
      <c r="I250" t="s">
        <v>29</v>
      </c>
      <c r="J250" t="s">
        <v>35</v>
      </c>
      <c r="K250" t="s">
        <v>10</v>
      </c>
      <c r="L250" t="s">
        <v>10</v>
      </c>
      <c r="M250" t="s">
        <v>1638</v>
      </c>
      <c r="N250" t="s">
        <v>109</v>
      </c>
      <c r="O250" t="str">
        <f>CONCATENATE(Tabelle132[[#This Row],[Raumcode]],".",Tabelle132[[#This Row],[Code]])</f>
        <v>O6.TS1</v>
      </c>
      <c r="Q250" s="28" t="s">
        <v>77</v>
      </c>
    </row>
    <row r="251" spans="2:17" x14ac:dyDescent="0.25">
      <c r="B251" s="27" t="s">
        <v>116</v>
      </c>
      <c r="C251" s="36">
        <v>2</v>
      </c>
      <c r="D251" t="s">
        <v>124</v>
      </c>
      <c r="E251" s="36">
        <v>6</v>
      </c>
      <c r="F251" t="s">
        <v>26</v>
      </c>
      <c r="G251" s="66" t="s">
        <v>1856</v>
      </c>
      <c r="H251" t="s">
        <v>33</v>
      </c>
      <c r="I251" t="s">
        <v>29</v>
      </c>
      <c r="J251" t="s">
        <v>33</v>
      </c>
      <c r="K251" t="s">
        <v>10</v>
      </c>
      <c r="L251" t="s">
        <v>10</v>
      </c>
      <c r="M251" t="s">
        <v>1638</v>
      </c>
      <c r="N251" t="s">
        <v>89</v>
      </c>
      <c r="O251" t="str">
        <f>CONCATENATE(Tabelle132[[#This Row],[Raumcode]],".",Tabelle132[[#This Row],[Code]])</f>
        <v>O6.BM1</v>
      </c>
      <c r="Q251" s="28" t="s">
        <v>83</v>
      </c>
    </row>
    <row r="252" spans="2:17" x14ac:dyDescent="0.25">
      <c r="B252" s="27" t="s">
        <v>116</v>
      </c>
      <c r="C252" s="36">
        <v>2</v>
      </c>
      <c r="D252" t="s">
        <v>124</v>
      </c>
      <c r="E252" s="36">
        <v>6</v>
      </c>
      <c r="F252" t="s">
        <v>26</v>
      </c>
      <c r="G252" s="66" t="s">
        <v>1856</v>
      </c>
      <c r="H252" t="s">
        <v>1704</v>
      </c>
      <c r="I252" t="s">
        <v>46</v>
      </c>
      <c r="J252" t="s">
        <v>48</v>
      </c>
      <c r="K252" t="s">
        <v>6</v>
      </c>
      <c r="L252" t="s">
        <v>1623</v>
      </c>
      <c r="M252" t="s">
        <v>1634</v>
      </c>
      <c r="N252" t="s">
        <v>1620</v>
      </c>
      <c r="O252" t="str">
        <f>CONCATENATE(Tabelle132[[#This Row],[Raumcode]],".",Tabelle132[[#This Row],[Code]])</f>
        <v>O6.SD1</v>
      </c>
      <c r="Q252" s="28" t="s">
        <v>76</v>
      </c>
    </row>
    <row r="253" spans="2:17" x14ac:dyDescent="0.25">
      <c r="B253" s="27" t="s">
        <v>116</v>
      </c>
      <c r="C253" s="36">
        <v>2</v>
      </c>
      <c r="D253" t="s">
        <v>124</v>
      </c>
      <c r="E253" s="36">
        <v>6</v>
      </c>
      <c r="F253" t="s">
        <v>26</v>
      </c>
      <c r="G253" s="66" t="s">
        <v>1856</v>
      </c>
      <c r="H253" t="s">
        <v>1705</v>
      </c>
      <c r="I253" t="s">
        <v>46</v>
      </c>
      <c r="J253" t="s">
        <v>48</v>
      </c>
      <c r="K253" t="s">
        <v>6</v>
      </c>
      <c r="L253" t="s">
        <v>1623</v>
      </c>
      <c r="M253" t="s">
        <v>1634</v>
      </c>
      <c r="N253" t="s">
        <v>1668</v>
      </c>
      <c r="O253" t="str">
        <f>CONCATENATE(Tabelle132[[#This Row],[Raumcode]],".",Tabelle132[[#This Row],[Code]])</f>
        <v>O6.SD2</v>
      </c>
      <c r="Q253" s="28" t="s">
        <v>76</v>
      </c>
    </row>
    <row r="254" spans="2:17" x14ac:dyDescent="0.25">
      <c r="B254" s="27" t="s">
        <v>116</v>
      </c>
      <c r="C254" s="36">
        <v>2</v>
      </c>
      <c r="D254" t="s">
        <v>124</v>
      </c>
      <c r="E254" s="36">
        <v>6</v>
      </c>
      <c r="F254" t="s">
        <v>26</v>
      </c>
      <c r="G254" s="66" t="s">
        <v>1856</v>
      </c>
      <c r="H254" t="s">
        <v>1706</v>
      </c>
      <c r="I254" t="s">
        <v>46</v>
      </c>
      <c r="J254" t="s">
        <v>48</v>
      </c>
      <c r="K254" t="s">
        <v>6</v>
      </c>
      <c r="L254" t="s">
        <v>1623</v>
      </c>
      <c r="M254" t="s">
        <v>1634</v>
      </c>
      <c r="N254" t="s">
        <v>1669</v>
      </c>
      <c r="O254" t="str">
        <f>CONCATENATE(Tabelle132[[#This Row],[Raumcode]],".",Tabelle132[[#This Row],[Code]])</f>
        <v>O6.SD3</v>
      </c>
      <c r="Q254" s="28" t="s">
        <v>76</v>
      </c>
    </row>
    <row r="255" spans="2:17" x14ac:dyDescent="0.25">
      <c r="B255" s="27" t="s">
        <v>116</v>
      </c>
      <c r="C255" s="36">
        <v>2</v>
      </c>
      <c r="D255" t="s">
        <v>124</v>
      </c>
      <c r="E255" s="36">
        <v>6</v>
      </c>
      <c r="F255" t="s">
        <v>26</v>
      </c>
      <c r="G255" s="66" t="s">
        <v>1856</v>
      </c>
      <c r="H255" t="s">
        <v>1707</v>
      </c>
      <c r="I255" t="s">
        <v>46</v>
      </c>
      <c r="J255" t="s">
        <v>48</v>
      </c>
      <c r="K255" t="s">
        <v>6</v>
      </c>
      <c r="L255" t="s">
        <v>1623</v>
      </c>
      <c r="M255" t="s">
        <v>1634</v>
      </c>
      <c r="N255" t="s">
        <v>1670</v>
      </c>
      <c r="O255" t="str">
        <f>CONCATENATE(Tabelle132[[#This Row],[Raumcode]],".",Tabelle132[[#This Row],[Code]])</f>
        <v>O6.SD4</v>
      </c>
      <c r="Q255" s="28" t="s">
        <v>76</v>
      </c>
    </row>
    <row r="256" spans="2:17" x14ac:dyDescent="0.25">
      <c r="B256" s="27" t="s">
        <v>116</v>
      </c>
      <c r="C256" s="36">
        <v>2</v>
      </c>
      <c r="D256" t="s">
        <v>124</v>
      </c>
      <c r="E256" s="36">
        <v>6</v>
      </c>
      <c r="F256" t="s">
        <v>26</v>
      </c>
      <c r="G256" s="66" t="s">
        <v>1856</v>
      </c>
      <c r="H256" t="s">
        <v>1792</v>
      </c>
      <c r="I256" t="s">
        <v>46</v>
      </c>
      <c r="J256" t="s">
        <v>47</v>
      </c>
      <c r="K256" t="s">
        <v>6</v>
      </c>
      <c r="L256" t="s">
        <v>1623</v>
      </c>
      <c r="M256" t="s">
        <v>1629</v>
      </c>
      <c r="N256" t="s">
        <v>1671</v>
      </c>
      <c r="O256" t="str">
        <f>CONCATENATE(Tabelle132[[#This Row],[Raumcode]],".",Tabelle132[[#This Row],[Code]])</f>
        <v>O6.SD5</v>
      </c>
      <c r="Q256" s="28" t="s">
        <v>76</v>
      </c>
    </row>
    <row r="257" spans="2:17" x14ac:dyDescent="0.25">
      <c r="B257" s="27" t="s">
        <v>116</v>
      </c>
      <c r="C257" s="36">
        <v>2</v>
      </c>
      <c r="D257" t="s">
        <v>124</v>
      </c>
      <c r="E257" s="36">
        <v>6</v>
      </c>
      <c r="F257" t="s">
        <v>26</v>
      </c>
      <c r="G257" s="66" t="s">
        <v>1856</v>
      </c>
      <c r="H257" t="s">
        <v>1859</v>
      </c>
      <c r="I257" t="s">
        <v>46</v>
      </c>
      <c r="J257" t="s">
        <v>48</v>
      </c>
      <c r="K257" t="s">
        <v>6</v>
      </c>
      <c r="L257" t="s">
        <v>1623</v>
      </c>
      <c r="M257" t="s">
        <v>1634</v>
      </c>
      <c r="N257" t="s">
        <v>1673</v>
      </c>
      <c r="O257" t="str">
        <f>CONCATENATE(Tabelle132[[#This Row],[Raumcode]],".",Tabelle132[[#This Row],[Code]])</f>
        <v>O6.SD6</v>
      </c>
      <c r="Q257" s="28" t="s">
        <v>79</v>
      </c>
    </row>
    <row r="258" spans="2:17" x14ac:dyDescent="0.25">
      <c r="B258" s="27" t="s">
        <v>116</v>
      </c>
      <c r="C258" s="36">
        <v>2</v>
      </c>
      <c r="D258" t="s">
        <v>124</v>
      </c>
      <c r="E258" s="36">
        <v>6</v>
      </c>
      <c r="F258" t="s">
        <v>26</v>
      </c>
      <c r="G258" s="66" t="s">
        <v>1856</v>
      </c>
      <c r="H258" t="s">
        <v>1716</v>
      </c>
      <c r="I258" t="s">
        <v>46</v>
      </c>
      <c r="J258" t="s">
        <v>48</v>
      </c>
      <c r="K258" t="s">
        <v>6</v>
      </c>
      <c r="L258" t="s">
        <v>1623</v>
      </c>
      <c r="M258" t="s">
        <v>1634</v>
      </c>
      <c r="N258" t="s">
        <v>1721</v>
      </c>
      <c r="O258" t="str">
        <f>CONCATENATE(Tabelle132[[#This Row],[Raumcode]],".",Tabelle132[[#This Row],[Code]])</f>
        <v>O6.SD7</v>
      </c>
      <c r="Q258" s="28" t="s">
        <v>76</v>
      </c>
    </row>
    <row r="259" spans="2:17" x14ac:dyDescent="0.25">
      <c r="B259" s="27" t="s">
        <v>116</v>
      </c>
      <c r="C259" s="36">
        <v>2</v>
      </c>
      <c r="D259" t="s">
        <v>124</v>
      </c>
      <c r="E259" s="36">
        <v>6</v>
      </c>
      <c r="F259" t="s">
        <v>26</v>
      </c>
      <c r="G259" s="66" t="s">
        <v>1856</v>
      </c>
      <c r="H259" t="s">
        <v>1717</v>
      </c>
      <c r="I259" t="s">
        <v>46</v>
      </c>
      <c r="J259" t="s">
        <v>48</v>
      </c>
      <c r="K259" t="s">
        <v>6</v>
      </c>
      <c r="L259" t="s">
        <v>1623</v>
      </c>
      <c r="M259" t="s">
        <v>1634</v>
      </c>
      <c r="N259" t="s">
        <v>1722</v>
      </c>
      <c r="O259" t="str">
        <f>CONCATENATE(Tabelle132[[#This Row],[Raumcode]],".",Tabelle132[[#This Row],[Code]])</f>
        <v>O6.SD8</v>
      </c>
      <c r="Q259" s="28" t="s">
        <v>76</v>
      </c>
    </row>
    <row r="260" spans="2:17" x14ac:dyDescent="0.25">
      <c r="B260" s="27" t="s">
        <v>116</v>
      </c>
      <c r="C260" s="36">
        <v>2</v>
      </c>
      <c r="D260" t="s">
        <v>124</v>
      </c>
      <c r="E260" s="36">
        <v>6</v>
      </c>
      <c r="F260" t="s">
        <v>26</v>
      </c>
      <c r="G260" s="66" t="s">
        <v>1856</v>
      </c>
      <c r="H260" t="s">
        <v>1786</v>
      </c>
      <c r="I260" t="s">
        <v>255</v>
      </c>
      <c r="J260" t="s">
        <v>1657</v>
      </c>
      <c r="K260" t="s">
        <v>13</v>
      </c>
      <c r="L260" t="s">
        <v>1640</v>
      </c>
      <c r="M260" t="s">
        <v>1632</v>
      </c>
      <c r="N260" t="s">
        <v>1651</v>
      </c>
      <c r="O260" t="str">
        <f>CONCATENATE(Tabelle132[[#This Row],[Raumcode]],".",Tabelle132[[#This Row],[Code]])</f>
        <v>O6.DA1</v>
      </c>
      <c r="Q260" s="28"/>
    </row>
    <row r="261" spans="2:17" x14ac:dyDescent="0.25">
      <c r="B261" s="27" t="s">
        <v>116</v>
      </c>
      <c r="C261" s="36">
        <v>2</v>
      </c>
      <c r="D261" t="s">
        <v>124</v>
      </c>
      <c r="E261" s="36">
        <v>6</v>
      </c>
      <c r="F261" t="s">
        <v>26</v>
      </c>
      <c r="G261" s="66" t="s">
        <v>1856</v>
      </c>
      <c r="H261" t="s">
        <v>1860</v>
      </c>
      <c r="I261" t="s">
        <v>255</v>
      </c>
      <c r="J261" t="s">
        <v>1656</v>
      </c>
      <c r="K261" t="s">
        <v>13</v>
      </c>
      <c r="L261" t="s">
        <v>1640</v>
      </c>
      <c r="M261" t="s">
        <v>1632</v>
      </c>
      <c r="N261" t="s">
        <v>1658</v>
      </c>
      <c r="O261" t="str">
        <f>CONCATENATE(Tabelle132[[#This Row],[Raumcode]],".",Tabelle132[[#This Row],[Code]])</f>
        <v>O6.DA2</v>
      </c>
      <c r="Q261" s="28"/>
    </row>
    <row r="262" spans="2:17" x14ac:dyDescent="0.25">
      <c r="B262" s="27" t="s">
        <v>1613</v>
      </c>
      <c r="C262" s="36">
        <v>1</v>
      </c>
      <c r="D262" t="s">
        <v>108</v>
      </c>
      <c r="E262" s="36">
        <v>6</v>
      </c>
      <c r="F262" t="s">
        <v>23</v>
      </c>
      <c r="G262" s="66" t="s">
        <v>1787</v>
      </c>
      <c r="H262" t="s">
        <v>1759</v>
      </c>
      <c r="I262" t="s">
        <v>1676</v>
      </c>
      <c r="K262" t="s">
        <v>14</v>
      </c>
      <c r="L262" t="s">
        <v>1639</v>
      </c>
      <c r="M262" t="s">
        <v>1649</v>
      </c>
      <c r="N262" t="s">
        <v>1678</v>
      </c>
      <c r="O262" t="str">
        <f>CONCATENATE(Tabelle132[[#This Row],[Raumcode]],".",Tabelle132[[#This Row],[Code]])</f>
        <v>E6.DL1</v>
      </c>
      <c r="Q262" s="28" t="s">
        <v>83</v>
      </c>
    </row>
    <row r="263" spans="2:17" x14ac:dyDescent="0.25">
      <c r="B263" s="27" t="s">
        <v>1613</v>
      </c>
      <c r="C263" s="36">
        <v>1</v>
      </c>
      <c r="D263" t="s">
        <v>108</v>
      </c>
      <c r="E263" s="36">
        <v>6</v>
      </c>
      <c r="F263" t="s">
        <v>23</v>
      </c>
      <c r="G263" s="66" t="s">
        <v>1787</v>
      </c>
      <c r="H263" t="s">
        <v>1760</v>
      </c>
      <c r="I263" t="s">
        <v>1676</v>
      </c>
      <c r="K263" t="s">
        <v>14</v>
      </c>
      <c r="L263" t="s">
        <v>1639</v>
      </c>
      <c r="M263" t="s">
        <v>1649</v>
      </c>
      <c r="N263" t="s">
        <v>1746</v>
      </c>
      <c r="O263" t="str">
        <f>CONCATENATE(Tabelle132[[#This Row],[Raumcode]],".",Tabelle132[[#This Row],[Code]])</f>
        <v>E6.DL2</v>
      </c>
      <c r="Q263" s="28" t="s">
        <v>83</v>
      </c>
    </row>
    <row r="264" spans="2:17" x14ac:dyDescent="0.25">
      <c r="B264" s="27" t="s">
        <v>1613</v>
      </c>
      <c r="C264" s="36">
        <v>1</v>
      </c>
      <c r="D264" t="s">
        <v>108</v>
      </c>
      <c r="E264" s="36">
        <v>6</v>
      </c>
      <c r="F264" t="s">
        <v>23</v>
      </c>
      <c r="G264" s="66" t="s">
        <v>1787</v>
      </c>
      <c r="H264" t="s">
        <v>1740</v>
      </c>
      <c r="I264" t="s">
        <v>17</v>
      </c>
      <c r="J264" t="s">
        <v>1614</v>
      </c>
      <c r="K264" t="s">
        <v>9</v>
      </c>
      <c r="L264" t="s">
        <v>1640</v>
      </c>
      <c r="M264" t="s">
        <v>1555</v>
      </c>
      <c r="N264" t="s">
        <v>1621</v>
      </c>
      <c r="O264" t="str">
        <f>CONCATENATE(Tabelle132[[#This Row],[Raumcode]],".",Tabelle132[[#This Row],[Code]])</f>
        <v>E6.BL1</v>
      </c>
      <c r="Q264" s="28" t="s">
        <v>83</v>
      </c>
    </row>
    <row r="265" spans="2:17" x14ac:dyDescent="0.25">
      <c r="B265" s="27" t="s">
        <v>1613</v>
      </c>
      <c r="C265" s="36">
        <v>1</v>
      </c>
      <c r="D265" t="s">
        <v>108</v>
      </c>
      <c r="E265" s="36">
        <v>6</v>
      </c>
      <c r="F265" t="s">
        <v>23</v>
      </c>
      <c r="G265" s="66" t="s">
        <v>1787</v>
      </c>
      <c r="H265" t="s">
        <v>1757</v>
      </c>
      <c r="I265" t="s">
        <v>17</v>
      </c>
      <c r="J265" t="s">
        <v>18</v>
      </c>
      <c r="K265" t="s">
        <v>9</v>
      </c>
      <c r="L265" t="s">
        <v>1640</v>
      </c>
      <c r="M265" t="s">
        <v>1555</v>
      </c>
      <c r="N265" t="s">
        <v>1643</v>
      </c>
      <c r="O265" t="str">
        <f>CONCATENATE(Tabelle132[[#This Row],[Raumcode]],".",Tabelle132[[#This Row],[Code]])</f>
        <v>E6.BL2</v>
      </c>
      <c r="Q265" s="28" t="s">
        <v>83</v>
      </c>
    </row>
    <row r="266" spans="2:17" x14ac:dyDescent="0.25">
      <c r="B266" s="27" t="s">
        <v>1613</v>
      </c>
      <c r="C266" s="36">
        <v>1</v>
      </c>
      <c r="D266" t="s">
        <v>108</v>
      </c>
      <c r="E266" s="36">
        <v>6</v>
      </c>
      <c r="F266" t="s">
        <v>23</v>
      </c>
      <c r="G266" s="66" t="s">
        <v>1787</v>
      </c>
      <c r="H266" t="s">
        <v>1803</v>
      </c>
      <c r="I266" t="s">
        <v>17</v>
      </c>
      <c r="J266" t="s">
        <v>18</v>
      </c>
      <c r="K266" t="s">
        <v>9</v>
      </c>
      <c r="L266" t="s">
        <v>1640</v>
      </c>
      <c r="M266" t="s">
        <v>1555</v>
      </c>
      <c r="N266" t="s">
        <v>1644</v>
      </c>
      <c r="O266" t="str">
        <f>CONCATENATE(Tabelle132[[#This Row],[Raumcode]],".",Tabelle132[[#This Row],[Code]])</f>
        <v>E6.BL3</v>
      </c>
      <c r="Q266" s="28" t="s">
        <v>77</v>
      </c>
    </row>
    <row r="267" spans="2:17" x14ac:dyDescent="0.25">
      <c r="B267" s="27" t="s">
        <v>1613</v>
      </c>
      <c r="C267" s="36">
        <v>1</v>
      </c>
      <c r="D267" t="s">
        <v>108</v>
      </c>
      <c r="E267" s="36">
        <v>6</v>
      </c>
      <c r="F267" t="s">
        <v>23</v>
      </c>
      <c r="G267" s="66" t="s">
        <v>1787</v>
      </c>
      <c r="H267" t="s">
        <v>1804</v>
      </c>
      <c r="I267" t="s">
        <v>17</v>
      </c>
      <c r="J267" t="s">
        <v>18</v>
      </c>
      <c r="K267" t="s">
        <v>9</v>
      </c>
      <c r="L267" t="s">
        <v>1640</v>
      </c>
      <c r="M267" t="s">
        <v>1555</v>
      </c>
      <c r="N267" t="s">
        <v>1645</v>
      </c>
      <c r="O267" t="str">
        <f>CONCATENATE(Tabelle132[[#This Row],[Raumcode]],".",Tabelle132[[#This Row],[Code]])</f>
        <v>E6.BL4</v>
      </c>
      <c r="Q267" s="28" t="s">
        <v>76</v>
      </c>
    </row>
    <row r="268" spans="2:17" x14ac:dyDescent="0.25">
      <c r="B268" s="27" t="s">
        <v>1613</v>
      </c>
      <c r="C268" s="36">
        <v>1</v>
      </c>
      <c r="D268" t="s">
        <v>108</v>
      </c>
      <c r="E268" s="36">
        <v>6</v>
      </c>
      <c r="F268" t="s">
        <v>23</v>
      </c>
      <c r="G268" s="66" t="s">
        <v>1787</v>
      </c>
      <c r="H268" t="s">
        <v>1793</v>
      </c>
      <c r="I268" t="s">
        <v>21</v>
      </c>
      <c r="J268" t="s">
        <v>1616</v>
      </c>
      <c r="K268" t="s">
        <v>7</v>
      </c>
      <c r="L268" t="s">
        <v>1623</v>
      </c>
      <c r="M268" t="s">
        <v>1630</v>
      </c>
      <c r="N268" t="s">
        <v>1703</v>
      </c>
      <c r="O268" t="str">
        <f>CONCATENATE(Tabelle132[[#This Row],[Raumcode]],".",Tabelle132[[#This Row],[Code]])</f>
        <v>E6.RS1</v>
      </c>
      <c r="Q268" s="28" t="s">
        <v>76</v>
      </c>
    </row>
    <row r="269" spans="2:17" x14ac:dyDescent="0.25">
      <c r="B269" s="27" t="s">
        <v>1613</v>
      </c>
      <c r="C269" s="36">
        <v>1</v>
      </c>
      <c r="D269" t="s">
        <v>108</v>
      </c>
      <c r="E269" s="36">
        <v>6</v>
      </c>
      <c r="F269" t="s">
        <v>23</v>
      </c>
      <c r="G269" s="66" t="s">
        <v>1787</v>
      </c>
      <c r="H269" t="s">
        <v>1762</v>
      </c>
      <c r="I269" t="s">
        <v>21</v>
      </c>
      <c r="J269" t="s">
        <v>1616</v>
      </c>
      <c r="K269" t="s">
        <v>7</v>
      </c>
      <c r="L269" t="s">
        <v>1623</v>
      </c>
      <c r="M269" t="s">
        <v>1630</v>
      </c>
      <c r="N269" t="s">
        <v>1794</v>
      </c>
      <c r="O269" t="str">
        <f>CONCATENATE(Tabelle132[[#This Row],[Raumcode]],".",Tabelle132[[#This Row],[Code]])</f>
        <v>E6.RS2</v>
      </c>
      <c r="Q269" s="28" t="s">
        <v>76</v>
      </c>
    </row>
    <row r="270" spans="2:17" x14ac:dyDescent="0.25">
      <c r="B270" s="27" t="s">
        <v>1613</v>
      </c>
      <c r="C270" s="36">
        <v>1</v>
      </c>
      <c r="D270" t="s">
        <v>108</v>
      </c>
      <c r="E270" s="36">
        <v>6</v>
      </c>
      <c r="F270" t="s">
        <v>23</v>
      </c>
      <c r="G270" s="66" t="s">
        <v>1787</v>
      </c>
      <c r="H270" t="s">
        <v>1735</v>
      </c>
      <c r="I270" t="s">
        <v>29</v>
      </c>
      <c r="J270" t="s">
        <v>37</v>
      </c>
      <c r="K270" t="s">
        <v>10</v>
      </c>
      <c r="L270" t="s">
        <v>10</v>
      </c>
      <c r="M270" t="s">
        <v>1638</v>
      </c>
      <c r="N270" t="s">
        <v>109</v>
      </c>
      <c r="O270" t="str">
        <f>CONCATENATE(Tabelle132[[#This Row],[Raumcode]],".",Tabelle132[[#This Row],[Code]])</f>
        <v>E6.TS1</v>
      </c>
      <c r="Q270" s="28"/>
    </row>
    <row r="271" spans="2:17" x14ac:dyDescent="0.25">
      <c r="B271" s="27" t="s">
        <v>1613</v>
      </c>
      <c r="C271" s="36">
        <v>1</v>
      </c>
      <c r="D271" t="s">
        <v>108</v>
      </c>
      <c r="E271" s="36">
        <v>6</v>
      </c>
      <c r="F271" t="s">
        <v>23</v>
      </c>
      <c r="G271" s="66" t="s">
        <v>1787</v>
      </c>
      <c r="H271" t="s">
        <v>1795</v>
      </c>
      <c r="I271" t="s">
        <v>29</v>
      </c>
      <c r="J271" t="s">
        <v>1618</v>
      </c>
      <c r="K271" t="s">
        <v>14</v>
      </c>
      <c r="L271" t="s">
        <v>1641</v>
      </c>
      <c r="M271" t="s">
        <v>1692</v>
      </c>
      <c r="N271" t="s">
        <v>1693</v>
      </c>
      <c r="O271" t="str">
        <f>CONCATENATE(Tabelle132[[#This Row],[Raumcode]],".",Tabelle132[[#This Row],[Code]])</f>
        <v>E6.FK1</v>
      </c>
      <c r="Q271" s="28" t="s">
        <v>76</v>
      </c>
    </row>
    <row r="272" spans="2:17" x14ac:dyDescent="0.25">
      <c r="B272" s="27" t="s">
        <v>1613</v>
      </c>
      <c r="C272" s="36">
        <v>1</v>
      </c>
      <c r="D272" t="s">
        <v>108</v>
      </c>
      <c r="E272" s="36">
        <v>6</v>
      </c>
      <c r="F272" t="s">
        <v>23</v>
      </c>
      <c r="G272" s="66" t="s">
        <v>1787</v>
      </c>
      <c r="H272" t="s">
        <v>1776</v>
      </c>
      <c r="I272" t="s">
        <v>29</v>
      </c>
      <c r="J272" t="s">
        <v>1618</v>
      </c>
      <c r="K272" t="s">
        <v>14</v>
      </c>
      <c r="L272" t="s">
        <v>1641</v>
      </c>
      <c r="M272" t="s">
        <v>1692</v>
      </c>
      <c r="N272" t="s">
        <v>1739</v>
      </c>
      <c r="O272" t="str">
        <f>CONCATENATE(Tabelle132[[#This Row],[Raumcode]],".",Tabelle132[[#This Row],[Code]])</f>
        <v>E6.FK2</v>
      </c>
      <c r="Q272" s="28" t="s">
        <v>76</v>
      </c>
    </row>
    <row r="273" spans="2:17" x14ac:dyDescent="0.25">
      <c r="B273" s="27" t="s">
        <v>1613</v>
      </c>
      <c r="C273" s="36">
        <v>1</v>
      </c>
      <c r="D273" t="s">
        <v>108</v>
      </c>
      <c r="E273" s="36">
        <v>6</v>
      </c>
      <c r="F273" t="s">
        <v>23</v>
      </c>
      <c r="G273" s="66" t="s">
        <v>1787</v>
      </c>
      <c r="H273" t="s">
        <v>40</v>
      </c>
      <c r="I273" t="s">
        <v>29</v>
      </c>
      <c r="J273" t="s">
        <v>1617</v>
      </c>
      <c r="K273" t="s">
        <v>10</v>
      </c>
      <c r="L273" t="s">
        <v>10</v>
      </c>
      <c r="M273" t="s">
        <v>1638</v>
      </c>
      <c r="N273" t="s">
        <v>103</v>
      </c>
      <c r="O273" t="str">
        <f>CONCATENATE(Tabelle132[[#This Row],[Raumcode]],".",Tabelle132[[#This Row],[Code]])</f>
        <v>E6.PM1</v>
      </c>
      <c r="Q273" s="28" t="s">
        <v>83</v>
      </c>
    </row>
    <row r="274" spans="2:17" x14ac:dyDescent="0.25">
      <c r="B274" s="27" t="s">
        <v>1613</v>
      </c>
      <c r="C274" s="36">
        <v>1</v>
      </c>
      <c r="D274" t="s">
        <v>108</v>
      </c>
      <c r="E274" s="36">
        <v>6</v>
      </c>
      <c r="F274" t="s">
        <v>23</v>
      </c>
      <c r="G274" s="66" t="s">
        <v>1787</v>
      </c>
      <c r="H274" t="s">
        <v>1704</v>
      </c>
      <c r="I274" t="s">
        <v>46</v>
      </c>
      <c r="J274" t="s">
        <v>48</v>
      </c>
      <c r="K274" t="s">
        <v>6</v>
      </c>
      <c r="L274" t="s">
        <v>1623</v>
      </c>
      <c r="M274" t="s">
        <v>1634</v>
      </c>
      <c r="N274" t="s">
        <v>1620</v>
      </c>
      <c r="O274" t="str">
        <f>CONCATENATE(Tabelle132[[#This Row],[Raumcode]],".",Tabelle132[[#This Row],[Code]])</f>
        <v>E6.SD1</v>
      </c>
      <c r="Q274" s="28" t="s">
        <v>79</v>
      </c>
    </row>
    <row r="275" spans="2:17" x14ac:dyDescent="0.25">
      <c r="B275" s="27" t="s">
        <v>1613</v>
      </c>
      <c r="C275" s="36">
        <v>1</v>
      </c>
      <c r="D275" t="s">
        <v>108</v>
      </c>
      <c r="E275" s="36">
        <v>6</v>
      </c>
      <c r="F275" t="s">
        <v>23</v>
      </c>
      <c r="G275" s="66" t="s">
        <v>1787</v>
      </c>
      <c r="H275" t="s">
        <v>1705</v>
      </c>
      <c r="I275" t="s">
        <v>46</v>
      </c>
      <c r="J275" t="s">
        <v>48</v>
      </c>
      <c r="K275" t="s">
        <v>6</v>
      </c>
      <c r="L275" t="s">
        <v>1623</v>
      </c>
      <c r="M275" t="s">
        <v>1634</v>
      </c>
      <c r="N275" t="s">
        <v>1668</v>
      </c>
      <c r="O275" t="str">
        <f>CONCATENATE(Tabelle132[[#This Row],[Raumcode]],".",Tabelle132[[#This Row],[Code]])</f>
        <v>E6.SD2</v>
      </c>
      <c r="Q275" s="28" t="s">
        <v>79</v>
      </c>
    </row>
    <row r="276" spans="2:17" x14ac:dyDescent="0.25">
      <c r="B276" s="27" t="s">
        <v>1613</v>
      </c>
      <c r="C276" s="36">
        <v>1</v>
      </c>
      <c r="D276" t="s">
        <v>108</v>
      </c>
      <c r="E276" s="36">
        <v>6</v>
      </c>
      <c r="F276" t="s">
        <v>23</v>
      </c>
      <c r="G276" s="66" t="s">
        <v>1787</v>
      </c>
      <c r="H276" t="s">
        <v>110</v>
      </c>
      <c r="I276" t="s">
        <v>46</v>
      </c>
      <c r="J276" t="s">
        <v>47</v>
      </c>
      <c r="K276" t="s">
        <v>6</v>
      </c>
      <c r="L276" t="s">
        <v>1623</v>
      </c>
      <c r="M276" t="s">
        <v>1629</v>
      </c>
      <c r="N276" t="s">
        <v>1669</v>
      </c>
      <c r="O276" t="str">
        <f>CONCATENATE(Tabelle132[[#This Row],[Raumcode]],".",Tabelle132[[#This Row],[Code]])</f>
        <v>E6.SD3</v>
      </c>
      <c r="Q276" s="28" t="s">
        <v>79</v>
      </c>
    </row>
    <row r="277" spans="2:17" x14ac:dyDescent="0.25">
      <c r="B277" s="27" t="s">
        <v>1613</v>
      </c>
      <c r="C277" s="36">
        <v>1</v>
      </c>
      <c r="D277" t="s">
        <v>108</v>
      </c>
      <c r="E277" s="36">
        <v>6</v>
      </c>
      <c r="F277" t="s">
        <v>23</v>
      </c>
      <c r="G277" s="66" t="s">
        <v>1787</v>
      </c>
      <c r="H277" t="s">
        <v>111</v>
      </c>
      <c r="I277" t="s">
        <v>46</v>
      </c>
      <c r="J277" t="s">
        <v>47</v>
      </c>
      <c r="K277" t="s">
        <v>6</v>
      </c>
      <c r="L277" t="s">
        <v>1623</v>
      </c>
      <c r="M277" t="s">
        <v>1629</v>
      </c>
      <c r="N277" t="s">
        <v>1670</v>
      </c>
      <c r="O277" t="str">
        <f>CONCATENATE(Tabelle132[[#This Row],[Raumcode]],".",Tabelle132[[#This Row],[Code]])</f>
        <v>E6.SD4</v>
      </c>
      <c r="Q277" s="28" t="s">
        <v>79</v>
      </c>
    </row>
    <row r="278" spans="2:17" x14ac:dyDescent="0.25">
      <c r="B278" s="27" t="s">
        <v>1613</v>
      </c>
      <c r="C278" s="36">
        <v>1</v>
      </c>
      <c r="D278" t="s">
        <v>108</v>
      </c>
      <c r="E278" s="36">
        <v>6</v>
      </c>
      <c r="F278" t="s">
        <v>23</v>
      </c>
      <c r="G278" s="66" t="s">
        <v>1787</v>
      </c>
      <c r="H278" t="s">
        <v>1788</v>
      </c>
      <c r="I278" t="s">
        <v>46</v>
      </c>
      <c r="J278" t="s">
        <v>48</v>
      </c>
      <c r="K278" t="s">
        <v>6</v>
      </c>
      <c r="L278" t="s">
        <v>1623</v>
      </c>
      <c r="M278" t="s">
        <v>1634</v>
      </c>
      <c r="N278" t="s">
        <v>1671</v>
      </c>
      <c r="O278" t="str">
        <f>CONCATENATE(Tabelle132[[#This Row],[Raumcode]],".",Tabelle132[[#This Row],[Code]])</f>
        <v>E6.SD5</v>
      </c>
      <c r="Q278" s="28" t="s">
        <v>79</v>
      </c>
    </row>
    <row r="279" spans="2:17" x14ac:dyDescent="0.25">
      <c r="B279" s="27" t="s">
        <v>1613</v>
      </c>
      <c r="C279" s="36">
        <v>1</v>
      </c>
      <c r="D279" t="s">
        <v>108</v>
      </c>
      <c r="E279" s="36">
        <v>6</v>
      </c>
      <c r="F279" t="s">
        <v>23</v>
      </c>
      <c r="G279" s="66" t="s">
        <v>1787</v>
      </c>
      <c r="H279" t="s">
        <v>1789</v>
      </c>
      <c r="I279" t="s">
        <v>46</v>
      </c>
      <c r="J279" t="s">
        <v>48</v>
      </c>
      <c r="K279" t="s">
        <v>6</v>
      </c>
      <c r="L279" t="s">
        <v>1623</v>
      </c>
      <c r="M279" t="s">
        <v>1634</v>
      </c>
      <c r="N279" t="s">
        <v>1673</v>
      </c>
      <c r="O279" t="str">
        <f>CONCATENATE(Tabelle132[[#This Row],[Raumcode]],".",Tabelle132[[#This Row],[Code]])</f>
        <v>E6.SD6</v>
      </c>
      <c r="Q279" s="28" t="s">
        <v>79</v>
      </c>
    </row>
    <row r="280" spans="2:17" x14ac:dyDescent="0.25">
      <c r="B280" s="27" t="s">
        <v>1613</v>
      </c>
      <c r="C280" s="36">
        <v>1</v>
      </c>
      <c r="D280" t="s">
        <v>108</v>
      </c>
      <c r="E280" s="36">
        <v>6</v>
      </c>
      <c r="F280" t="s">
        <v>23</v>
      </c>
      <c r="G280" s="66" t="s">
        <v>1787</v>
      </c>
      <c r="H280" t="s">
        <v>1790</v>
      </c>
      <c r="I280" t="s">
        <v>46</v>
      </c>
      <c r="J280" t="s">
        <v>48</v>
      </c>
      <c r="K280" t="s">
        <v>6</v>
      </c>
      <c r="L280" t="s">
        <v>1623</v>
      </c>
      <c r="M280" t="s">
        <v>1634</v>
      </c>
      <c r="N280" t="s">
        <v>1721</v>
      </c>
      <c r="O280" t="str">
        <f>CONCATENATE(Tabelle132[[#This Row],[Raumcode]],".",Tabelle132[[#This Row],[Code]])</f>
        <v>E6.SD7</v>
      </c>
      <c r="Q280" s="28" t="s">
        <v>79</v>
      </c>
    </row>
    <row r="281" spans="2:17" x14ac:dyDescent="0.25">
      <c r="B281" s="27" t="s">
        <v>1613</v>
      </c>
      <c r="C281" s="36">
        <v>1</v>
      </c>
      <c r="D281" t="s">
        <v>108</v>
      </c>
      <c r="E281" s="36">
        <v>6</v>
      </c>
      <c r="F281" t="s">
        <v>23</v>
      </c>
      <c r="G281" s="66" t="s">
        <v>1787</v>
      </c>
      <c r="H281" t="s">
        <v>1791</v>
      </c>
      <c r="I281" t="s">
        <v>46</v>
      </c>
      <c r="J281" t="s">
        <v>48</v>
      </c>
      <c r="K281" t="s">
        <v>6</v>
      </c>
      <c r="L281" t="s">
        <v>1623</v>
      </c>
      <c r="M281" t="s">
        <v>1634</v>
      </c>
      <c r="N281" t="s">
        <v>1722</v>
      </c>
      <c r="O281" t="str">
        <f>CONCATENATE(Tabelle132[[#This Row],[Raumcode]],".",Tabelle132[[#This Row],[Code]])</f>
        <v>E6.SD8</v>
      </c>
      <c r="Q281" s="28" t="s">
        <v>79</v>
      </c>
    </row>
    <row r="282" spans="2:17" x14ac:dyDescent="0.25">
      <c r="B282" s="27" t="s">
        <v>1613</v>
      </c>
      <c r="C282" s="36">
        <v>1</v>
      </c>
      <c r="D282" t="s">
        <v>108</v>
      </c>
      <c r="E282" s="36">
        <v>6</v>
      </c>
      <c r="F282" t="s">
        <v>23</v>
      </c>
      <c r="G282" s="66" t="s">
        <v>1787</v>
      </c>
      <c r="H282" t="s">
        <v>1801</v>
      </c>
      <c r="I282" t="s">
        <v>46</v>
      </c>
      <c r="J282" t="s">
        <v>1680</v>
      </c>
      <c r="K282" t="s">
        <v>104</v>
      </c>
      <c r="L282" t="s">
        <v>1626</v>
      </c>
      <c r="M282" t="s">
        <v>1649</v>
      </c>
      <c r="N282" t="s">
        <v>1681</v>
      </c>
      <c r="O282" t="str">
        <f>CONCATENATE(Tabelle132[[#This Row],[Raumcode]],".",Tabelle132[[#This Row],[Code]])</f>
        <v>E6.ND1</v>
      </c>
      <c r="Q282" s="28" t="s">
        <v>79</v>
      </c>
    </row>
    <row r="283" spans="2:17" x14ac:dyDescent="0.25">
      <c r="B283" s="27" t="s">
        <v>1613</v>
      </c>
      <c r="C283" s="36">
        <v>1</v>
      </c>
      <c r="D283" t="s">
        <v>108</v>
      </c>
      <c r="E283" s="36">
        <v>6</v>
      </c>
      <c r="F283" t="s">
        <v>23</v>
      </c>
      <c r="G283" s="66" t="s">
        <v>1787</v>
      </c>
      <c r="H283" t="s">
        <v>1792</v>
      </c>
      <c r="I283" t="s">
        <v>46</v>
      </c>
      <c r="J283" t="s">
        <v>47</v>
      </c>
      <c r="K283" t="s">
        <v>6</v>
      </c>
      <c r="L283" t="s">
        <v>1623</v>
      </c>
      <c r="M283" t="s">
        <v>1629</v>
      </c>
      <c r="N283" t="s">
        <v>1723</v>
      </c>
      <c r="O283" t="str">
        <f>CONCATENATE(Tabelle132[[#This Row],[Raumcode]],".",Tabelle132[[#This Row],[Code]])</f>
        <v>E6.SD9</v>
      </c>
      <c r="Q283" s="28" t="s">
        <v>76</v>
      </c>
    </row>
    <row r="284" spans="2:17" x14ac:dyDescent="0.25">
      <c r="B284" s="27" t="s">
        <v>1613</v>
      </c>
      <c r="C284" s="36">
        <v>1</v>
      </c>
      <c r="D284" t="s">
        <v>108</v>
      </c>
      <c r="E284" s="36">
        <v>6</v>
      </c>
      <c r="F284" t="s">
        <v>23</v>
      </c>
      <c r="G284" s="66" t="s">
        <v>1787</v>
      </c>
      <c r="H284" t="s">
        <v>1716</v>
      </c>
      <c r="I284" t="s">
        <v>46</v>
      </c>
      <c r="J284" t="s">
        <v>48</v>
      </c>
      <c r="K284" t="s">
        <v>6</v>
      </c>
      <c r="L284" t="s">
        <v>1623</v>
      </c>
      <c r="M284" t="s">
        <v>1634</v>
      </c>
      <c r="N284" t="s">
        <v>1724</v>
      </c>
      <c r="O284" t="str">
        <f>CONCATENATE(Tabelle132[[#This Row],[Raumcode]],".",Tabelle132[[#This Row],[Code]])</f>
        <v>E6.SD10</v>
      </c>
      <c r="Q284" s="28" t="s">
        <v>79</v>
      </c>
    </row>
    <row r="285" spans="2:17" x14ac:dyDescent="0.25">
      <c r="B285" s="27" t="s">
        <v>1613</v>
      </c>
      <c r="C285" s="36">
        <v>1</v>
      </c>
      <c r="D285" t="s">
        <v>108</v>
      </c>
      <c r="E285" s="36">
        <v>6</v>
      </c>
      <c r="F285" t="s">
        <v>23</v>
      </c>
      <c r="G285" s="66" t="s">
        <v>1787</v>
      </c>
      <c r="H285" t="s">
        <v>1717</v>
      </c>
      <c r="I285" t="s">
        <v>46</v>
      </c>
      <c r="J285" t="s">
        <v>48</v>
      </c>
      <c r="K285" t="s">
        <v>6</v>
      </c>
      <c r="L285" t="s">
        <v>1623</v>
      </c>
      <c r="M285" t="s">
        <v>1634</v>
      </c>
      <c r="N285" t="s">
        <v>1725</v>
      </c>
      <c r="O285" t="str">
        <f>CONCATENATE(Tabelle132[[#This Row],[Raumcode]],".",Tabelle132[[#This Row],[Code]])</f>
        <v>E6.SD11</v>
      </c>
      <c r="Q285" s="28" t="s">
        <v>79</v>
      </c>
    </row>
    <row r="286" spans="2:17" x14ac:dyDescent="0.25">
      <c r="B286" s="27" t="s">
        <v>1613</v>
      </c>
      <c r="C286" s="36">
        <v>1</v>
      </c>
      <c r="D286" t="s">
        <v>108</v>
      </c>
      <c r="E286" s="36">
        <v>6</v>
      </c>
      <c r="F286" t="s">
        <v>23</v>
      </c>
      <c r="G286" s="66" t="s">
        <v>1787</v>
      </c>
      <c r="H286" t="s">
        <v>1775</v>
      </c>
      <c r="I286" t="s">
        <v>46</v>
      </c>
      <c r="J286" t="s">
        <v>47</v>
      </c>
      <c r="K286" t="s">
        <v>6</v>
      </c>
      <c r="L286" t="s">
        <v>1623</v>
      </c>
      <c r="M286" t="s">
        <v>1629</v>
      </c>
      <c r="N286" t="s">
        <v>1726</v>
      </c>
      <c r="O286" t="str">
        <f>CONCATENATE(Tabelle132[[#This Row],[Raumcode]],".",Tabelle132[[#This Row],[Code]])</f>
        <v>E6.SD12</v>
      </c>
      <c r="Q286" s="28" t="s">
        <v>76</v>
      </c>
    </row>
    <row r="287" spans="2:17" x14ac:dyDescent="0.25">
      <c r="B287" s="27" t="s">
        <v>1613</v>
      </c>
      <c r="C287" s="36">
        <v>1</v>
      </c>
      <c r="D287" t="s">
        <v>108</v>
      </c>
      <c r="E287" s="36">
        <v>6</v>
      </c>
      <c r="F287" t="s">
        <v>23</v>
      </c>
      <c r="G287" s="66" t="s">
        <v>1787</v>
      </c>
      <c r="H287" t="s">
        <v>1755</v>
      </c>
      <c r="I287" t="s">
        <v>46</v>
      </c>
      <c r="J287" t="s">
        <v>48</v>
      </c>
      <c r="K287" t="s">
        <v>6</v>
      </c>
      <c r="L287" t="s">
        <v>1623</v>
      </c>
      <c r="M287" t="s">
        <v>1634</v>
      </c>
      <c r="N287" t="s">
        <v>1727</v>
      </c>
      <c r="O287" t="str">
        <f>CONCATENATE(Tabelle132[[#This Row],[Raumcode]],".",Tabelle132[[#This Row],[Code]])</f>
        <v>E6.SD13</v>
      </c>
      <c r="Q287" s="28" t="s">
        <v>79</v>
      </c>
    </row>
    <row r="288" spans="2:17" x14ac:dyDescent="0.25">
      <c r="B288" s="27" t="s">
        <v>1613</v>
      </c>
      <c r="C288" s="36">
        <v>1</v>
      </c>
      <c r="D288" t="s">
        <v>108</v>
      </c>
      <c r="E288" s="36">
        <v>6</v>
      </c>
      <c r="F288" t="s">
        <v>23</v>
      </c>
      <c r="G288" s="66" t="s">
        <v>1787</v>
      </c>
      <c r="H288" t="s">
        <v>1756</v>
      </c>
      <c r="I288" t="s">
        <v>46</v>
      </c>
      <c r="J288" t="s">
        <v>48</v>
      </c>
      <c r="K288" t="s">
        <v>6</v>
      </c>
      <c r="L288" t="s">
        <v>1623</v>
      </c>
      <c r="M288" t="s">
        <v>1634</v>
      </c>
      <c r="N288" t="s">
        <v>1728</v>
      </c>
      <c r="O288" t="str">
        <f>CONCATENATE(Tabelle132[[#This Row],[Raumcode]],".",Tabelle132[[#This Row],[Code]])</f>
        <v>E6.SD14</v>
      </c>
      <c r="Q288" s="28" t="s">
        <v>79</v>
      </c>
    </row>
    <row r="289" spans="2:17" x14ac:dyDescent="0.25">
      <c r="B289" s="27" t="s">
        <v>1613</v>
      </c>
      <c r="C289" s="36">
        <v>1</v>
      </c>
      <c r="D289" t="s">
        <v>108</v>
      </c>
      <c r="E289" s="36">
        <v>6</v>
      </c>
      <c r="F289" t="s">
        <v>23</v>
      </c>
      <c r="G289" s="66" t="s">
        <v>1787</v>
      </c>
      <c r="H289" t="s">
        <v>1796</v>
      </c>
      <c r="I289" t="s">
        <v>46</v>
      </c>
      <c r="J289" t="s">
        <v>48</v>
      </c>
      <c r="K289" t="s">
        <v>6</v>
      </c>
      <c r="L289" t="s">
        <v>1623</v>
      </c>
      <c r="M289" t="s">
        <v>1634</v>
      </c>
      <c r="N289" t="s">
        <v>1729</v>
      </c>
      <c r="O289" t="str">
        <f>CONCATENATE(Tabelle132[[#This Row],[Raumcode]],".",Tabelle132[[#This Row],[Code]])</f>
        <v>E6.SD15</v>
      </c>
      <c r="Q289" s="28" t="s">
        <v>79</v>
      </c>
    </row>
    <row r="290" spans="2:17" x14ac:dyDescent="0.25">
      <c r="B290" s="27" t="s">
        <v>1613</v>
      </c>
      <c r="C290" s="36">
        <v>1</v>
      </c>
      <c r="D290" t="s">
        <v>108</v>
      </c>
      <c r="E290" s="36">
        <v>6</v>
      </c>
      <c r="F290" t="s">
        <v>23</v>
      </c>
      <c r="G290" s="66" t="s">
        <v>1787</v>
      </c>
      <c r="H290" t="s">
        <v>1797</v>
      </c>
      <c r="I290" t="s">
        <v>46</v>
      </c>
      <c r="J290" t="s">
        <v>48</v>
      </c>
      <c r="K290" t="s">
        <v>6</v>
      </c>
      <c r="L290" t="s">
        <v>1623</v>
      </c>
      <c r="M290" t="s">
        <v>1634</v>
      </c>
      <c r="N290" t="s">
        <v>1730</v>
      </c>
      <c r="O290" t="str">
        <f>CONCATENATE(Tabelle132[[#This Row],[Raumcode]],".",Tabelle132[[#This Row],[Code]])</f>
        <v>E6.SD16</v>
      </c>
      <c r="Q290" s="28" t="s">
        <v>79</v>
      </c>
    </row>
    <row r="291" spans="2:17" x14ac:dyDescent="0.25">
      <c r="B291" s="27" t="s">
        <v>1613</v>
      </c>
      <c r="C291" s="36">
        <v>1</v>
      </c>
      <c r="D291" t="s">
        <v>108</v>
      </c>
      <c r="E291" s="36">
        <v>6</v>
      </c>
      <c r="F291" t="s">
        <v>23</v>
      </c>
      <c r="G291" s="66" t="s">
        <v>1787</v>
      </c>
      <c r="H291" t="s">
        <v>1798</v>
      </c>
      <c r="I291" t="s">
        <v>46</v>
      </c>
      <c r="J291" t="s">
        <v>47</v>
      </c>
      <c r="K291" t="s">
        <v>6</v>
      </c>
      <c r="L291" t="s">
        <v>1623</v>
      </c>
      <c r="M291" t="s">
        <v>1629</v>
      </c>
      <c r="N291" t="s">
        <v>1731</v>
      </c>
      <c r="O291" t="str">
        <f>CONCATENATE(Tabelle132[[#This Row],[Raumcode]],".",Tabelle132[[#This Row],[Code]])</f>
        <v>E6.SD17</v>
      </c>
      <c r="Q291" s="28" t="s">
        <v>79</v>
      </c>
    </row>
    <row r="292" spans="2:17" x14ac:dyDescent="0.25">
      <c r="B292" s="27" t="s">
        <v>1613</v>
      </c>
      <c r="C292" s="36">
        <v>1</v>
      </c>
      <c r="D292" t="s">
        <v>108</v>
      </c>
      <c r="E292" s="36">
        <v>6</v>
      </c>
      <c r="F292" t="s">
        <v>23</v>
      </c>
      <c r="G292" s="66" t="s">
        <v>1787</v>
      </c>
      <c r="H292" t="s">
        <v>1799</v>
      </c>
      <c r="I292" t="s">
        <v>46</v>
      </c>
      <c r="J292" t="s">
        <v>47</v>
      </c>
      <c r="K292" t="s">
        <v>6</v>
      </c>
      <c r="L292" t="s">
        <v>1623</v>
      </c>
      <c r="M292" t="s">
        <v>1629</v>
      </c>
      <c r="N292" t="s">
        <v>1734</v>
      </c>
      <c r="O292" t="str">
        <f>CONCATENATE(Tabelle132[[#This Row],[Raumcode]],".",Tabelle132[[#This Row],[Code]])</f>
        <v>E6.SD18</v>
      </c>
      <c r="Q292" s="28" t="s">
        <v>83</v>
      </c>
    </row>
    <row r="293" spans="2:17" x14ac:dyDescent="0.25">
      <c r="B293" s="27" t="s">
        <v>1613</v>
      </c>
      <c r="C293" s="36">
        <v>1</v>
      </c>
      <c r="D293" t="s">
        <v>108</v>
      </c>
      <c r="E293" s="36">
        <v>6</v>
      </c>
      <c r="F293" t="s">
        <v>23</v>
      </c>
      <c r="G293" s="66" t="s">
        <v>1787</v>
      </c>
      <c r="H293" t="s">
        <v>1800</v>
      </c>
      <c r="I293" t="s">
        <v>46</v>
      </c>
      <c r="J293" t="s">
        <v>1615</v>
      </c>
      <c r="K293" t="s">
        <v>1615</v>
      </c>
      <c r="L293" t="s">
        <v>1615</v>
      </c>
      <c r="N293" t="s">
        <v>1650</v>
      </c>
      <c r="O293" t="str">
        <f>CONCATENATE(Tabelle132[[#This Row],[Raumcode]],".",Tabelle132[[#This Row],[Code]])</f>
        <v>E6.HD1</v>
      </c>
      <c r="Q293" s="28" t="s">
        <v>83</v>
      </c>
    </row>
    <row r="294" spans="2:17" x14ac:dyDescent="0.25">
      <c r="B294" s="27" t="s">
        <v>1613</v>
      </c>
      <c r="C294" s="36">
        <v>1</v>
      </c>
      <c r="D294" t="s">
        <v>108</v>
      </c>
      <c r="E294" s="36">
        <v>6</v>
      </c>
      <c r="F294" t="s">
        <v>23</v>
      </c>
      <c r="G294" s="66" t="s">
        <v>1787</v>
      </c>
      <c r="H294" t="s">
        <v>1802</v>
      </c>
      <c r="I294" t="s">
        <v>46</v>
      </c>
      <c r="J294" t="s">
        <v>1679</v>
      </c>
      <c r="K294" t="s">
        <v>104</v>
      </c>
      <c r="L294" t="s">
        <v>1626</v>
      </c>
      <c r="M294" t="s">
        <v>1633</v>
      </c>
      <c r="N294" t="s">
        <v>1743</v>
      </c>
      <c r="O294" t="str">
        <f>CONCATENATE(Tabelle132[[#This Row],[Raumcode]],".",Tabelle132[[#This Row],[Code]])</f>
        <v>E6.ND2</v>
      </c>
      <c r="Q294" s="28" t="s">
        <v>83</v>
      </c>
    </row>
    <row r="295" spans="2:17" x14ac:dyDescent="0.25">
      <c r="B295" s="27" t="s">
        <v>1613</v>
      </c>
      <c r="C295" s="36">
        <v>1</v>
      </c>
      <c r="D295" t="s">
        <v>108</v>
      </c>
      <c r="E295" s="36">
        <v>6</v>
      </c>
      <c r="F295" t="s">
        <v>23</v>
      </c>
      <c r="G295" s="66" t="s">
        <v>1787</v>
      </c>
      <c r="H295" t="s">
        <v>1652</v>
      </c>
      <c r="I295" t="s">
        <v>255</v>
      </c>
      <c r="J295" t="s">
        <v>1657</v>
      </c>
      <c r="K295" t="s">
        <v>13</v>
      </c>
      <c r="L295" t="s">
        <v>1640</v>
      </c>
      <c r="M295" t="s">
        <v>1632</v>
      </c>
      <c r="N295" t="s">
        <v>1651</v>
      </c>
      <c r="O295" t="str">
        <f>CONCATENATE(Tabelle132[[#This Row],[Raumcode]],".",Tabelle132[[#This Row],[Code]])</f>
        <v>E6.DA1</v>
      </c>
      <c r="Q295" s="28"/>
    </row>
    <row r="296" spans="2:17" x14ac:dyDescent="0.25">
      <c r="B296" s="27" t="s">
        <v>1613</v>
      </c>
      <c r="C296" s="36">
        <v>1</v>
      </c>
      <c r="D296" t="s">
        <v>108</v>
      </c>
      <c r="E296" s="36">
        <v>6</v>
      </c>
      <c r="F296" t="s">
        <v>23</v>
      </c>
      <c r="G296" s="66" t="s">
        <v>1787</v>
      </c>
      <c r="H296" t="s">
        <v>1758</v>
      </c>
      <c r="I296" t="s">
        <v>255</v>
      </c>
      <c r="J296" t="s">
        <v>1656</v>
      </c>
      <c r="K296" t="s">
        <v>13</v>
      </c>
      <c r="L296" t="s">
        <v>1640</v>
      </c>
      <c r="M296" t="s">
        <v>1632</v>
      </c>
      <c r="N296" t="s">
        <v>1658</v>
      </c>
      <c r="O296" t="str">
        <f>CONCATENATE(Tabelle132[[#This Row],[Raumcode]],".",Tabelle132[[#This Row],[Code]])</f>
        <v>E6.DA2</v>
      </c>
      <c r="Q296" s="28"/>
    </row>
    <row r="297" spans="2:17" x14ac:dyDescent="0.25">
      <c r="B297" s="27" t="s">
        <v>1613</v>
      </c>
      <c r="C297" s="36">
        <v>1</v>
      </c>
      <c r="D297" t="s">
        <v>108</v>
      </c>
      <c r="E297" s="36">
        <v>6</v>
      </c>
      <c r="F297" t="s">
        <v>23</v>
      </c>
      <c r="G297" s="66" t="s">
        <v>1787</v>
      </c>
      <c r="H297" t="s">
        <v>1805</v>
      </c>
      <c r="I297" t="s">
        <v>255</v>
      </c>
      <c r="J297" t="s">
        <v>1656</v>
      </c>
      <c r="K297" t="s">
        <v>13</v>
      </c>
      <c r="L297" t="s">
        <v>1640</v>
      </c>
      <c r="M297" t="s">
        <v>1632</v>
      </c>
      <c r="N297" t="s">
        <v>1665</v>
      </c>
      <c r="O297" t="str">
        <f>CONCATENATE(Tabelle132[[#This Row],[Raumcode]],".",Tabelle132[[#This Row],[Code]])</f>
        <v>E6.DA3</v>
      </c>
      <c r="Q297" s="28"/>
    </row>
    <row r="298" spans="2:17" x14ac:dyDescent="0.25">
      <c r="B298" s="27" t="s">
        <v>1613</v>
      </c>
      <c r="C298" s="36">
        <v>1</v>
      </c>
      <c r="D298" t="s">
        <v>108</v>
      </c>
      <c r="E298" s="36">
        <v>6</v>
      </c>
      <c r="F298" t="s">
        <v>23</v>
      </c>
      <c r="G298" s="66" t="s">
        <v>1787</v>
      </c>
      <c r="H298" t="s">
        <v>1806</v>
      </c>
      <c r="I298" t="s">
        <v>255</v>
      </c>
      <c r="J298" t="s">
        <v>1656</v>
      </c>
      <c r="K298" t="s">
        <v>13</v>
      </c>
      <c r="L298" t="s">
        <v>1640</v>
      </c>
      <c r="M298" t="s">
        <v>1632</v>
      </c>
      <c r="N298" t="s">
        <v>1667</v>
      </c>
      <c r="O298" t="str">
        <f>CONCATENATE(Tabelle132[[#This Row],[Raumcode]],".",Tabelle132[[#This Row],[Code]])</f>
        <v>E6.DA4</v>
      </c>
      <c r="Q298" s="28"/>
    </row>
    <row r="299" spans="2:17" x14ac:dyDescent="0.25">
      <c r="B299" s="27" t="s">
        <v>116</v>
      </c>
      <c r="C299" s="36">
        <v>2</v>
      </c>
      <c r="D299" t="s">
        <v>126</v>
      </c>
      <c r="E299" s="36">
        <v>7</v>
      </c>
      <c r="F299" t="s">
        <v>1861</v>
      </c>
      <c r="G299" s="66" t="s">
        <v>1862</v>
      </c>
      <c r="H299" t="s">
        <v>1759</v>
      </c>
      <c r="I299" t="s">
        <v>1676</v>
      </c>
      <c r="K299" t="s">
        <v>14</v>
      </c>
      <c r="L299" t="s">
        <v>1639</v>
      </c>
      <c r="M299" t="s">
        <v>1649</v>
      </c>
      <c r="N299" t="s">
        <v>1678</v>
      </c>
      <c r="O299" t="str">
        <f>CONCATENATE(Tabelle132[[#This Row],[Raumcode]],".",Tabelle132[[#This Row],[Code]])</f>
        <v>O7.DL1</v>
      </c>
      <c r="Q299" s="28" t="s">
        <v>83</v>
      </c>
    </row>
    <row r="300" spans="2:17" x14ac:dyDescent="0.25">
      <c r="B300" s="27" t="s">
        <v>116</v>
      </c>
      <c r="C300" s="36">
        <v>2</v>
      </c>
      <c r="D300" t="s">
        <v>126</v>
      </c>
      <c r="E300" s="36">
        <v>7</v>
      </c>
      <c r="F300" t="s">
        <v>1861</v>
      </c>
      <c r="G300" s="66" t="s">
        <v>1862</v>
      </c>
      <c r="H300" t="s">
        <v>1760</v>
      </c>
      <c r="I300" t="s">
        <v>1676</v>
      </c>
      <c r="K300" t="s">
        <v>14</v>
      </c>
      <c r="L300" t="s">
        <v>1639</v>
      </c>
      <c r="M300" t="s">
        <v>1649</v>
      </c>
      <c r="N300" t="s">
        <v>1746</v>
      </c>
      <c r="O300" t="str">
        <f>CONCATENATE(Tabelle132[[#This Row],[Raumcode]],".",Tabelle132[[#This Row],[Code]])</f>
        <v>O7.DL2</v>
      </c>
      <c r="Q300" s="28" t="s">
        <v>83</v>
      </c>
    </row>
    <row r="301" spans="2:17" x14ac:dyDescent="0.25">
      <c r="B301" s="27" t="s">
        <v>116</v>
      </c>
      <c r="C301" s="36">
        <v>2</v>
      </c>
      <c r="D301" t="s">
        <v>126</v>
      </c>
      <c r="E301" s="36">
        <v>7</v>
      </c>
      <c r="F301" t="s">
        <v>1861</v>
      </c>
      <c r="G301" s="66" t="s">
        <v>1862</v>
      </c>
      <c r="H301" t="s">
        <v>1740</v>
      </c>
      <c r="I301" t="s">
        <v>17</v>
      </c>
      <c r="J301" t="s">
        <v>1614</v>
      </c>
      <c r="K301" t="s">
        <v>9</v>
      </c>
      <c r="L301" t="s">
        <v>1640</v>
      </c>
      <c r="M301" t="s">
        <v>1555</v>
      </c>
      <c r="N301" t="s">
        <v>1621</v>
      </c>
      <c r="O301" t="str">
        <f>CONCATENATE(Tabelle132[[#This Row],[Raumcode]],".",Tabelle132[[#This Row],[Code]])</f>
        <v>O7.BL1</v>
      </c>
      <c r="Q301" s="28" t="s">
        <v>83</v>
      </c>
    </row>
    <row r="302" spans="2:17" x14ac:dyDescent="0.25">
      <c r="B302" s="27" t="s">
        <v>116</v>
      </c>
      <c r="C302" s="36">
        <v>2</v>
      </c>
      <c r="D302" t="s">
        <v>126</v>
      </c>
      <c r="E302" s="36">
        <v>7</v>
      </c>
      <c r="F302" t="s">
        <v>1861</v>
      </c>
      <c r="G302" s="66" t="s">
        <v>1862</v>
      </c>
      <c r="H302" t="s">
        <v>1865</v>
      </c>
      <c r="I302" t="s">
        <v>17</v>
      </c>
      <c r="J302" t="s">
        <v>18</v>
      </c>
      <c r="K302" t="s">
        <v>9</v>
      </c>
      <c r="L302" t="s">
        <v>1640</v>
      </c>
      <c r="M302" t="s">
        <v>1555</v>
      </c>
      <c r="N302" t="s">
        <v>1643</v>
      </c>
      <c r="O302" t="str">
        <f>CONCATENATE(Tabelle132[[#This Row],[Raumcode]],".",Tabelle132[[#This Row],[Code]])</f>
        <v>O7.BL2</v>
      </c>
      <c r="Q302" s="28" t="s">
        <v>83</v>
      </c>
    </row>
    <row r="303" spans="2:17" x14ac:dyDescent="0.25">
      <c r="B303" s="27" t="s">
        <v>116</v>
      </c>
      <c r="C303" s="36">
        <v>2</v>
      </c>
      <c r="D303" t="s">
        <v>126</v>
      </c>
      <c r="E303" s="36">
        <v>7</v>
      </c>
      <c r="F303" t="s">
        <v>1861</v>
      </c>
      <c r="G303" s="66" t="s">
        <v>1862</v>
      </c>
      <c r="H303" t="s">
        <v>1866</v>
      </c>
      <c r="I303" t="s">
        <v>17</v>
      </c>
      <c r="J303" t="s">
        <v>18</v>
      </c>
      <c r="K303" t="s">
        <v>9</v>
      </c>
      <c r="L303" t="s">
        <v>1640</v>
      </c>
      <c r="M303" t="s">
        <v>1555</v>
      </c>
      <c r="N303" t="s">
        <v>1644</v>
      </c>
      <c r="O303" t="str">
        <f>CONCATENATE(Tabelle132[[#This Row],[Raumcode]],".",Tabelle132[[#This Row],[Code]])</f>
        <v>O7.BL3</v>
      </c>
      <c r="Q303" s="28" t="s">
        <v>77</v>
      </c>
    </row>
    <row r="304" spans="2:17" x14ac:dyDescent="0.25">
      <c r="B304" s="27" t="s">
        <v>116</v>
      </c>
      <c r="C304" s="36">
        <v>2</v>
      </c>
      <c r="D304" t="s">
        <v>126</v>
      </c>
      <c r="E304" s="36">
        <v>7</v>
      </c>
      <c r="F304" t="s">
        <v>1861</v>
      </c>
      <c r="G304" s="66" t="s">
        <v>1862</v>
      </c>
      <c r="H304" t="s">
        <v>1793</v>
      </c>
      <c r="I304" t="s">
        <v>21</v>
      </c>
      <c r="J304" t="s">
        <v>87</v>
      </c>
      <c r="K304" t="s">
        <v>7</v>
      </c>
      <c r="L304" t="s">
        <v>1623</v>
      </c>
      <c r="M304" t="s">
        <v>1630</v>
      </c>
      <c r="N304" t="s">
        <v>1690</v>
      </c>
      <c r="O304" t="str">
        <f>CONCATENATE(Tabelle132[[#This Row],[Raumcode]],".",Tabelle132[[#This Row],[Code]])</f>
        <v>O7.R1</v>
      </c>
      <c r="Q304" s="28" t="s">
        <v>76</v>
      </c>
    </row>
    <row r="305" spans="2:17" x14ac:dyDescent="0.25">
      <c r="B305" s="27" t="s">
        <v>116</v>
      </c>
      <c r="C305" s="36">
        <v>2</v>
      </c>
      <c r="D305" t="s">
        <v>126</v>
      </c>
      <c r="E305" s="36">
        <v>7</v>
      </c>
      <c r="F305" t="s">
        <v>1861</v>
      </c>
      <c r="G305" s="66" t="s">
        <v>1862</v>
      </c>
      <c r="H305" t="s">
        <v>1762</v>
      </c>
      <c r="I305" t="s">
        <v>21</v>
      </c>
      <c r="J305" t="s">
        <v>87</v>
      </c>
      <c r="K305" t="s">
        <v>7</v>
      </c>
      <c r="L305" t="s">
        <v>1623</v>
      </c>
      <c r="M305" t="s">
        <v>1630</v>
      </c>
      <c r="N305" t="s">
        <v>1690</v>
      </c>
      <c r="O305" t="str">
        <f>CONCATENATE(Tabelle132[[#This Row],[Raumcode]],".",Tabelle132[[#This Row],[Code]])</f>
        <v>O7.R1</v>
      </c>
      <c r="Q305" s="28" t="s">
        <v>76</v>
      </c>
    </row>
    <row r="306" spans="2:17" x14ac:dyDescent="0.25">
      <c r="B306" s="27" t="s">
        <v>116</v>
      </c>
      <c r="C306" s="36">
        <v>2</v>
      </c>
      <c r="D306" t="s">
        <v>126</v>
      </c>
      <c r="E306" s="36">
        <v>7</v>
      </c>
      <c r="F306" t="s">
        <v>1861</v>
      </c>
      <c r="G306" s="66" t="s">
        <v>1862</v>
      </c>
      <c r="H306" t="s">
        <v>1863</v>
      </c>
      <c r="I306" t="s">
        <v>29</v>
      </c>
      <c r="J306" t="s">
        <v>35</v>
      </c>
      <c r="K306" t="s">
        <v>10</v>
      </c>
      <c r="L306" t="s">
        <v>10</v>
      </c>
      <c r="M306" t="s">
        <v>1638</v>
      </c>
      <c r="N306" t="s">
        <v>109</v>
      </c>
      <c r="O306" t="str">
        <f>CONCATENATE(Tabelle132[[#This Row],[Raumcode]],".",Tabelle132[[#This Row],[Code]])</f>
        <v>O7.TS1</v>
      </c>
      <c r="Q306" s="28" t="s">
        <v>77</v>
      </c>
    </row>
    <row r="307" spans="2:17" x14ac:dyDescent="0.25">
      <c r="B307" s="27" t="s">
        <v>116</v>
      </c>
      <c r="C307" s="36">
        <v>2</v>
      </c>
      <c r="D307" t="s">
        <v>126</v>
      </c>
      <c r="E307" s="36">
        <v>7</v>
      </c>
      <c r="F307" t="s">
        <v>1861</v>
      </c>
      <c r="G307" s="66" t="s">
        <v>1862</v>
      </c>
      <c r="H307" t="s">
        <v>1864</v>
      </c>
      <c r="I307" t="s">
        <v>29</v>
      </c>
      <c r="J307" t="s">
        <v>37</v>
      </c>
      <c r="K307" t="s">
        <v>10</v>
      </c>
      <c r="L307" t="s">
        <v>10</v>
      </c>
      <c r="M307" t="s">
        <v>1638</v>
      </c>
      <c r="N307" t="s">
        <v>1768</v>
      </c>
      <c r="O307" t="str">
        <f>CONCATENATE(Tabelle132[[#This Row],[Raumcode]],".",Tabelle132[[#This Row],[Code]])</f>
        <v>O7.TS2</v>
      </c>
      <c r="Q307" s="28" t="s">
        <v>77</v>
      </c>
    </row>
    <row r="308" spans="2:17" x14ac:dyDescent="0.25">
      <c r="B308" s="27" t="s">
        <v>116</v>
      </c>
      <c r="C308" s="36">
        <v>2</v>
      </c>
      <c r="D308" t="s">
        <v>126</v>
      </c>
      <c r="E308" s="36">
        <v>7</v>
      </c>
      <c r="F308" t="s">
        <v>1861</v>
      </c>
      <c r="G308" s="66" t="s">
        <v>1862</v>
      </c>
      <c r="H308" t="s">
        <v>33</v>
      </c>
      <c r="I308" t="s">
        <v>29</v>
      </c>
      <c r="J308" t="s">
        <v>33</v>
      </c>
      <c r="K308" t="s">
        <v>10</v>
      </c>
      <c r="L308" t="s">
        <v>10</v>
      </c>
      <c r="M308" t="s">
        <v>1629</v>
      </c>
      <c r="N308" t="s">
        <v>89</v>
      </c>
      <c r="O308" t="str">
        <f>CONCATENATE(Tabelle132[[#This Row],[Raumcode]],".",Tabelle132[[#This Row],[Code]])</f>
        <v>O7.BM1</v>
      </c>
      <c r="Q308" s="28" t="s">
        <v>79</v>
      </c>
    </row>
    <row r="309" spans="2:17" x14ac:dyDescent="0.25">
      <c r="B309" s="27" t="s">
        <v>116</v>
      </c>
      <c r="C309" s="36">
        <v>2</v>
      </c>
      <c r="D309" t="s">
        <v>126</v>
      </c>
      <c r="E309" s="36">
        <v>7</v>
      </c>
      <c r="F309" t="s">
        <v>1861</v>
      </c>
      <c r="G309" s="66" t="s">
        <v>1862</v>
      </c>
      <c r="H309" t="s">
        <v>1795</v>
      </c>
      <c r="I309" t="s">
        <v>29</v>
      </c>
      <c r="J309" t="s">
        <v>1618</v>
      </c>
      <c r="K309" t="s">
        <v>14</v>
      </c>
      <c r="L309" t="s">
        <v>1641</v>
      </c>
      <c r="M309" t="s">
        <v>1692</v>
      </c>
      <c r="N309" t="s">
        <v>1693</v>
      </c>
      <c r="O309" t="str">
        <f>CONCATENATE(Tabelle132[[#This Row],[Raumcode]],".",Tabelle132[[#This Row],[Code]])</f>
        <v>O7.FK1</v>
      </c>
      <c r="Q309" s="28" t="s">
        <v>76</v>
      </c>
    </row>
    <row r="310" spans="2:17" x14ac:dyDescent="0.25">
      <c r="B310" s="27" t="s">
        <v>116</v>
      </c>
      <c r="C310" s="36">
        <v>2</v>
      </c>
      <c r="D310" t="s">
        <v>126</v>
      </c>
      <c r="E310" s="36">
        <v>7</v>
      </c>
      <c r="F310" t="s">
        <v>1861</v>
      </c>
      <c r="G310" s="66" t="s">
        <v>1862</v>
      </c>
      <c r="H310" t="s">
        <v>1776</v>
      </c>
      <c r="I310" t="s">
        <v>29</v>
      </c>
      <c r="J310" t="s">
        <v>1618</v>
      </c>
      <c r="K310" t="s">
        <v>14</v>
      </c>
      <c r="L310" t="s">
        <v>1641</v>
      </c>
      <c r="M310" t="s">
        <v>1692</v>
      </c>
      <c r="N310" t="s">
        <v>1693</v>
      </c>
      <c r="O310" t="str">
        <f>CONCATENATE(Tabelle132[[#This Row],[Raumcode]],".",Tabelle132[[#This Row],[Code]])</f>
        <v>O7.FK1</v>
      </c>
      <c r="Q310" s="28" t="s">
        <v>76</v>
      </c>
    </row>
    <row r="311" spans="2:17" x14ac:dyDescent="0.25">
      <c r="B311" s="27" t="s">
        <v>116</v>
      </c>
      <c r="C311" s="36">
        <v>2</v>
      </c>
      <c r="D311" t="s">
        <v>126</v>
      </c>
      <c r="E311" s="36">
        <v>7</v>
      </c>
      <c r="F311" t="s">
        <v>1861</v>
      </c>
      <c r="G311" s="66" t="s">
        <v>1862</v>
      </c>
      <c r="H311" t="s">
        <v>40</v>
      </c>
      <c r="I311" t="s">
        <v>29</v>
      </c>
      <c r="J311" t="s">
        <v>33</v>
      </c>
      <c r="K311" t="s">
        <v>10</v>
      </c>
      <c r="L311" t="s">
        <v>10</v>
      </c>
      <c r="M311" t="s">
        <v>1638</v>
      </c>
      <c r="N311" t="s">
        <v>103</v>
      </c>
      <c r="O311" t="str">
        <f>CONCATENATE(Tabelle132[[#This Row],[Raumcode]],".",Tabelle132[[#This Row],[Code]])</f>
        <v>O7.PM1</v>
      </c>
      <c r="Q311" s="28" t="s">
        <v>83</v>
      </c>
    </row>
    <row r="312" spans="2:17" x14ac:dyDescent="0.25">
      <c r="B312" s="27" t="s">
        <v>116</v>
      </c>
      <c r="C312" s="36">
        <v>2</v>
      </c>
      <c r="D312" t="s">
        <v>126</v>
      </c>
      <c r="E312" s="36">
        <v>7</v>
      </c>
      <c r="F312" t="s">
        <v>1861</v>
      </c>
      <c r="G312" s="66" t="s">
        <v>1862</v>
      </c>
      <c r="H312" t="s">
        <v>1704</v>
      </c>
      <c r="I312" t="s">
        <v>46</v>
      </c>
      <c r="J312" t="s">
        <v>48</v>
      </c>
      <c r="K312" t="s">
        <v>6</v>
      </c>
      <c r="L312" t="s">
        <v>1623</v>
      </c>
      <c r="M312" t="s">
        <v>1634</v>
      </c>
      <c r="N312" t="s">
        <v>1620</v>
      </c>
      <c r="O312" t="str">
        <f>CONCATENATE(Tabelle132[[#This Row],[Raumcode]],".",Tabelle132[[#This Row],[Code]])</f>
        <v>O7.SD1</v>
      </c>
      <c r="Q312" s="28" t="s">
        <v>79</v>
      </c>
    </row>
    <row r="313" spans="2:17" x14ac:dyDescent="0.25">
      <c r="B313" s="27" t="s">
        <v>116</v>
      </c>
      <c r="C313" s="36">
        <v>2</v>
      </c>
      <c r="D313" t="s">
        <v>126</v>
      </c>
      <c r="E313" s="36">
        <v>7</v>
      </c>
      <c r="F313" t="s">
        <v>1861</v>
      </c>
      <c r="G313" s="66" t="s">
        <v>1862</v>
      </c>
      <c r="H313" t="s">
        <v>1705</v>
      </c>
      <c r="I313" t="s">
        <v>46</v>
      </c>
      <c r="J313" t="s">
        <v>48</v>
      </c>
      <c r="K313" t="s">
        <v>6</v>
      </c>
      <c r="L313" t="s">
        <v>1623</v>
      </c>
      <c r="M313" t="s">
        <v>1634</v>
      </c>
      <c r="N313" t="s">
        <v>1668</v>
      </c>
      <c r="O313" t="str">
        <f>CONCATENATE(Tabelle132[[#This Row],[Raumcode]],".",Tabelle132[[#This Row],[Code]])</f>
        <v>O7.SD2</v>
      </c>
      <c r="Q313" s="28" t="s">
        <v>79</v>
      </c>
    </row>
    <row r="314" spans="2:17" x14ac:dyDescent="0.25">
      <c r="B314" s="27" t="s">
        <v>116</v>
      </c>
      <c r="C314" s="36">
        <v>2</v>
      </c>
      <c r="D314" t="s">
        <v>126</v>
      </c>
      <c r="E314" s="36">
        <v>7</v>
      </c>
      <c r="F314" t="s">
        <v>1861</v>
      </c>
      <c r="G314" s="66" t="s">
        <v>1862</v>
      </c>
      <c r="H314" t="s">
        <v>1706</v>
      </c>
      <c r="I314" t="s">
        <v>46</v>
      </c>
      <c r="J314" t="s">
        <v>48</v>
      </c>
      <c r="K314" t="s">
        <v>6</v>
      </c>
      <c r="L314" t="s">
        <v>1623</v>
      </c>
      <c r="M314" t="s">
        <v>1634</v>
      </c>
      <c r="N314" t="s">
        <v>1669</v>
      </c>
      <c r="O314" t="str">
        <f>CONCATENATE(Tabelle132[[#This Row],[Raumcode]],".",Tabelle132[[#This Row],[Code]])</f>
        <v>O7.SD3</v>
      </c>
      <c r="Q314" s="28" t="s">
        <v>79</v>
      </c>
    </row>
    <row r="315" spans="2:17" x14ac:dyDescent="0.25">
      <c r="B315" s="27" t="s">
        <v>116</v>
      </c>
      <c r="C315" s="36">
        <v>2</v>
      </c>
      <c r="D315" t="s">
        <v>126</v>
      </c>
      <c r="E315" s="36">
        <v>7</v>
      </c>
      <c r="F315" t="s">
        <v>1861</v>
      </c>
      <c r="G315" s="66" t="s">
        <v>1862</v>
      </c>
      <c r="H315" t="s">
        <v>1707</v>
      </c>
      <c r="I315" t="s">
        <v>46</v>
      </c>
      <c r="J315" t="s">
        <v>48</v>
      </c>
      <c r="K315" t="s">
        <v>6</v>
      </c>
      <c r="L315" t="s">
        <v>1623</v>
      </c>
      <c r="M315" t="s">
        <v>1634</v>
      </c>
      <c r="N315" t="s">
        <v>1670</v>
      </c>
      <c r="O315" t="str">
        <f>CONCATENATE(Tabelle132[[#This Row],[Raumcode]],".",Tabelle132[[#This Row],[Code]])</f>
        <v>O7.SD4</v>
      </c>
      <c r="Q315" s="28" t="s">
        <v>79</v>
      </c>
    </row>
    <row r="316" spans="2:17" x14ac:dyDescent="0.25">
      <c r="B316" s="27" t="s">
        <v>116</v>
      </c>
      <c r="C316" s="36">
        <v>2</v>
      </c>
      <c r="D316" t="s">
        <v>126</v>
      </c>
      <c r="E316" s="36">
        <v>7</v>
      </c>
      <c r="F316" t="s">
        <v>1861</v>
      </c>
      <c r="G316" s="66" t="s">
        <v>1862</v>
      </c>
      <c r="H316" t="s">
        <v>1792</v>
      </c>
      <c r="I316" t="s">
        <v>46</v>
      </c>
      <c r="J316" t="s">
        <v>47</v>
      </c>
      <c r="K316" t="s">
        <v>6</v>
      </c>
      <c r="L316" t="s">
        <v>1623</v>
      </c>
      <c r="M316" t="s">
        <v>1629</v>
      </c>
      <c r="N316" t="s">
        <v>1671</v>
      </c>
      <c r="O316" t="str">
        <f>CONCATENATE(Tabelle132[[#This Row],[Raumcode]],".",Tabelle132[[#This Row],[Code]])</f>
        <v>O7.SD5</v>
      </c>
      <c r="Q316" s="28" t="s">
        <v>76</v>
      </c>
    </row>
    <row r="317" spans="2:17" x14ac:dyDescent="0.25">
      <c r="B317" s="27" t="s">
        <v>116</v>
      </c>
      <c r="C317" s="36">
        <v>2</v>
      </c>
      <c r="D317" t="s">
        <v>126</v>
      </c>
      <c r="E317" s="36">
        <v>7</v>
      </c>
      <c r="F317" t="s">
        <v>1861</v>
      </c>
      <c r="G317" s="66" t="s">
        <v>1862</v>
      </c>
      <c r="H317" t="s">
        <v>1775</v>
      </c>
      <c r="I317" t="s">
        <v>46</v>
      </c>
      <c r="J317" t="s">
        <v>47</v>
      </c>
      <c r="K317" t="s">
        <v>6</v>
      </c>
      <c r="L317" t="s">
        <v>1623</v>
      </c>
      <c r="M317" t="s">
        <v>1629</v>
      </c>
      <c r="N317" t="s">
        <v>1671</v>
      </c>
      <c r="O317" t="str">
        <f>CONCATENATE(Tabelle132[[#This Row],[Raumcode]],".",Tabelle132[[#This Row],[Code]])</f>
        <v>O7.SD5</v>
      </c>
      <c r="Q317" s="28" t="s">
        <v>76</v>
      </c>
    </row>
    <row r="318" spans="2:17" x14ac:dyDescent="0.25">
      <c r="B318" s="27" t="s">
        <v>116</v>
      </c>
      <c r="C318" s="36">
        <v>2</v>
      </c>
      <c r="D318" t="s">
        <v>126</v>
      </c>
      <c r="E318" s="36">
        <v>7</v>
      </c>
      <c r="F318" t="s">
        <v>1861</v>
      </c>
      <c r="G318" s="66" t="s">
        <v>1862</v>
      </c>
      <c r="H318" t="s">
        <v>1716</v>
      </c>
      <c r="I318" t="s">
        <v>46</v>
      </c>
      <c r="J318" t="s">
        <v>48</v>
      </c>
      <c r="K318" t="s">
        <v>6</v>
      </c>
      <c r="L318" t="s">
        <v>1623</v>
      </c>
      <c r="M318" t="s">
        <v>1634</v>
      </c>
      <c r="N318" t="s">
        <v>1673</v>
      </c>
      <c r="O318" t="str">
        <f>CONCATENATE(Tabelle132[[#This Row],[Raumcode]],".",Tabelle132[[#This Row],[Code]])</f>
        <v>O7.SD6</v>
      </c>
      <c r="Q318" s="28" t="s">
        <v>79</v>
      </c>
    </row>
    <row r="319" spans="2:17" x14ac:dyDescent="0.25">
      <c r="B319" s="27" t="s">
        <v>116</v>
      </c>
      <c r="C319" s="36">
        <v>2</v>
      </c>
      <c r="D319" t="s">
        <v>126</v>
      </c>
      <c r="E319" s="36">
        <v>7</v>
      </c>
      <c r="F319" t="s">
        <v>1861</v>
      </c>
      <c r="G319" s="66" t="s">
        <v>1862</v>
      </c>
      <c r="H319" t="s">
        <v>1717</v>
      </c>
      <c r="I319" t="s">
        <v>46</v>
      </c>
      <c r="J319" t="s">
        <v>48</v>
      </c>
      <c r="K319" t="s">
        <v>6</v>
      </c>
      <c r="L319" t="s">
        <v>1623</v>
      </c>
      <c r="M319" t="s">
        <v>1634</v>
      </c>
      <c r="N319" t="s">
        <v>1721</v>
      </c>
      <c r="O319" t="str">
        <f>CONCATENATE(Tabelle132[[#This Row],[Raumcode]],".",Tabelle132[[#This Row],[Code]])</f>
        <v>O7.SD7</v>
      </c>
      <c r="Q319" s="28" t="s">
        <v>79</v>
      </c>
    </row>
    <row r="320" spans="2:17" x14ac:dyDescent="0.25">
      <c r="B320" s="27" t="s">
        <v>116</v>
      </c>
      <c r="C320" s="36">
        <v>2</v>
      </c>
      <c r="D320" t="s">
        <v>126</v>
      </c>
      <c r="E320" s="36">
        <v>7</v>
      </c>
      <c r="F320" t="s">
        <v>1861</v>
      </c>
      <c r="G320" s="66" t="s">
        <v>1862</v>
      </c>
      <c r="H320" t="s">
        <v>1718</v>
      </c>
      <c r="I320" t="s">
        <v>46</v>
      </c>
      <c r="J320" t="s">
        <v>48</v>
      </c>
      <c r="K320" t="s">
        <v>6</v>
      </c>
      <c r="L320" t="s">
        <v>1623</v>
      </c>
      <c r="M320" t="s">
        <v>1634</v>
      </c>
      <c r="N320" t="s">
        <v>1722</v>
      </c>
      <c r="O320" t="str">
        <f>CONCATENATE(Tabelle132[[#This Row],[Raumcode]],".",Tabelle132[[#This Row],[Code]])</f>
        <v>O7.SD8</v>
      </c>
      <c r="Q320" s="28" t="s">
        <v>79</v>
      </c>
    </row>
    <row r="321" spans="2:17" x14ac:dyDescent="0.25">
      <c r="B321" s="27" t="s">
        <v>116</v>
      </c>
      <c r="C321" s="36">
        <v>2</v>
      </c>
      <c r="D321" t="s">
        <v>126</v>
      </c>
      <c r="E321" s="36">
        <v>7</v>
      </c>
      <c r="F321" t="s">
        <v>1861</v>
      </c>
      <c r="G321" s="66" t="s">
        <v>1862</v>
      </c>
      <c r="H321" t="s">
        <v>1719</v>
      </c>
      <c r="I321" t="s">
        <v>46</v>
      </c>
      <c r="J321" t="s">
        <v>48</v>
      </c>
      <c r="K321" t="s">
        <v>6</v>
      </c>
      <c r="L321" t="s">
        <v>1623</v>
      </c>
      <c r="M321" t="s">
        <v>1634</v>
      </c>
      <c r="N321" t="s">
        <v>1723</v>
      </c>
      <c r="O321" t="str">
        <f>CONCATENATE(Tabelle132[[#This Row],[Raumcode]],".",Tabelle132[[#This Row],[Code]])</f>
        <v>O7.SD9</v>
      </c>
      <c r="Q321" s="28" t="s">
        <v>79</v>
      </c>
    </row>
    <row r="322" spans="2:17" x14ac:dyDescent="0.25">
      <c r="B322" s="27" t="s">
        <v>116</v>
      </c>
      <c r="C322" s="36">
        <v>2</v>
      </c>
      <c r="D322" t="s">
        <v>126</v>
      </c>
      <c r="E322" s="36">
        <v>7</v>
      </c>
      <c r="F322" t="s">
        <v>1861</v>
      </c>
      <c r="G322" s="66" t="s">
        <v>1862</v>
      </c>
      <c r="H322" t="s">
        <v>1744</v>
      </c>
      <c r="I322" t="s">
        <v>46</v>
      </c>
      <c r="J322" t="s">
        <v>1680</v>
      </c>
      <c r="K322" t="s">
        <v>104</v>
      </c>
      <c r="L322" t="s">
        <v>1626</v>
      </c>
      <c r="M322" t="s">
        <v>1633</v>
      </c>
      <c r="N322" t="s">
        <v>1681</v>
      </c>
      <c r="O322" t="str">
        <f>CONCATENATE(Tabelle132[[#This Row],[Raumcode]],".",Tabelle132[[#This Row],[Code]])</f>
        <v>O7.ND1</v>
      </c>
      <c r="Q322" s="28" t="s">
        <v>79</v>
      </c>
    </row>
    <row r="323" spans="2:17" x14ac:dyDescent="0.25">
      <c r="B323" s="27" t="s">
        <v>116</v>
      </c>
      <c r="C323" s="36">
        <v>2</v>
      </c>
      <c r="D323" t="s">
        <v>126</v>
      </c>
      <c r="E323" s="36">
        <v>7</v>
      </c>
      <c r="F323" t="s">
        <v>1861</v>
      </c>
      <c r="G323" s="66" t="s">
        <v>1862</v>
      </c>
      <c r="H323" t="s">
        <v>1652</v>
      </c>
      <c r="I323" t="s">
        <v>255</v>
      </c>
      <c r="J323" t="s">
        <v>1657</v>
      </c>
      <c r="K323" t="s">
        <v>13</v>
      </c>
      <c r="L323" t="s">
        <v>1640</v>
      </c>
      <c r="M323" t="s">
        <v>1632</v>
      </c>
      <c r="N323" t="s">
        <v>1651</v>
      </c>
      <c r="O323" t="str">
        <f>CONCATENATE(Tabelle132[[#This Row],[Raumcode]],".",Tabelle132[[#This Row],[Code]])</f>
        <v>O7.DA1</v>
      </c>
      <c r="Q323" s="28"/>
    </row>
    <row r="324" spans="2:17" x14ac:dyDescent="0.25">
      <c r="B324" s="27" t="s">
        <v>116</v>
      </c>
      <c r="C324" s="36">
        <v>2</v>
      </c>
      <c r="D324" t="s">
        <v>126</v>
      </c>
      <c r="E324" s="36">
        <v>7</v>
      </c>
      <c r="F324" t="s">
        <v>1861</v>
      </c>
      <c r="G324" s="66" t="s">
        <v>1862</v>
      </c>
      <c r="H324" t="s">
        <v>1867</v>
      </c>
      <c r="I324" t="s">
        <v>255</v>
      </c>
      <c r="J324" t="s">
        <v>1656</v>
      </c>
      <c r="K324" t="s">
        <v>13</v>
      </c>
      <c r="L324" t="s">
        <v>1640</v>
      </c>
      <c r="M324" t="s">
        <v>1632</v>
      </c>
      <c r="N324" t="s">
        <v>1658</v>
      </c>
      <c r="O324" t="str">
        <f>CONCATENATE(Tabelle132[[#This Row],[Raumcode]],".",Tabelle132[[#This Row],[Code]])</f>
        <v>O7.DA2</v>
      </c>
      <c r="Q324" s="28"/>
    </row>
    <row r="325" spans="2:17" x14ac:dyDescent="0.25">
      <c r="B325" s="27" t="s">
        <v>1613</v>
      </c>
      <c r="C325" s="36">
        <v>1</v>
      </c>
      <c r="D325" t="s">
        <v>112</v>
      </c>
      <c r="E325" s="36">
        <v>7</v>
      </c>
      <c r="F325" t="s">
        <v>1807</v>
      </c>
      <c r="G325" s="66" t="s">
        <v>1808</v>
      </c>
      <c r="H325" t="s">
        <v>1759</v>
      </c>
      <c r="I325" t="s">
        <v>1676</v>
      </c>
      <c r="K325" t="s">
        <v>14</v>
      </c>
      <c r="L325" t="s">
        <v>1639</v>
      </c>
      <c r="M325" t="s">
        <v>1649</v>
      </c>
      <c r="N325" t="s">
        <v>1678</v>
      </c>
      <c r="O325" t="str">
        <f>CONCATENATE(Tabelle132[[#This Row],[Raumcode]],".",Tabelle132[[#This Row],[Code]])</f>
        <v>E7.DL1</v>
      </c>
      <c r="Q325" s="28" t="s">
        <v>83</v>
      </c>
    </row>
    <row r="326" spans="2:17" x14ac:dyDescent="0.25">
      <c r="B326" s="27" t="s">
        <v>1613</v>
      </c>
      <c r="C326" s="36">
        <v>1</v>
      </c>
      <c r="D326" t="s">
        <v>112</v>
      </c>
      <c r="E326" s="36">
        <v>7</v>
      </c>
      <c r="F326" t="s">
        <v>1807</v>
      </c>
      <c r="G326" s="66" t="s">
        <v>1808</v>
      </c>
      <c r="H326" t="s">
        <v>94</v>
      </c>
      <c r="I326" t="s">
        <v>17</v>
      </c>
      <c r="J326" t="s">
        <v>1614</v>
      </c>
      <c r="K326" t="s">
        <v>9</v>
      </c>
      <c r="L326" t="s">
        <v>1640</v>
      </c>
      <c r="M326" t="s">
        <v>1555</v>
      </c>
      <c r="N326" t="s">
        <v>1621</v>
      </c>
      <c r="O326" t="str">
        <f>CONCATENATE(Tabelle132[[#This Row],[Raumcode]],".",Tabelle132[[#This Row],[Code]])</f>
        <v>E7.BL1</v>
      </c>
      <c r="Q326" s="28" t="s">
        <v>83</v>
      </c>
    </row>
    <row r="327" spans="2:17" x14ac:dyDescent="0.25">
      <c r="B327" s="27" t="s">
        <v>1613</v>
      </c>
      <c r="C327" s="36">
        <v>1</v>
      </c>
      <c r="D327" t="s">
        <v>112</v>
      </c>
      <c r="E327" s="36">
        <v>7</v>
      </c>
      <c r="F327" t="s">
        <v>1807</v>
      </c>
      <c r="G327" s="66" t="s">
        <v>1808</v>
      </c>
      <c r="H327" t="s">
        <v>95</v>
      </c>
      <c r="I327" t="s">
        <v>17</v>
      </c>
      <c r="J327" t="s">
        <v>1614</v>
      </c>
      <c r="K327" t="s">
        <v>9</v>
      </c>
      <c r="L327" t="s">
        <v>1640</v>
      </c>
      <c r="M327" t="s">
        <v>1555</v>
      </c>
      <c r="N327" t="s">
        <v>1643</v>
      </c>
      <c r="O327" t="str">
        <f>CONCATENATE(Tabelle132[[#This Row],[Raumcode]],".",Tabelle132[[#This Row],[Code]])</f>
        <v>E7.BL2</v>
      </c>
      <c r="Q327" s="28" t="s">
        <v>83</v>
      </c>
    </row>
    <row r="328" spans="2:17" x14ac:dyDescent="0.25">
      <c r="B328" s="27" t="s">
        <v>1613</v>
      </c>
      <c r="C328" s="36">
        <v>1</v>
      </c>
      <c r="D328" t="s">
        <v>112</v>
      </c>
      <c r="E328" s="36">
        <v>7</v>
      </c>
      <c r="F328" t="s">
        <v>1807</v>
      </c>
      <c r="G328" s="66" t="s">
        <v>1808</v>
      </c>
      <c r="H328" t="s">
        <v>96</v>
      </c>
      <c r="I328" t="s">
        <v>17</v>
      </c>
      <c r="J328" t="s">
        <v>1614</v>
      </c>
      <c r="K328" t="s">
        <v>9</v>
      </c>
      <c r="L328" t="s">
        <v>1640</v>
      </c>
      <c r="M328" t="s">
        <v>1555</v>
      </c>
      <c r="N328" t="s">
        <v>1644</v>
      </c>
      <c r="O328" t="str">
        <f>CONCATENATE(Tabelle132[[#This Row],[Raumcode]],".",Tabelle132[[#This Row],[Code]])</f>
        <v>E7.BL3</v>
      </c>
      <c r="Q328" s="28" t="s">
        <v>83</v>
      </c>
    </row>
    <row r="329" spans="2:17" x14ac:dyDescent="0.25">
      <c r="B329" s="27" t="s">
        <v>1613</v>
      </c>
      <c r="C329" s="36">
        <v>1</v>
      </c>
      <c r="D329" t="s">
        <v>112</v>
      </c>
      <c r="E329" s="36">
        <v>7</v>
      </c>
      <c r="F329" t="s">
        <v>1807</v>
      </c>
      <c r="G329" s="66" t="s">
        <v>1808</v>
      </c>
      <c r="H329" t="s">
        <v>97</v>
      </c>
      <c r="I329" t="s">
        <v>17</v>
      </c>
      <c r="J329" t="s">
        <v>1614</v>
      </c>
      <c r="K329" t="s">
        <v>9</v>
      </c>
      <c r="L329" t="s">
        <v>1640</v>
      </c>
      <c r="M329" t="s">
        <v>1555</v>
      </c>
      <c r="N329" t="s">
        <v>1645</v>
      </c>
      <c r="O329" t="str">
        <f>CONCATENATE(Tabelle132[[#This Row],[Raumcode]],".",Tabelle132[[#This Row],[Code]])</f>
        <v>E7.BL4</v>
      </c>
      <c r="Q329" s="28" t="s">
        <v>83</v>
      </c>
    </row>
    <row r="330" spans="2:17" x14ac:dyDescent="0.25">
      <c r="B330" s="27" t="s">
        <v>1613</v>
      </c>
      <c r="C330" s="36">
        <v>1</v>
      </c>
      <c r="D330" t="s">
        <v>112</v>
      </c>
      <c r="E330" s="36">
        <v>7</v>
      </c>
      <c r="F330" t="s">
        <v>1807</v>
      </c>
      <c r="G330" s="66" t="s">
        <v>1808</v>
      </c>
      <c r="H330" t="s">
        <v>1810</v>
      </c>
      <c r="I330" t="s">
        <v>17</v>
      </c>
      <c r="J330" t="s">
        <v>1614</v>
      </c>
      <c r="K330" t="s">
        <v>9</v>
      </c>
      <c r="L330" t="s">
        <v>1640</v>
      </c>
      <c r="M330" t="s">
        <v>1555</v>
      </c>
      <c r="N330" t="s">
        <v>1646</v>
      </c>
      <c r="O330" t="str">
        <f>CONCATENATE(Tabelle132[[#This Row],[Raumcode]],".",Tabelle132[[#This Row],[Code]])</f>
        <v>E7.BL5</v>
      </c>
      <c r="Q330" s="28" t="s">
        <v>76</v>
      </c>
    </row>
    <row r="331" spans="2:17" x14ac:dyDescent="0.25">
      <c r="B331" s="27" t="s">
        <v>1613</v>
      </c>
      <c r="C331" s="36">
        <v>1</v>
      </c>
      <c r="D331" t="s">
        <v>112</v>
      </c>
      <c r="E331" s="36">
        <v>7</v>
      </c>
      <c r="F331" t="s">
        <v>1807</v>
      </c>
      <c r="G331" s="66" t="s">
        <v>1808</v>
      </c>
      <c r="H331" t="s">
        <v>1762</v>
      </c>
      <c r="I331" t="s">
        <v>21</v>
      </c>
      <c r="J331" t="s">
        <v>1616</v>
      </c>
      <c r="K331" t="s">
        <v>7</v>
      </c>
      <c r="L331" t="s">
        <v>1623</v>
      </c>
      <c r="M331" t="s">
        <v>1630</v>
      </c>
      <c r="N331" t="s">
        <v>1690</v>
      </c>
      <c r="O331" t="str">
        <f>CONCATENATE(Tabelle132[[#This Row],[Raumcode]],".",Tabelle132[[#This Row],[Code]])</f>
        <v>E7.R1</v>
      </c>
      <c r="Q331" s="28" t="s">
        <v>76</v>
      </c>
    </row>
    <row r="332" spans="2:17" x14ac:dyDescent="0.25">
      <c r="B332" s="27" t="s">
        <v>1613</v>
      </c>
      <c r="C332" s="36">
        <v>1</v>
      </c>
      <c r="D332" t="s">
        <v>112</v>
      </c>
      <c r="E332" s="36">
        <v>7</v>
      </c>
      <c r="F332" t="s">
        <v>1807</v>
      </c>
      <c r="G332" s="66" t="s">
        <v>1808</v>
      </c>
      <c r="H332" t="s">
        <v>1776</v>
      </c>
      <c r="I332" t="s">
        <v>29</v>
      </c>
      <c r="J332" t="s">
        <v>1618</v>
      </c>
      <c r="K332" t="s">
        <v>14</v>
      </c>
      <c r="L332" t="s">
        <v>1641</v>
      </c>
      <c r="M332" t="s">
        <v>1692</v>
      </c>
      <c r="N332" t="s">
        <v>1693</v>
      </c>
      <c r="O332" t="str">
        <f>CONCATENATE(Tabelle132[[#This Row],[Raumcode]],".",Tabelle132[[#This Row],[Code]])</f>
        <v>E7.FK1</v>
      </c>
      <c r="Q332" s="28" t="s">
        <v>76</v>
      </c>
    </row>
    <row r="333" spans="2:17" x14ac:dyDescent="0.25">
      <c r="B333" s="27" t="s">
        <v>1613</v>
      </c>
      <c r="C333" s="36">
        <v>1</v>
      </c>
      <c r="D333" t="s">
        <v>112</v>
      </c>
      <c r="E333" s="36">
        <v>7</v>
      </c>
      <c r="F333" t="s">
        <v>1807</v>
      </c>
      <c r="G333" s="66" t="s">
        <v>1808</v>
      </c>
      <c r="H333" t="s">
        <v>33</v>
      </c>
      <c r="I333" t="s">
        <v>29</v>
      </c>
      <c r="J333" t="s">
        <v>33</v>
      </c>
      <c r="K333" t="s">
        <v>10</v>
      </c>
      <c r="L333" t="s">
        <v>10</v>
      </c>
      <c r="M333" t="s">
        <v>1638</v>
      </c>
      <c r="N333" t="s">
        <v>89</v>
      </c>
      <c r="O333" t="str">
        <f>CONCATENATE(Tabelle132[[#This Row],[Raumcode]],".",Tabelle132[[#This Row],[Code]])</f>
        <v>E7.BM1</v>
      </c>
      <c r="Q333" s="28" t="s">
        <v>83</v>
      </c>
    </row>
    <row r="334" spans="2:17" x14ac:dyDescent="0.25">
      <c r="B334" s="27" t="s">
        <v>1613</v>
      </c>
      <c r="C334" s="36">
        <v>1</v>
      </c>
      <c r="D334" t="s">
        <v>112</v>
      </c>
      <c r="E334" s="36">
        <v>7</v>
      </c>
      <c r="F334" t="s">
        <v>1807</v>
      </c>
      <c r="G334" s="66" t="s">
        <v>1808</v>
      </c>
      <c r="H334" t="s">
        <v>1704</v>
      </c>
      <c r="I334" t="s">
        <v>46</v>
      </c>
      <c r="J334" t="s">
        <v>48</v>
      </c>
      <c r="K334" t="s">
        <v>6</v>
      </c>
      <c r="L334" t="s">
        <v>1623</v>
      </c>
      <c r="M334" t="s">
        <v>1634</v>
      </c>
      <c r="N334" t="s">
        <v>1620</v>
      </c>
      <c r="O334" t="str">
        <f>CONCATENATE(Tabelle132[[#This Row],[Raumcode]],".",Tabelle132[[#This Row],[Code]])</f>
        <v>E7.SD1</v>
      </c>
      <c r="Q334" s="28" t="s">
        <v>77</v>
      </c>
    </row>
    <row r="335" spans="2:17" x14ac:dyDescent="0.25">
      <c r="B335" s="27" t="s">
        <v>1613</v>
      </c>
      <c r="C335" s="36">
        <v>1</v>
      </c>
      <c r="D335" t="s">
        <v>112</v>
      </c>
      <c r="E335" s="36">
        <v>7</v>
      </c>
      <c r="F335" t="s">
        <v>1807</v>
      </c>
      <c r="G335" s="66" t="s">
        <v>1808</v>
      </c>
      <c r="H335" t="s">
        <v>1705</v>
      </c>
      <c r="I335" t="s">
        <v>46</v>
      </c>
      <c r="J335" t="s">
        <v>48</v>
      </c>
      <c r="K335" t="s">
        <v>6</v>
      </c>
      <c r="L335" t="s">
        <v>1623</v>
      </c>
      <c r="M335" t="s">
        <v>1634</v>
      </c>
      <c r="N335" t="s">
        <v>1668</v>
      </c>
      <c r="O335" t="str">
        <f>CONCATENATE(Tabelle132[[#This Row],[Raumcode]],".",Tabelle132[[#This Row],[Code]])</f>
        <v>E7.SD2</v>
      </c>
      <c r="Q335" s="28" t="s">
        <v>77</v>
      </c>
    </row>
    <row r="336" spans="2:17" x14ac:dyDescent="0.25">
      <c r="B336" s="27" t="s">
        <v>1613</v>
      </c>
      <c r="C336" s="36">
        <v>1</v>
      </c>
      <c r="D336" t="s">
        <v>112</v>
      </c>
      <c r="E336" s="36">
        <v>7</v>
      </c>
      <c r="F336" t="s">
        <v>1807</v>
      </c>
      <c r="G336" s="66" t="s">
        <v>1808</v>
      </c>
      <c r="H336" t="s">
        <v>86</v>
      </c>
      <c r="I336" t="s">
        <v>46</v>
      </c>
      <c r="J336" t="s">
        <v>48</v>
      </c>
      <c r="K336" t="s">
        <v>6</v>
      </c>
      <c r="L336" t="s">
        <v>1623</v>
      </c>
      <c r="M336" t="s">
        <v>1634</v>
      </c>
      <c r="N336" t="s">
        <v>1669</v>
      </c>
      <c r="O336" t="str">
        <f>CONCATENATE(Tabelle132[[#This Row],[Raumcode]],".",Tabelle132[[#This Row],[Code]])</f>
        <v>E7.SD3</v>
      </c>
      <c r="Q336" s="28" t="s">
        <v>77</v>
      </c>
    </row>
    <row r="337" spans="2:17" x14ac:dyDescent="0.25">
      <c r="B337" s="27" t="s">
        <v>1613</v>
      </c>
      <c r="C337" s="36">
        <v>1</v>
      </c>
      <c r="D337" t="s">
        <v>112</v>
      </c>
      <c r="E337" s="36">
        <v>7</v>
      </c>
      <c r="F337" t="s">
        <v>1807</v>
      </c>
      <c r="G337" s="66" t="s">
        <v>1808</v>
      </c>
      <c r="H337" t="s">
        <v>1716</v>
      </c>
      <c r="I337" t="s">
        <v>46</v>
      </c>
      <c r="J337" t="s">
        <v>48</v>
      </c>
      <c r="K337" t="s">
        <v>6</v>
      </c>
      <c r="L337" t="s">
        <v>1623</v>
      </c>
      <c r="M337" t="s">
        <v>1634</v>
      </c>
      <c r="N337" t="s">
        <v>1670</v>
      </c>
      <c r="O337" t="str">
        <f>CONCATENATE(Tabelle132[[#This Row],[Raumcode]],".",Tabelle132[[#This Row],[Code]])</f>
        <v>E7.SD4</v>
      </c>
      <c r="Q337" s="28" t="s">
        <v>77</v>
      </c>
    </row>
    <row r="338" spans="2:17" x14ac:dyDescent="0.25">
      <c r="B338" s="27" t="s">
        <v>1613</v>
      </c>
      <c r="C338" s="36">
        <v>1</v>
      </c>
      <c r="D338" t="s">
        <v>112</v>
      </c>
      <c r="E338" s="36">
        <v>7</v>
      </c>
      <c r="F338" t="s">
        <v>1807</v>
      </c>
      <c r="G338" s="66" t="s">
        <v>1808</v>
      </c>
      <c r="H338" t="s">
        <v>1717</v>
      </c>
      <c r="I338" t="s">
        <v>46</v>
      </c>
      <c r="J338" t="s">
        <v>48</v>
      </c>
      <c r="K338" t="s">
        <v>6</v>
      </c>
      <c r="L338" t="s">
        <v>1623</v>
      </c>
      <c r="M338" t="s">
        <v>1634</v>
      </c>
      <c r="N338" t="s">
        <v>1671</v>
      </c>
      <c r="O338" t="str">
        <f>CONCATENATE(Tabelle132[[#This Row],[Raumcode]],".",Tabelle132[[#This Row],[Code]])</f>
        <v>E7.SD5</v>
      </c>
      <c r="Q338" s="28" t="s">
        <v>77</v>
      </c>
    </row>
    <row r="339" spans="2:17" x14ac:dyDescent="0.25">
      <c r="B339" s="27" t="s">
        <v>1613</v>
      </c>
      <c r="C339" s="36">
        <v>1</v>
      </c>
      <c r="D339" t="s">
        <v>112</v>
      </c>
      <c r="E339" s="36">
        <v>7</v>
      </c>
      <c r="F339" t="s">
        <v>1807</v>
      </c>
      <c r="G339" s="66" t="s">
        <v>1808</v>
      </c>
      <c r="H339" t="s">
        <v>1718</v>
      </c>
      <c r="I339" t="s">
        <v>46</v>
      </c>
      <c r="J339" t="s">
        <v>48</v>
      </c>
      <c r="K339" t="s">
        <v>6</v>
      </c>
      <c r="L339" t="s">
        <v>1623</v>
      </c>
      <c r="M339" t="s">
        <v>1634</v>
      </c>
      <c r="N339" t="s">
        <v>1673</v>
      </c>
      <c r="O339" t="str">
        <f>CONCATENATE(Tabelle132[[#This Row],[Raumcode]],".",Tabelle132[[#This Row],[Code]])</f>
        <v>E7.SD6</v>
      </c>
      <c r="Q339" s="28" t="s">
        <v>77</v>
      </c>
    </row>
    <row r="340" spans="2:17" x14ac:dyDescent="0.25">
      <c r="B340" s="27" t="s">
        <v>1613</v>
      </c>
      <c r="C340" s="36">
        <v>1</v>
      </c>
      <c r="D340" t="s">
        <v>112</v>
      </c>
      <c r="E340" s="36">
        <v>7</v>
      </c>
      <c r="F340" t="s">
        <v>1807</v>
      </c>
      <c r="G340" s="66" t="s">
        <v>1808</v>
      </c>
      <c r="H340" t="s">
        <v>1719</v>
      </c>
      <c r="I340" t="s">
        <v>46</v>
      </c>
      <c r="J340" t="s">
        <v>48</v>
      </c>
      <c r="K340" t="s">
        <v>6</v>
      </c>
      <c r="L340" t="s">
        <v>1623</v>
      </c>
      <c r="M340" t="s">
        <v>1634</v>
      </c>
      <c r="N340" t="s">
        <v>1721</v>
      </c>
      <c r="O340" t="str">
        <f>CONCATENATE(Tabelle132[[#This Row],[Raumcode]],".",Tabelle132[[#This Row],[Code]])</f>
        <v>E7.SD7</v>
      </c>
      <c r="Q340" s="28" t="s">
        <v>77</v>
      </c>
    </row>
    <row r="341" spans="2:17" x14ac:dyDescent="0.25">
      <c r="B341" s="27" t="s">
        <v>1613</v>
      </c>
      <c r="C341" s="36">
        <v>1</v>
      </c>
      <c r="D341" t="s">
        <v>112</v>
      </c>
      <c r="E341" s="36">
        <v>7</v>
      </c>
      <c r="F341" t="s">
        <v>1807</v>
      </c>
      <c r="G341" s="66" t="s">
        <v>1808</v>
      </c>
      <c r="H341" t="s">
        <v>1720</v>
      </c>
      <c r="I341" t="s">
        <v>46</v>
      </c>
      <c r="J341" t="s">
        <v>48</v>
      </c>
      <c r="K341" t="s">
        <v>6</v>
      </c>
      <c r="L341" t="s">
        <v>1623</v>
      </c>
      <c r="M341" t="s">
        <v>1634</v>
      </c>
      <c r="N341" t="s">
        <v>1722</v>
      </c>
      <c r="O341" t="str">
        <f>CONCATENATE(Tabelle132[[#This Row],[Raumcode]],".",Tabelle132[[#This Row],[Code]])</f>
        <v>E7.SD8</v>
      </c>
      <c r="Q341" s="28" t="s">
        <v>77</v>
      </c>
    </row>
    <row r="342" spans="2:17" x14ac:dyDescent="0.25">
      <c r="B342" s="27" t="s">
        <v>1613</v>
      </c>
      <c r="C342" s="36">
        <v>1</v>
      </c>
      <c r="D342" t="s">
        <v>112</v>
      </c>
      <c r="E342" s="36">
        <v>7</v>
      </c>
      <c r="F342" t="s">
        <v>1807</v>
      </c>
      <c r="G342" s="66" t="s">
        <v>1808</v>
      </c>
      <c r="H342" t="s">
        <v>1809</v>
      </c>
      <c r="I342" t="s">
        <v>46</v>
      </c>
      <c r="J342" t="s">
        <v>48</v>
      </c>
      <c r="K342" t="s">
        <v>6</v>
      </c>
      <c r="L342" t="s">
        <v>1623</v>
      </c>
      <c r="M342" t="s">
        <v>1634</v>
      </c>
      <c r="N342" t="s">
        <v>1723</v>
      </c>
      <c r="O342" t="str">
        <f>CONCATENATE(Tabelle132[[#This Row],[Raumcode]],".",Tabelle132[[#This Row],[Code]])</f>
        <v>E7.SD9</v>
      </c>
      <c r="Q342" s="28" t="s">
        <v>77</v>
      </c>
    </row>
    <row r="343" spans="2:17" x14ac:dyDescent="0.25">
      <c r="B343" s="27" t="s">
        <v>1613</v>
      </c>
      <c r="C343" s="36">
        <v>1</v>
      </c>
      <c r="D343" t="s">
        <v>112</v>
      </c>
      <c r="E343" s="36">
        <v>7</v>
      </c>
      <c r="F343" t="s">
        <v>1807</v>
      </c>
      <c r="G343" s="66" t="s">
        <v>1808</v>
      </c>
      <c r="H343" t="s">
        <v>1775</v>
      </c>
      <c r="I343" t="s">
        <v>46</v>
      </c>
      <c r="J343" t="s">
        <v>47</v>
      </c>
      <c r="K343" t="s">
        <v>6</v>
      </c>
      <c r="L343" t="s">
        <v>1623</v>
      </c>
      <c r="M343" t="s">
        <v>1629</v>
      </c>
      <c r="N343" t="s">
        <v>1724</v>
      </c>
      <c r="O343" t="str">
        <f>CONCATENATE(Tabelle132[[#This Row],[Raumcode]],".",Tabelle132[[#This Row],[Code]])</f>
        <v>E7.SD10</v>
      </c>
      <c r="Q343" s="28" t="s">
        <v>76</v>
      </c>
    </row>
    <row r="344" spans="2:17" x14ac:dyDescent="0.25">
      <c r="B344" s="27" t="s">
        <v>1613</v>
      </c>
      <c r="C344" s="36">
        <v>1</v>
      </c>
      <c r="D344" t="s">
        <v>112</v>
      </c>
      <c r="E344" s="36">
        <v>7</v>
      </c>
      <c r="F344" t="s">
        <v>1807</v>
      </c>
      <c r="G344" s="66" t="s">
        <v>1808</v>
      </c>
      <c r="H344" t="s">
        <v>1755</v>
      </c>
      <c r="I344" t="s">
        <v>46</v>
      </c>
      <c r="J344" t="s">
        <v>48</v>
      </c>
      <c r="K344" t="s">
        <v>6</v>
      </c>
      <c r="L344" t="s">
        <v>1623</v>
      </c>
      <c r="M344" t="s">
        <v>1634</v>
      </c>
      <c r="N344" t="s">
        <v>1725</v>
      </c>
      <c r="O344" t="str">
        <f>CONCATENATE(Tabelle132[[#This Row],[Raumcode]],".",Tabelle132[[#This Row],[Code]])</f>
        <v>E7.SD11</v>
      </c>
      <c r="Q344" s="28" t="s">
        <v>77</v>
      </c>
    </row>
    <row r="345" spans="2:17" x14ac:dyDescent="0.25">
      <c r="B345" s="27" t="s">
        <v>1613</v>
      </c>
      <c r="C345" s="36">
        <v>1</v>
      </c>
      <c r="D345" t="s">
        <v>112</v>
      </c>
      <c r="E345" s="36">
        <v>7</v>
      </c>
      <c r="F345" t="s">
        <v>1807</v>
      </c>
      <c r="G345" s="66" t="s">
        <v>1808</v>
      </c>
      <c r="H345" t="s">
        <v>1652</v>
      </c>
      <c r="I345" t="s">
        <v>255</v>
      </c>
      <c r="J345" t="s">
        <v>1657</v>
      </c>
      <c r="K345" t="s">
        <v>13</v>
      </c>
      <c r="L345" t="s">
        <v>1640</v>
      </c>
      <c r="M345" t="s">
        <v>1632</v>
      </c>
      <c r="N345" t="s">
        <v>1651</v>
      </c>
      <c r="O345" t="str">
        <f>CONCATENATE(Tabelle132[[#This Row],[Raumcode]],".",Tabelle132[[#This Row],[Code]])</f>
        <v>E7.DA1</v>
      </c>
      <c r="Q345" s="28"/>
    </row>
    <row r="346" spans="2:17" x14ac:dyDescent="0.25">
      <c r="B346" s="27" t="s">
        <v>1613</v>
      </c>
      <c r="C346" s="36">
        <v>1</v>
      </c>
      <c r="D346" t="s">
        <v>112</v>
      </c>
      <c r="E346" s="36">
        <v>7</v>
      </c>
      <c r="F346" t="s">
        <v>1807</v>
      </c>
      <c r="G346" s="66" t="s">
        <v>1808</v>
      </c>
      <c r="H346" t="s">
        <v>1811</v>
      </c>
      <c r="I346" t="s">
        <v>255</v>
      </c>
      <c r="J346" t="s">
        <v>1657</v>
      </c>
      <c r="K346" t="s">
        <v>13</v>
      </c>
      <c r="L346" t="s">
        <v>1640</v>
      </c>
      <c r="M346" t="s">
        <v>1632</v>
      </c>
      <c r="N346" t="s">
        <v>1658</v>
      </c>
      <c r="O346" t="str">
        <f>CONCATENATE(Tabelle132[[#This Row],[Raumcode]],".",Tabelle132[[#This Row],[Code]])</f>
        <v>E7.DA2</v>
      </c>
      <c r="Q346" s="28"/>
    </row>
    <row r="347" spans="2:17" x14ac:dyDescent="0.25">
      <c r="B347" s="27" t="s">
        <v>116</v>
      </c>
      <c r="C347" s="36">
        <v>2</v>
      </c>
      <c r="D347" t="s">
        <v>126</v>
      </c>
      <c r="E347" s="36">
        <v>8</v>
      </c>
      <c r="F347" t="s">
        <v>1868</v>
      </c>
      <c r="G347" s="66" t="s">
        <v>1869</v>
      </c>
      <c r="H347" t="s">
        <v>1759</v>
      </c>
      <c r="I347" t="s">
        <v>1676</v>
      </c>
      <c r="K347" t="s">
        <v>14</v>
      </c>
      <c r="L347" t="s">
        <v>1639</v>
      </c>
      <c r="M347" t="s">
        <v>1649</v>
      </c>
      <c r="N347" t="s">
        <v>1678</v>
      </c>
      <c r="O347" t="str">
        <f>CONCATENATE(Tabelle132[[#This Row],[Raumcode]],".",Tabelle132[[#This Row],[Code]])</f>
        <v>O7.DL1</v>
      </c>
      <c r="Q347" s="28" t="s">
        <v>83</v>
      </c>
    </row>
    <row r="348" spans="2:17" x14ac:dyDescent="0.25">
      <c r="B348" s="27" t="s">
        <v>116</v>
      </c>
      <c r="C348" s="36">
        <v>2</v>
      </c>
      <c r="D348" t="s">
        <v>126</v>
      </c>
      <c r="E348" s="36">
        <v>8</v>
      </c>
      <c r="F348" t="s">
        <v>1868</v>
      </c>
      <c r="G348" s="66" t="s">
        <v>1869</v>
      </c>
      <c r="H348" t="s">
        <v>1740</v>
      </c>
      <c r="I348" t="s">
        <v>17</v>
      </c>
      <c r="J348" t="s">
        <v>1614</v>
      </c>
      <c r="K348" t="s">
        <v>9</v>
      </c>
      <c r="L348" t="s">
        <v>1640</v>
      </c>
      <c r="M348" t="s">
        <v>1555</v>
      </c>
      <c r="N348" t="s">
        <v>1621</v>
      </c>
      <c r="O348" t="str">
        <f>CONCATENATE(Tabelle132[[#This Row],[Raumcode]],".",Tabelle132[[#This Row],[Code]])</f>
        <v>O7.BL1</v>
      </c>
      <c r="Q348" s="28" t="s">
        <v>83</v>
      </c>
    </row>
    <row r="349" spans="2:17" x14ac:dyDescent="0.25">
      <c r="B349" s="27" t="s">
        <v>116</v>
      </c>
      <c r="C349" s="36">
        <v>2</v>
      </c>
      <c r="D349" t="s">
        <v>126</v>
      </c>
      <c r="E349" s="36">
        <v>8</v>
      </c>
      <c r="F349" t="s">
        <v>1868</v>
      </c>
      <c r="G349" s="66" t="s">
        <v>1869</v>
      </c>
      <c r="H349" t="s">
        <v>1762</v>
      </c>
      <c r="I349" t="s">
        <v>21</v>
      </c>
      <c r="J349" t="s">
        <v>87</v>
      </c>
      <c r="K349" t="s">
        <v>7</v>
      </c>
      <c r="L349" t="s">
        <v>1623</v>
      </c>
      <c r="M349" t="s">
        <v>1630</v>
      </c>
      <c r="N349" t="s">
        <v>1690</v>
      </c>
      <c r="O349" t="str">
        <f>CONCATENATE(Tabelle132[[#This Row],[Raumcode]],".",Tabelle132[[#This Row],[Code]])</f>
        <v>O7.R1</v>
      </c>
      <c r="Q349" s="28" t="s">
        <v>76</v>
      </c>
    </row>
    <row r="350" spans="2:17" x14ac:dyDescent="0.25">
      <c r="B350" s="27" t="s">
        <v>116</v>
      </c>
      <c r="C350" s="36">
        <v>2</v>
      </c>
      <c r="D350" t="s">
        <v>126</v>
      </c>
      <c r="E350" s="36">
        <v>8</v>
      </c>
      <c r="F350" t="s">
        <v>1868</v>
      </c>
      <c r="G350" s="66" t="s">
        <v>1869</v>
      </c>
      <c r="H350" t="s">
        <v>1735</v>
      </c>
      <c r="I350" t="s">
        <v>29</v>
      </c>
      <c r="J350" t="s">
        <v>37</v>
      </c>
      <c r="K350" t="s">
        <v>10</v>
      </c>
      <c r="L350" t="s">
        <v>10</v>
      </c>
      <c r="M350" t="s">
        <v>1638</v>
      </c>
      <c r="N350" t="s">
        <v>109</v>
      </c>
      <c r="O350" t="str">
        <f>CONCATENATE(Tabelle132[[#This Row],[Raumcode]],".",Tabelle132[[#This Row],[Code]])</f>
        <v>O7.TS1</v>
      </c>
      <c r="Q350" s="28" t="s">
        <v>77</v>
      </c>
    </row>
    <row r="351" spans="2:17" x14ac:dyDescent="0.25">
      <c r="B351" s="27" t="s">
        <v>116</v>
      </c>
      <c r="C351" s="36">
        <v>2</v>
      </c>
      <c r="D351" t="s">
        <v>126</v>
      </c>
      <c r="E351" s="36">
        <v>8</v>
      </c>
      <c r="F351" t="s">
        <v>1868</v>
      </c>
      <c r="G351" s="66" t="s">
        <v>1869</v>
      </c>
      <c r="H351" t="s">
        <v>1776</v>
      </c>
      <c r="I351" t="s">
        <v>29</v>
      </c>
      <c r="J351" t="s">
        <v>1618</v>
      </c>
      <c r="K351" t="s">
        <v>14</v>
      </c>
      <c r="L351" t="s">
        <v>1641</v>
      </c>
      <c r="M351" t="s">
        <v>1692</v>
      </c>
      <c r="N351" t="s">
        <v>1693</v>
      </c>
      <c r="O351" t="str">
        <f>CONCATENATE(Tabelle132[[#This Row],[Raumcode]],".",Tabelle132[[#This Row],[Code]])</f>
        <v>O7.FK1</v>
      </c>
      <c r="Q351" s="28" t="s">
        <v>76</v>
      </c>
    </row>
    <row r="352" spans="2:17" x14ac:dyDescent="0.25">
      <c r="B352" s="27" t="s">
        <v>116</v>
      </c>
      <c r="C352" s="36">
        <v>2</v>
      </c>
      <c r="D352" t="s">
        <v>126</v>
      </c>
      <c r="E352" s="36">
        <v>8</v>
      </c>
      <c r="F352" t="s">
        <v>1868</v>
      </c>
      <c r="G352" s="66" t="s">
        <v>1869</v>
      </c>
      <c r="H352" t="s">
        <v>40</v>
      </c>
      <c r="I352" t="s">
        <v>29</v>
      </c>
      <c r="J352" t="s">
        <v>33</v>
      </c>
      <c r="K352" t="s">
        <v>10</v>
      </c>
      <c r="L352" t="s">
        <v>10</v>
      </c>
      <c r="M352" t="s">
        <v>1638</v>
      </c>
      <c r="N352" t="s">
        <v>103</v>
      </c>
      <c r="O352" t="str">
        <f>CONCATENATE(Tabelle132[[#This Row],[Raumcode]],".",Tabelle132[[#This Row],[Code]])</f>
        <v>O7.PM1</v>
      </c>
      <c r="Q352" s="28" t="s">
        <v>83</v>
      </c>
    </row>
    <row r="353" spans="2:17" x14ac:dyDescent="0.25">
      <c r="B353" s="27" t="s">
        <v>116</v>
      </c>
      <c r="C353" s="36">
        <v>2</v>
      </c>
      <c r="D353" t="s">
        <v>126</v>
      </c>
      <c r="E353" s="36">
        <v>8</v>
      </c>
      <c r="F353" t="s">
        <v>1868</v>
      </c>
      <c r="G353" s="66" t="s">
        <v>1869</v>
      </c>
      <c r="H353" t="s">
        <v>1704</v>
      </c>
      <c r="I353" t="s">
        <v>46</v>
      </c>
      <c r="J353" t="s">
        <v>48</v>
      </c>
      <c r="K353" t="s">
        <v>6</v>
      </c>
      <c r="L353" t="s">
        <v>1623</v>
      </c>
      <c r="M353" t="s">
        <v>1634</v>
      </c>
      <c r="N353" t="s">
        <v>1620</v>
      </c>
      <c r="O353" t="str">
        <f>CONCATENATE(Tabelle132[[#This Row],[Raumcode]],".",Tabelle132[[#This Row],[Code]])</f>
        <v>O7.SD1</v>
      </c>
      <c r="Q353" s="28" t="s">
        <v>79</v>
      </c>
    </row>
    <row r="354" spans="2:17" x14ac:dyDescent="0.25">
      <c r="B354" s="27" t="s">
        <v>116</v>
      </c>
      <c r="C354" s="36">
        <v>2</v>
      </c>
      <c r="D354" t="s">
        <v>126</v>
      </c>
      <c r="E354" s="36">
        <v>8</v>
      </c>
      <c r="F354" t="s">
        <v>1868</v>
      </c>
      <c r="G354" s="66" t="s">
        <v>1869</v>
      </c>
      <c r="H354" t="s">
        <v>1710</v>
      </c>
      <c r="I354" t="s">
        <v>46</v>
      </c>
      <c r="J354" t="s">
        <v>47</v>
      </c>
      <c r="K354" t="s">
        <v>6</v>
      </c>
      <c r="L354" t="s">
        <v>1623</v>
      </c>
      <c r="M354" t="s">
        <v>1629</v>
      </c>
      <c r="N354" t="s">
        <v>1668</v>
      </c>
      <c r="O354" t="str">
        <f>CONCATENATE(Tabelle132[[#This Row],[Raumcode]],".",Tabelle132[[#This Row],[Code]])</f>
        <v>O7.SD2</v>
      </c>
      <c r="Q354" s="28" t="s">
        <v>79</v>
      </c>
    </row>
    <row r="355" spans="2:17" x14ac:dyDescent="0.25">
      <c r="B355" s="27" t="s">
        <v>116</v>
      </c>
      <c r="C355" s="36">
        <v>2</v>
      </c>
      <c r="D355" t="s">
        <v>126</v>
      </c>
      <c r="E355" s="36">
        <v>8</v>
      </c>
      <c r="F355" t="s">
        <v>1868</v>
      </c>
      <c r="G355" s="66" t="s">
        <v>1869</v>
      </c>
      <c r="H355" t="s">
        <v>1711</v>
      </c>
      <c r="I355" t="s">
        <v>46</v>
      </c>
      <c r="J355" t="s">
        <v>48</v>
      </c>
      <c r="K355" t="s">
        <v>6</v>
      </c>
      <c r="L355" t="s">
        <v>1623</v>
      </c>
      <c r="M355" t="s">
        <v>1634</v>
      </c>
      <c r="N355" t="s">
        <v>1669</v>
      </c>
      <c r="O355" t="str">
        <f>CONCATENATE(Tabelle132[[#This Row],[Raumcode]],".",Tabelle132[[#This Row],[Code]])</f>
        <v>O7.SD3</v>
      </c>
      <c r="Q355" s="28" t="s">
        <v>79</v>
      </c>
    </row>
    <row r="356" spans="2:17" x14ac:dyDescent="0.25">
      <c r="B356" s="27" t="s">
        <v>116</v>
      </c>
      <c r="C356" s="36">
        <v>2</v>
      </c>
      <c r="D356" t="s">
        <v>126</v>
      </c>
      <c r="E356" s="36">
        <v>8</v>
      </c>
      <c r="F356" t="s">
        <v>1868</v>
      </c>
      <c r="G356" s="66" t="s">
        <v>1869</v>
      </c>
      <c r="H356" t="s">
        <v>1712</v>
      </c>
      <c r="I356" t="s">
        <v>46</v>
      </c>
      <c r="J356" t="s">
        <v>48</v>
      </c>
      <c r="K356" t="s">
        <v>6</v>
      </c>
      <c r="L356" t="s">
        <v>1623</v>
      </c>
      <c r="M356" t="s">
        <v>1634</v>
      </c>
      <c r="N356" t="s">
        <v>1670</v>
      </c>
      <c r="O356" t="str">
        <f>CONCATENATE(Tabelle132[[#This Row],[Raumcode]],".",Tabelle132[[#This Row],[Code]])</f>
        <v>O7.SD4</v>
      </c>
      <c r="Q356" s="28" t="s">
        <v>79</v>
      </c>
    </row>
    <row r="357" spans="2:17" x14ac:dyDescent="0.25">
      <c r="B357" s="27" t="s">
        <v>116</v>
      </c>
      <c r="C357" s="36">
        <v>2</v>
      </c>
      <c r="D357" t="s">
        <v>126</v>
      </c>
      <c r="E357" s="36">
        <v>8</v>
      </c>
      <c r="F357" t="s">
        <v>1868</v>
      </c>
      <c r="G357" s="66" t="s">
        <v>1869</v>
      </c>
      <c r="H357" t="s">
        <v>1742</v>
      </c>
      <c r="I357" t="s">
        <v>46</v>
      </c>
      <c r="J357" t="s">
        <v>1680</v>
      </c>
      <c r="K357" t="s">
        <v>104</v>
      </c>
      <c r="L357" t="s">
        <v>1626</v>
      </c>
      <c r="M357" t="s">
        <v>1633</v>
      </c>
      <c r="N357" t="s">
        <v>1681</v>
      </c>
      <c r="O357" t="str">
        <f>CONCATENATE(Tabelle132[[#This Row],[Raumcode]],".",Tabelle132[[#This Row],[Code]])</f>
        <v>O7.ND1</v>
      </c>
      <c r="Q357" s="28" t="s">
        <v>79</v>
      </c>
    </row>
    <row r="358" spans="2:17" x14ac:dyDescent="0.25">
      <c r="B358" s="27" t="s">
        <v>116</v>
      </c>
      <c r="C358" s="36">
        <v>2</v>
      </c>
      <c r="D358" t="s">
        <v>126</v>
      </c>
      <c r="E358" s="36">
        <v>8</v>
      </c>
      <c r="F358" t="s">
        <v>1868</v>
      </c>
      <c r="G358" s="66" t="s">
        <v>1869</v>
      </c>
      <c r="H358" t="s">
        <v>1775</v>
      </c>
      <c r="I358" t="s">
        <v>46</v>
      </c>
      <c r="J358" t="s">
        <v>47</v>
      </c>
      <c r="K358" t="s">
        <v>6</v>
      </c>
      <c r="L358" t="s">
        <v>1623</v>
      </c>
      <c r="M358" t="s">
        <v>1629</v>
      </c>
      <c r="N358" t="s">
        <v>1671</v>
      </c>
      <c r="O358" t="str">
        <f>CONCATENATE(Tabelle132[[#This Row],[Raumcode]],".",Tabelle132[[#This Row],[Code]])</f>
        <v>O7.SD5</v>
      </c>
      <c r="Q358" s="28" t="s">
        <v>76</v>
      </c>
    </row>
    <row r="359" spans="2:17" x14ac:dyDescent="0.25">
      <c r="B359" s="27" t="s">
        <v>116</v>
      </c>
      <c r="C359" s="36">
        <v>2</v>
      </c>
      <c r="D359" t="s">
        <v>126</v>
      </c>
      <c r="E359" s="36">
        <v>8</v>
      </c>
      <c r="F359" t="s">
        <v>1868</v>
      </c>
      <c r="G359" s="66" t="s">
        <v>1869</v>
      </c>
      <c r="H359" t="s">
        <v>1716</v>
      </c>
      <c r="I359" t="s">
        <v>46</v>
      </c>
      <c r="J359" t="s">
        <v>48</v>
      </c>
      <c r="K359" t="s">
        <v>6</v>
      </c>
      <c r="L359" t="s">
        <v>1623</v>
      </c>
      <c r="M359" t="s">
        <v>1634</v>
      </c>
      <c r="N359" t="s">
        <v>1673</v>
      </c>
      <c r="O359" t="str">
        <f>CONCATENATE(Tabelle132[[#This Row],[Raumcode]],".",Tabelle132[[#This Row],[Code]])</f>
        <v>O7.SD6</v>
      </c>
      <c r="Q359" s="28" t="s">
        <v>79</v>
      </c>
    </row>
    <row r="360" spans="2:17" x14ac:dyDescent="0.25">
      <c r="B360" s="27" t="s">
        <v>116</v>
      </c>
      <c r="C360" s="36">
        <v>2</v>
      </c>
      <c r="D360" t="s">
        <v>126</v>
      </c>
      <c r="E360" s="36">
        <v>8</v>
      </c>
      <c r="F360" t="s">
        <v>1868</v>
      </c>
      <c r="G360" s="66" t="s">
        <v>1869</v>
      </c>
      <c r="H360" t="s">
        <v>1717</v>
      </c>
      <c r="I360" t="s">
        <v>46</v>
      </c>
      <c r="J360" t="s">
        <v>48</v>
      </c>
      <c r="K360" t="s">
        <v>6</v>
      </c>
      <c r="L360" t="s">
        <v>1623</v>
      </c>
      <c r="M360" t="s">
        <v>1634</v>
      </c>
      <c r="N360" t="s">
        <v>1721</v>
      </c>
      <c r="O360" t="str">
        <f>CONCATENATE(Tabelle132[[#This Row],[Raumcode]],".",Tabelle132[[#This Row],[Code]])</f>
        <v>O7.SD7</v>
      </c>
      <c r="Q360" s="28" t="s">
        <v>79</v>
      </c>
    </row>
    <row r="361" spans="2:17" x14ac:dyDescent="0.25">
      <c r="B361" s="27" t="s">
        <v>116</v>
      </c>
      <c r="C361" s="36">
        <v>2</v>
      </c>
      <c r="D361" t="s">
        <v>126</v>
      </c>
      <c r="E361" s="36">
        <v>8</v>
      </c>
      <c r="F361" t="s">
        <v>1868</v>
      </c>
      <c r="G361" s="66" t="s">
        <v>1869</v>
      </c>
      <c r="H361" t="s">
        <v>1755</v>
      </c>
      <c r="I361" t="s">
        <v>46</v>
      </c>
      <c r="J361" t="s">
        <v>48</v>
      </c>
      <c r="K361" t="s">
        <v>6</v>
      </c>
      <c r="L361" t="s">
        <v>1623</v>
      </c>
      <c r="M361" t="s">
        <v>1634</v>
      </c>
      <c r="N361" t="s">
        <v>1722</v>
      </c>
      <c r="O361" t="str">
        <f>CONCATENATE(Tabelle132[[#This Row],[Raumcode]],".",Tabelle132[[#This Row],[Code]])</f>
        <v>O7.SD8</v>
      </c>
      <c r="Q361" s="28" t="s">
        <v>76</v>
      </c>
    </row>
    <row r="362" spans="2:17" x14ac:dyDescent="0.25">
      <c r="B362" s="27" t="s">
        <v>116</v>
      </c>
      <c r="C362" s="36">
        <v>2</v>
      </c>
      <c r="D362" t="s">
        <v>126</v>
      </c>
      <c r="E362" s="36">
        <v>8</v>
      </c>
      <c r="F362" t="s">
        <v>1868</v>
      </c>
      <c r="G362" s="66" t="s">
        <v>1869</v>
      </c>
      <c r="H362" t="s">
        <v>1756</v>
      </c>
      <c r="I362" t="s">
        <v>46</v>
      </c>
      <c r="J362" t="s">
        <v>48</v>
      </c>
      <c r="K362" t="s">
        <v>6</v>
      </c>
      <c r="L362" t="s">
        <v>1623</v>
      </c>
      <c r="M362" t="s">
        <v>1634</v>
      </c>
      <c r="N362" t="s">
        <v>1723</v>
      </c>
      <c r="O362" t="str">
        <f>CONCATENATE(Tabelle132[[#This Row],[Raumcode]],".",Tabelle132[[#This Row],[Code]])</f>
        <v>O7.SD9</v>
      </c>
      <c r="Q362" s="28" t="s">
        <v>76</v>
      </c>
    </row>
    <row r="363" spans="2:17" x14ac:dyDescent="0.25">
      <c r="B363" s="27" t="s">
        <v>116</v>
      </c>
      <c r="C363" s="36">
        <v>2</v>
      </c>
      <c r="D363" t="s">
        <v>126</v>
      </c>
      <c r="E363" s="36">
        <v>8</v>
      </c>
      <c r="F363" t="s">
        <v>1868</v>
      </c>
      <c r="G363" s="66" t="s">
        <v>1869</v>
      </c>
      <c r="H363" t="s">
        <v>1652</v>
      </c>
      <c r="I363" t="s">
        <v>255</v>
      </c>
      <c r="J363" t="s">
        <v>1657</v>
      </c>
      <c r="K363" t="s">
        <v>13</v>
      </c>
      <c r="L363" t="s">
        <v>1640</v>
      </c>
      <c r="M363" t="s">
        <v>1632</v>
      </c>
      <c r="N363" t="s">
        <v>1651</v>
      </c>
      <c r="O363" t="str">
        <f>CONCATENATE(Tabelle132[[#This Row],[Raumcode]],".",Tabelle132[[#This Row],[Code]])</f>
        <v>O7.DA1</v>
      </c>
      <c r="Q363" s="28" t="s">
        <v>83</v>
      </c>
    </row>
    <row r="364" spans="2:17" x14ac:dyDescent="0.25">
      <c r="B364" s="27" t="s">
        <v>1613</v>
      </c>
      <c r="C364" s="36">
        <v>1</v>
      </c>
      <c r="D364" t="s">
        <v>114</v>
      </c>
      <c r="E364" s="36">
        <v>8</v>
      </c>
      <c r="F364" t="s">
        <v>1812</v>
      </c>
      <c r="G364" s="66" t="s">
        <v>1813</v>
      </c>
      <c r="H364" t="s">
        <v>1816</v>
      </c>
      <c r="I364" t="s">
        <v>17</v>
      </c>
      <c r="J364" t="s">
        <v>18</v>
      </c>
      <c r="K364" t="s">
        <v>6</v>
      </c>
      <c r="L364" t="s">
        <v>1623</v>
      </c>
      <c r="M364" t="s">
        <v>1631</v>
      </c>
      <c r="N364" t="s">
        <v>1621</v>
      </c>
      <c r="O364" t="str">
        <f>CONCATENATE(Tabelle132[[#This Row],[Raumcode]],".",Tabelle132[[#This Row],[Code]])</f>
        <v>E8.BL1</v>
      </c>
      <c r="Q364" s="28" t="s">
        <v>83</v>
      </c>
    </row>
    <row r="365" spans="2:17" x14ac:dyDescent="0.25">
      <c r="B365" s="27" t="s">
        <v>1613</v>
      </c>
      <c r="C365" s="36">
        <v>1</v>
      </c>
      <c r="D365" t="s">
        <v>114</v>
      </c>
      <c r="E365" s="36">
        <v>8</v>
      </c>
      <c r="F365" t="s">
        <v>1812</v>
      </c>
      <c r="G365" s="66" t="s">
        <v>1813</v>
      </c>
      <c r="H365" t="s">
        <v>1817</v>
      </c>
      <c r="I365" t="s">
        <v>17</v>
      </c>
      <c r="J365" t="s">
        <v>18</v>
      </c>
      <c r="K365" t="s">
        <v>6</v>
      </c>
      <c r="L365" t="s">
        <v>1623</v>
      </c>
      <c r="M365" t="s">
        <v>1631</v>
      </c>
      <c r="N365" t="s">
        <v>1643</v>
      </c>
      <c r="O365" t="str">
        <f>CONCATENATE(Tabelle132[[#This Row],[Raumcode]],".",Tabelle132[[#This Row],[Code]])</f>
        <v>E8.BL2</v>
      </c>
      <c r="Q365" s="28" t="s">
        <v>83</v>
      </c>
    </row>
    <row r="366" spans="2:17" x14ac:dyDescent="0.25">
      <c r="B366" s="27" t="s">
        <v>1613</v>
      </c>
      <c r="C366" s="36">
        <v>1</v>
      </c>
      <c r="D366" t="s">
        <v>114</v>
      </c>
      <c r="E366" s="36">
        <v>8</v>
      </c>
      <c r="F366" t="s">
        <v>1812</v>
      </c>
      <c r="G366" s="66" t="s">
        <v>1813</v>
      </c>
      <c r="H366" t="s">
        <v>1818</v>
      </c>
      <c r="I366" t="s">
        <v>17</v>
      </c>
      <c r="J366" t="s">
        <v>19</v>
      </c>
      <c r="K366" t="s">
        <v>6</v>
      </c>
      <c r="L366" t="s">
        <v>1625</v>
      </c>
      <c r="M366" t="s">
        <v>1634</v>
      </c>
      <c r="N366" t="s">
        <v>1644</v>
      </c>
      <c r="O366" t="str">
        <f>CONCATENATE(Tabelle132[[#This Row],[Raumcode]],".",Tabelle132[[#This Row],[Code]])</f>
        <v>E8.BL3</v>
      </c>
      <c r="Q366" s="28" t="s">
        <v>83</v>
      </c>
    </row>
    <row r="367" spans="2:17" x14ac:dyDescent="0.25">
      <c r="B367" s="27" t="s">
        <v>1613</v>
      </c>
      <c r="C367" s="36">
        <v>1</v>
      </c>
      <c r="D367" t="s">
        <v>114</v>
      </c>
      <c r="E367" s="36">
        <v>8</v>
      </c>
      <c r="F367" t="s">
        <v>1812</v>
      </c>
      <c r="G367" s="66" t="s">
        <v>1813</v>
      </c>
      <c r="H367" t="s">
        <v>1819</v>
      </c>
      <c r="I367" t="s">
        <v>17</v>
      </c>
      <c r="J367" t="s">
        <v>19</v>
      </c>
      <c r="K367" t="s">
        <v>6</v>
      </c>
      <c r="L367" t="s">
        <v>1625</v>
      </c>
      <c r="M367" t="s">
        <v>1634</v>
      </c>
      <c r="N367" t="s">
        <v>1645</v>
      </c>
      <c r="O367" t="str">
        <f>CONCATENATE(Tabelle132[[#This Row],[Raumcode]],".",Tabelle132[[#This Row],[Code]])</f>
        <v>E8.BL4</v>
      </c>
      <c r="Q367" s="28" t="s">
        <v>83</v>
      </c>
    </row>
    <row r="368" spans="2:17" x14ac:dyDescent="0.25">
      <c r="B368" s="27" t="s">
        <v>1613</v>
      </c>
      <c r="C368" s="36">
        <v>1</v>
      </c>
      <c r="D368" t="s">
        <v>114</v>
      </c>
      <c r="E368" s="36">
        <v>8</v>
      </c>
      <c r="F368" t="s">
        <v>1812</v>
      </c>
      <c r="G368" s="66" t="s">
        <v>1813</v>
      </c>
      <c r="H368" t="s">
        <v>33</v>
      </c>
      <c r="I368" t="s">
        <v>29</v>
      </c>
      <c r="J368" t="s">
        <v>33</v>
      </c>
      <c r="K368" t="s">
        <v>10</v>
      </c>
      <c r="L368" t="s">
        <v>10</v>
      </c>
      <c r="M368" t="s">
        <v>1638</v>
      </c>
      <c r="N368" t="s">
        <v>89</v>
      </c>
      <c r="O368" t="str">
        <f>CONCATENATE(Tabelle132[[#This Row],[Raumcode]],".",Tabelle132[[#This Row],[Code]])</f>
        <v>E8.BM1</v>
      </c>
      <c r="Q368" s="28" t="s">
        <v>83</v>
      </c>
    </row>
    <row r="369" spans="2:17" x14ac:dyDescent="0.25">
      <c r="B369" s="27" t="s">
        <v>1613</v>
      </c>
      <c r="C369" s="36">
        <v>1</v>
      </c>
      <c r="D369" t="s">
        <v>114</v>
      </c>
      <c r="E369" s="36">
        <v>8</v>
      </c>
      <c r="F369" t="s">
        <v>1812</v>
      </c>
      <c r="G369" s="66" t="s">
        <v>1813</v>
      </c>
      <c r="H369" t="s">
        <v>1710</v>
      </c>
      <c r="I369" t="s">
        <v>46</v>
      </c>
      <c r="J369" t="s">
        <v>48</v>
      </c>
      <c r="K369" t="s">
        <v>6</v>
      </c>
      <c r="L369" t="s">
        <v>1623</v>
      </c>
      <c r="M369" t="s">
        <v>1634</v>
      </c>
      <c r="N369" t="s">
        <v>1620</v>
      </c>
      <c r="O369" t="str">
        <f>CONCATENATE(Tabelle132[[#This Row],[Raumcode]],".",Tabelle132[[#This Row],[Code]])</f>
        <v>E8.SD1</v>
      </c>
      <c r="Q369" s="28" t="s">
        <v>79</v>
      </c>
    </row>
    <row r="370" spans="2:17" x14ac:dyDescent="0.25">
      <c r="B370" s="27" t="s">
        <v>1613</v>
      </c>
      <c r="C370" s="36">
        <v>1</v>
      </c>
      <c r="D370" t="s">
        <v>114</v>
      </c>
      <c r="E370" s="36">
        <v>8</v>
      </c>
      <c r="F370" t="s">
        <v>1812</v>
      </c>
      <c r="G370" s="66" t="s">
        <v>1813</v>
      </c>
      <c r="H370" t="s">
        <v>1711</v>
      </c>
      <c r="I370" t="s">
        <v>46</v>
      </c>
      <c r="J370" t="s">
        <v>48</v>
      </c>
      <c r="K370" t="s">
        <v>6</v>
      </c>
      <c r="L370" t="s">
        <v>1623</v>
      </c>
      <c r="M370" t="s">
        <v>1634</v>
      </c>
      <c r="N370" t="s">
        <v>1668</v>
      </c>
      <c r="O370" t="str">
        <f>CONCATENATE(Tabelle132[[#This Row],[Raumcode]],".",Tabelle132[[#This Row],[Code]])</f>
        <v>E8.SD2</v>
      </c>
      <c r="Q370" s="28" t="s">
        <v>79</v>
      </c>
    </row>
    <row r="371" spans="2:17" x14ac:dyDescent="0.25">
      <c r="B371" s="27" t="s">
        <v>1613</v>
      </c>
      <c r="C371" s="36">
        <v>1</v>
      </c>
      <c r="D371" t="s">
        <v>114</v>
      </c>
      <c r="E371" s="36">
        <v>8</v>
      </c>
      <c r="F371" t="s">
        <v>1812</v>
      </c>
      <c r="G371" s="66" t="s">
        <v>1813</v>
      </c>
      <c r="H371" t="s">
        <v>1712</v>
      </c>
      <c r="I371" t="s">
        <v>46</v>
      </c>
      <c r="J371" t="s">
        <v>48</v>
      </c>
      <c r="K371" t="s">
        <v>6</v>
      </c>
      <c r="L371" t="s">
        <v>1623</v>
      </c>
      <c r="M371" t="s">
        <v>1634</v>
      </c>
      <c r="N371" t="s">
        <v>1669</v>
      </c>
      <c r="O371" t="str">
        <f>CONCATENATE(Tabelle132[[#This Row],[Raumcode]],".",Tabelle132[[#This Row],[Code]])</f>
        <v>E8.SD3</v>
      </c>
      <c r="Q371" s="28" t="s">
        <v>79</v>
      </c>
    </row>
    <row r="372" spans="2:17" x14ac:dyDescent="0.25">
      <c r="B372" s="27" t="s">
        <v>1613</v>
      </c>
      <c r="C372" s="36">
        <v>1</v>
      </c>
      <c r="D372" t="s">
        <v>114</v>
      </c>
      <c r="E372" s="36">
        <v>8</v>
      </c>
      <c r="F372" t="s">
        <v>1812</v>
      </c>
      <c r="G372" s="66" t="s">
        <v>1813</v>
      </c>
      <c r="H372" t="s">
        <v>1755</v>
      </c>
      <c r="I372" t="s">
        <v>46</v>
      </c>
      <c r="J372" t="s">
        <v>48</v>
      </c>
      <c r="K372" t="s">
        <v>6</v>
      </c>
      <c r="L372" t="s">
        <v>1623</v>
      </c>
      <c r="M372" t="s">
        <v>1634</v>
      </c>
      <c r="N372" t="s">
        <v>1670</v>
      </c>
      <c r="O372" t="str">
        <f>CONCATENATE(Tabelle132[[#This Row],[Raumcode]],".",Tabelle132[[#This Row],[Code]])</f>
        <v>E8.SD4</v>
      </c>
      <c r="Q372" s="28" t="s">
        <v>77</v>
      </c>
    </row>
    <row r="373" spans="2:17" x14ac:dyDescent="0.25">
      <c r="B373" s="27" t="s">
        <v>1613</v>
      </c>
      <c r="C373" s="36">
        <v>1</v>
      </c>
      <c r="D373" t="s">
        <v>114</v>
      </c>
      <c r="E373" s="36">
        <v>8</v>
      </c>
      <c r="F373" t="s">
        <v>1812</v>
      </c>
      <c r="G373" s="66" t="s">
        <v>1813</v>
      </c>
      <c r="H373" t="s">
        <v>1756</v>
      </c>
      <c r="I373" t="s">
        <v>46</v>
      </c>
      <c r="J373" t="s">
        <v>47</v>
      </c>
      <c r="K373" t="s">
        <v>6</v>
      </c>
      <c r="L373" t="s">
        <v>1623</v>
      </c>
      <c r="M373" t="s">
        <v>1629</v>
      </c>
      <c r="N373" t="s">
        <v>1671</v>
      </c>
      <c r="O373" t="str">
        <f>CONCATENATE(Tabelle132[[#This Row],[Raumcode]],".",Tabelle132[[#This Row],[Code]])</f>
        <v>E8.SD5</v>
      </c>
      <c r="Q373" s="28" t="s">
        <v>77</v>
      </c>
    </row>
    <row r="374" spans="2:17" x14ac:dyDescent="0.25">
      <c r="B374" s="27" t="s">
        <v>1613</v>
      </c>
      <c r="C374" s="36">
        <v>1</v>
      </c>
      <c r="D374" t="s">
        <v>114</v>
      </c>
      <c r="E374" s="36">
        <v>8</v>
      </c>
      <c r="F374" t="s">
        <v>1812</v>
      </c>
      <c r="G374" s="66" t="s">
        <v>1813</v>
      </c>
      <c r="H374" t="s">
        <v>1796</v>
      </c>
      <c r="I374" t="s">
        <v>46</v>
      </c>
      <c r="J374" t="s">
        <v>48</v>
      </c>
      <c r="K374" t="s">
        <v>6</v>
      </c>
      <c r="L374" t="s">
        <v>1623</v>
      </c>
      <c r="M374" t="s">
        <v>1634</v>
      </c>
      <c r="N374" t="s">
        <v>1673</v>
      </c>
      <c r="O374" t="str">
        <f>CONCATENATE(Tabelle132[[#This Row],[Raumcode]],".",Tabelle132[[#This Row],[Code]])</f>
        <v>E8.SD6</v>
      </c>
      <c r="Q374" s="28" t="s">
        <v>77</v>
      </c>
    </row>
    <row r="375" spans="2:17" x14ac:dyDescent="0.25">
      <c r="B375" s="27" t="s">
        <v>1613</v>
      </c>
      <c r="C375" s="36">
        <v>1</v>
      </c>
      <c r="D375" t="s">
        <v>114</v>
      </c>
      <c r="E375" s="36">
        <v>8</v>
      </c>
      <c r="F375" t="s">
        <v>1812</v>
      </c>
      <c r="G375" s="66" t="s">
        <v>1813</v>
      </c>
      <c r="H375" t="s">
        <v>1797</v>
      </c>
      <c r="I375" t="s">
        <v>46</v>
      </c>
      <c r="J375" t="s">
        <v>48</v>
      </c>
      <c r="K375" t="s">
        <v>6</v>
      </c>
      <c r="L375" t="s">
        <v>1623</v>
      </c>
      <c r="M375" t="s">
        <v>1634</v>
      </c>
      <c r="N375" t="s">
        <v>1721</v>
      </c>
      <c r="O375" t="str">
        <f>CONCATENATE(Tabelle132[[#This Row],[Raumcode]],".",Tabelle132[[#This Row],[Code]])</f>
        <v>E8.SD7</v>
      </c>
      <c r="Q375" s="28" t="s">
        <v>77</v>
      </c>
    </row>
    <row r="376" spans="2:17" x14ac:dyDescent="0.25">
      <c r="B376" s="27" t="s">
        <v>1613</v>
      </c>
      <c r="C376" s="36">
        <v>1</v>
      </c>
      <c r="D376" t="s">
        <v>114</v>
      </c>
      <c r="E376" s="36">
        <v>8</v>
      </c>
      <c r="F376" t="s">
        <v>1812</v>
      </c>
      <c r="G376" s="66" t="s">
        <v>1813</v>
      </c>
      <c r="H376" t="s">
        <v>1814</v>
      </c>
      <c r="I376" t="s">
        <v>46</v>
      </c>
      <c r="J376" t="s">
        <v>47</v>
      </c>
      <c r="K376" t="s">
        <v>6</v>
      </c>
      <c r="L376" t="s">
        <v>1623</v>
      </c>
      <c r="M376" t="s">
        <v>1629</v>
      </c>
      <c r="N376" t="s">
        <v>1722</v>
      </c>
      <c r="O376" t="str">
        <f>CONCATENATE(Tabelle132[[#This Row],[Raumcode]],".",Tabelle132[[#This Row],[Code]])</f>
        <v>E8.SD8</v>
      </c>
      <c r="Q376" s="28" t="s">
        <v>77</v>
      </c>
    </row>
    <row r="377" spans="2:17" x14ac:dyDescent="0.25">
      <c r="B377" s="27" t="s">
        <v>1613</v>
      </c>
      <c r="C377" s="36">
        <v>1</v>
      </c>
      <c r="D377" t="s">
        <v>114</v>
      </c>
      <c r="E377" s="36">
        <v>8</v>
      </c>
      <c r="F377" t="s">
        <v>1812</v>
      </c>
      <c r="G377" s="66" t="s">
        <v>1813</v>
      </c>
      <c r="H377" t="s">
        <v>1815</v>
      </c>
      <c r="I377" t="s">
        <v>46</v>
      </c>
      <c r="J377" t="s">
        <v>47</v>
      </c>
      <c r="K377" t="s">
        <v>6</v>
      </c>
      <c r="L377" t="s">
        <v>1623</v>
      </c>
      <c r="M377" t="s">
        <v>1629</v>
      </c>
      <c r="N377" t="s">
        <v>1723</v>
      </c>
      <c r="O377" t="str">
        <f>CONCATENATE(Tabelle132[[#This Row],[Raumcode]],".",Tabelle132[[#This Row],[Code]])</f>
        <v>E8.SD9</v>
      </c>
      <c r="Q377" s="28" t="s">
        <v>77</v>
      </c>
    </row>
    <row r="378" spans="2:17" x14ac:dyDescent="0.25">
      <c r="B378" s="27" t="s">
        <v>1613</v>
      </c>
      <c r="C378" s="36">
        <v>1</v>
      </c>
      <c r="D378" t="s">
        <v>114</v>
      </c>
      <c r="E378" s="36">
        <v>8</v>
      </c>
      <c r="F378" t="s">
        <v>1812</v>
      </c>
      <c r="G378" s="66" t="s">
        <v>1813</v>
      </c>
      <c r="H378" t="s">
        <v>1951</v>
      </c>
      <c r="I378" t="s">
        <v>46</v>
      </c>
      <c r="J378" t="s">
        <v>49</v>
      </c>
      <c r="K378" t="s">
        <v>1956</v>
      </c>
      <c r="L378" t="s">
        <v>1624</v>
      </c>
      <c r="M378" t="s">
        <v>1634</v>
      </c>
      <c r="N378" t="s">
        <v>1957</v>
      </c>
      <c r="O378" t="str">
        <f>CONCATENATE(Tabelle132[[#This Row],[Raumcode]],".",Tabelle132[[#This Row],[Code]])</f>
        <v>E8.WP1</v>
      </c>
      <c r="Q378" s="28"/>
    </row>
    <row r="379" spans="2:17" x14ac:dyDescent="0.25">
      <c r="B379" s="27" t="s">
        <v>1613</v>
      </c>
      <c r="C379" s="36">
        <v>1</v>
      </c>
      <c r="D379" t="s">
        <v>114</v>
      </c>
      <c r="E379" s="36">
        <v>8</v>
      </c>
      <c r="F379" t="s">
        <v>1812</v>
      </c>
      <c r="G379" s="66" t="s">
        <v>1813</v>
      </c>
      <c r="H379" t="s">
        <v>1952</v>
      </c>
      <c r="I379" t="s">
        <v>46</v>
      </c>
      <c r="J379" t="s">
        <v>49</v>
      </c>
      <c r="K379" t="s">
        <v>6</v>
      </c>
      <c r="L379" t="s">
        <v>1624</v>
      </c>
      <c r="M379" t="s">
        <v>1634</v>
      </c>
      <c r="N379" t="s">
        <v>1958</v>
      </c>
      <c r="O379" t="str">
        <f>CONCATENATE(Tabelle132[[#This Row],[Raumcode]],".",Tabelle132[[#This Row],[Code]])</f>
        <v>E8.WP2</v>
      </c>
      <c r="Q379" s="28"/>
    </row>
    <row r="380" spans="2:17" x14ac:dyDescent="0.25">
      <c r="B380" s="27" t="s">
        <v>1613</v>
      </c>
      <c r="C380" s="36">
        <v>1</v>
      </c>
      <c r="D380" t="s">
        <v>114</v>
      </c>
      <c r="E380" s="36">
        <v>8</v>
      </c>
      <c r="F380" t="s">
        <v>1812</v>
      </c>
      <c r="G380" s="66" t="s">
        <v>1813</v>
      </c>
      <c r="H380" t="s">
        <v>1953</v>
      </c>
      <c r="I380" t="s">
        <v>46</v>
      </c>
      <c r="J380" t="s">
        <v>49</v>
      </c>
      <c r="K380" t="s">
        <v>6</v>
      </c>
      <c r="L380" t="s">
        <v>1625</v>
      </c>
      <c r="M380" t="s">
        <v>1634</v>
      </c>
      <c r="N380" t="s">
        <v>1959</v>
      </c>
      <c r="O380" t="str">
        <f>CONCATENATE(Tabelle132[[#This Row],[Raumcode]],".",Tabelle132[[#This Row],[Code]])</f>
        <v>E8.WP3</v>
      </c>
      <c r="Q380" s="28"/>
    </row>
    <row r="381" spans="2:17" x14ac:dyDescent="0.25">
      <c r="B381" s="27" t="s">
        <v>1613</v>
      </c>
      <c r="C381" s="36">
        <v>1</v>
      </c>
      <c r="D381" t="s">
        <v>114</v>
      </c>
      <c r="E381" s="36">
        <v>8</v>
      </c>
      <c r="F381" t="s">
        <v>1812</v>
      </c>
      <c r="G381" s="66" t="s">
        <v>1813</v>
      </c>
      <c r="H381" t="s">
        <v>1954</v>
      </c>
      <c r="I381" t="s">
        <v>51</v>
      </c>
      <c r="L381" t="s">
        <v>10</v>
      </c>
      <c r="M381" t="s">
        <v>1638</v>
      </c>
      <c r="N381" t="s">
        <v>1960</v>
      </c>
      <c r="O381" t="str">
        <f>CONCATENATE(Tabelle132[[#This Row],[Raumcode]],".",Tabelle132[[#This Row],[Code]])</f>
        <v>E8.WP4</v>
      </c>
      <c r="Q381" s="28"/>
    </row>
    <row r="382" spans="2:17" x14ac:dyDescent="0.25">
      <c r="B382" s="27" t="s">
        <v>1613</v>
      </c>
      <c r="C382" s="36">
        <v>1</v>
      </c>
      <c r="D382" t="s">
        <v>114</v>
      </c>
      <c r="E382" s="36">
        <v>8</v>
      </c>
      <c r="F382" t="s">
        <v>1812</v>
      </c>
      <c r="G382" s="66" t="s">
        <v>1813</v>
      </c>
      <c r="H382" t="s">
        <v>1955</v>
      </c>
      <c r="I382" t="s">
        <v>51</v>
      </c>
      <c r="L382" t="s">
        <v>1626</v>
      </c>
      <c r="M382" t="s">
        <v>1633</v>
      </c>
      <c r="N382" t="s">
        <v>1961</v>
      </c>
      <c r="O382" t="str">
        <f>CONCATENATE(Tabelle132[[#This Row],[Raumcode]],".",Tabelle132[[#This Row],[Code]])</f>
        <v>E8.WP5</v>
      </c>
      <c r="Q382" s="28"/>
    </row>
    <row r="383" spans="2:17" x14ac:dyDescent="0.25">
      <c r="B383" s="27" t="s">
        <v>1613</v>
      </c>
      <c r="C383" s="36">
        <v>1</v>
      </c>
      <c r="D383" t="s">
        <v>1821</v>
      </c>
      <c r="E383" s="36">
        <v>9</v>
      </c>
      <c r="F383" t="s">
        <v>1820</v>
      </c>
      <c r="G383" s="66" t="s">
        <v>1822</v>
      </c>
      <c r="H383" t="s">
        <v>1823</v>
      </c>
      <c r="I383" t="s">
        <v>17</v>
      </c>
      <c r="J383" t="s">
        <v>19</v>
      </c>
      <c r="K383" t="s">
        <v>6</v>
      </c>
      <c r="L383" t="s">
        <v>1625</v>
      </c>
      <c r="M383" t="s">
        <v>1634</v>
      </c>
      <c r="N383" t="s">
        <v>1621</v>
      </c>
      <c r="O383" t="str">
        <f>CONCATENATE(Tabelle132[[#This Row],[Raumcode]],".",Tabelle132[[#This Row],[Code]])</f>
        <v>E9.BL1</v>
      </c>
      <c r="Q383" s="28" t="s">
        <v>77</v>
      </c>
    </row>
    <row r="384" spans="2:17" x14ac:dyDescent="0.25">
      <c r="B384" s="27" t="s">
        <v>1613</v>
      </c>
      <c r="C384" s="36">
        <v>1</v>
      </c>
      <c r="D384" t="s">
        <v>1821</v>
      </c>
      <c r="E384" s="36">
        <v>9</v>
      </c>
      <c r="F384" t="s">
        <v>1820</v>
      </c>
      <c r="G384" s="66" t="s">
        <v>1822</v>
      </c>
      <c r="H384" t="s">
        <v>1824</v>
      </c>
      <c r="I384" t="s">
        <v>17</v>
      </c>
      <c r="J384" t="s">
        <v>19</v>
      </c>
      <c r="K384" t="s">
        <v>6</v>
      </c>
      <c r="L384" t="s">
        <v>1625</v>
      </c>
      <c r="M384" t="s">
        <v>1634</v>
      </c>
      <c r="N384" t="s">
        <v>1643</v>
      </c>
      <c r="O384" t="str">
        <f>CONCATENATE(Tabelle132[[#This Row],[Raumcode]],".",Tabelle132[[#This Row],[Code]])</f>
        <v>E9.BL2</v>
      </c>
      <c r="Q384" s="28" t="s">
        <v>77</v>
      </c>
    </row>
    <row r="385" spans="2:17" x14ac:dyDescent="0.25">
      <c r="B385" s="27" t="s">
        <v>1613</v>
      </c>
      <c r="C385" s="36">
        <v>1</v>
      </c>
      <c r="D385" t="s">
        <v>1821</v>
      </c>
      <c r="E385" s="36">
        <v>9</v>
      </c>
      <c r="F385" t="s">
        <v>1820</v>
      </c>
      <c r="G385" s="66" t="s">
        <v>1822</v>
      </c>
      <c r="H385" t="s">
        <v>33</v>
      </c>
      <c r="I385" t="s">
        <v>29</v>
      </c>
      <c r="J385" t="s">
        <v>33</v>
      </c>
      <c r="K385" t="s">
        <v>6</v>
      </c>
      <c r="L385" t="s">
        <v>1625</v>
      </c>
      <c r="M385" t="s">
        <v>1634</v>
      </c>
      <c r="N385" t="s">
        <v>89</v>
      </c>
      <c r="O385" t="str">
        <f>CONCATENATE(Tabelle132[[#This Row],[Raumcode]],".",Tabelle132[[#This Row],[Code]])</f>
        <v>E9.BM1</v>
      </c>
      <c r="Q385" s="28" t="s">
        <v>77</v>
      </c>
    </row>
    <row r="386" spans="2:17" x14ac:dyDescent="0.25">
      <c r="B386" s="27"/>
      <c r="G386" s="66"/>
      <c r="Q386" s="28"/>
    </row>
    <row r="387" spans="2:17" x14ac:dyDescent="0.25">
      <c r="B387" s="27"/>
      <c r="G387" s="66"/>
      <c r="Q387" s="28"/>
    </row>
    <row r="388" spans="2:17" x14ac:dyDescent="0.25">
      <c r="B388" s="27"/>
      <c r="G388" s="66"/>
      <c r="Q388" s="28"/>
    </row>
    <row r="389" spans="2:17" x14ac:dyDescent="0.25">
      <c r="B389" s="27"/>
      <c r="G389" s="66"/>
      <c r="Q389" s="28"/>
    </row>
    <row r="390" spans="2:17" x14ac:dyDescent="0.25">
      <c r="B390" s="27"/>
      <c r="G390" s="66"/>
      <c r="Q390" s="28"/>
    </row>
    <row r="391" spans="2:17" x14ac:dyDescent="0.25">
      <c r="B391" s="27"/>
      <c r="G391" s="66"/>
      <c r="Q391" s="28"/>
    </row>
    <row r="392" spans="2:17" x14ac:dyDescent="0.25">
      <c r="B392" s="27"/>
      <c r="G392" s="66"/>
      <c r="Q392" s="28"/>
    </row>
    <row r="393" spans="2:17" x14ac:dyDescent="0.25">
      <c r="B393" s="27"/>
      <c r="G393" s="66"/>
      <c r="Q393" s="28"/>
    </row>
    <row r="394" spans="2:17" x14ac:dyDescent="0.25">
      <c r="B394" s="27"/>
      <c r="G394" s="66"/>
      <c r="Q394" s="28"/>
    </row>
    <row r="395" spans="2:17" x14ac:dyDescent="0.25">
      <c r="B395" s="27"/>
      <c r="G395" s="66"/>
      <c r="Q395" s="28"/>
    </row>
    <row r="396" spans="2:17" x14ac:dyDescent="0.25">
      <c r="B396" s="27"/>
      <c r="G396" s="66"/>
      <c r="Q396" s="28"/>
    </row>
    <row r="397" spans="2:17" x14ac:dyDescent="0.25">
      <c r="B397" s="27"/>
      <c r="G397" s="66"/>
      <c r="Q397" s="28"/>
    </row>
    <row r="398" spans="2:17" x14ac:dyDescent="0.25">
      <c r="B398" s="27"/>
      <c r="G398" s="66"/>
      <c r="Q398" s="28"/>
    </row>
    <row r="399" spans="2:17" x14ac:dyDescent="0.25">
      <c r="B399" s="27"/>
      <c r="G399" s="66"/>
      <c r="Q399" s="28"/>
    </row>
    <row r="400" spans="2:17" x14ac:dyDescent="0.25">
      <c r="B400" s="27"/>
      <c r="G400" s="66"/>
      <c r="Q400" s="28"/>
    </row>
    <row r="401" spans="2:17" x14ac:dyDescent="0.25">
      <c r="B401" s="27"/>
      <c r="G401" s="66"/>
      <c r="Q401" s="28"/>
    </row>
    <row r="402" spans="2:17" x14ac:dyDescent="0.25">
      <c r="B402" s="27"/>
      <c r="G402" s="66"/>
      <c r="Q402" s="28"/>
    </row>
    <row r="403" spans="2:17" x14ac:dyDescent="0.25">
      <c r="B403" s="27"/>
      <c r="G403" s="66"/>
      <c r="Q403" s="28"/>
    </row>
    <row r="404" spans="2:17" x14ac:dyDescent="0.25">
      <c r="B404" s="27"/>
      <c r="G404" s="66"/>
      <c r="Q404" s="28"/>
    </row>
    <row r="405" spans="2:17" x14ac:dyDescent="0.25">
      <c r="B405" s="27"/>
      <c r="G405" s="66"/>
      <c r="Q405" s="28"/>
    </row>
  </sheetData>
  <mergeCells count="2">
    <mergeCell ref="H2:Q2"/>
    <mergeCell ref="B2:G2"/>
  </mergeCells>
  <phoneticPr fontId="3" type="noConversion"/>
  <dataValidations count="2">
    <dataValidation type="list" allowBlank="1" showInputMessage="1" showErrorMessage="1" sqref="I4:I287 I290:I405" xr:uid="{00000000-0002-0000-0100-000000000000}">
      <formula1>Geräte</formula1>
    </dataValidation>
    <dataValidation type="list" allowBlank="1" showInputMessage="1" showErrorMessage="1" sqref="J4:J405" xr:uid="{00000000-0002-0000-0100-000001000000}">
      <formula1>INDIRECT(I4)</formula1>
    </dataValidation>
  </dataValidations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4000000}">
          <x14:formula1>
            <xm:f>Metadaten!$C$3:$C$11</xm:f>
          </x14:formula1>
          <xm:sqref>I407</xm:sqref>
        </x14:dataValidation>
        <x14:dataValidation type="list" allowBlank="1" showInputMessage="1" showErrorMessage="1" xr:uid="{00000000-0002-0000-0100-000005000000}">
          <x14:formula1>
            <xm:f>IF(#REF!="St",Metadaten!#REF!,IF(#REF!="BS",Metadaten!#REF!,IF(#REF!="BL",Metadaten!#REF!,IF(#REF!="H",Metadaten!#REF!,IF(#REF!="S",Metadaten!#REF!,IF(#REF!="BW",Metadaten!#REF!,IF(#REF!="ZK",Metadaten!#REF!)))))))</xm:f>
          </x14:formula1>
          <xm:sqref>J407</xm:sqref>
        </x14:dataValidation>
        <x14:dataValidation type="list" allowBlank="1" showInputMessage="1" showErrorMessage="1" xr:uid="{00000000-0002-0000-0100-000003000000}">
          <x14:formula1>
            <xm:f>Metadaten!$H$3:$H$8</xm:f>
          </x14:formula1>
          <xm:sqref>Q4:Q405</xm:sqref>
        </x14:dataValidation>
        <x14:dataValidation type="list" allowBlank="1" showInputMessage="1" showErrorMessage="1" xr:uid="{02E561B6-5E35-488F-B1F7-1572B7A0101D}">
          <x14:formula1>
            <xm:f>Metadaten!$F$3:$F$17</xm:f>
          </x14:formula1>
          <xm:sqref>L4:L405</xm:sqref>
        </x14:dataValidation>
        <x14:dataValidation type="list" allowBlank="1" showInputMessage="1" showErrorMessage="1" xr:uid="{64D6BFE5-A406-41DA-938F-4BD0FE4674FD}">
          <x14:formula1>
            <xm:f>Metadaten!$G$3:$G$18</xm:f>
          </x14:formula1>
          <xm:sqref>M4:M405</xm:sqref>
        </x14:dataValidation>
        <x14:dataValidation type="list" allowBlank="1" showInputMessage="1" showErrorMessage="1" xr:uid="{00000000-0002-0000-0100-000002000000}">
          <x14:formula1>
            <xm:f>Metadaten!$E$3:$E$15</xm:f>
          </x14:formula1>
          <xm:sqref>K407:M407</xm:sqref>
        </x14:dataValidation>
        <x14:dataValidation type="list" allowBlank="1" showInputMessage="1" showErrorMessage="1" xr:uid="{1A58C168-7C7B-492F-83F9-1F7E1BD98F56}">
          <x14:formula1>
            <xm:f>Metadaten!$E$3:$E$20</xm:f>
          </x14:formula1>
          <xm:sqref>K4:K405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rgb="FFCC6600"/>
  </sheetPr>
  <dimension ref="B1:O675"/>
  <sheetViews>
    <sheetView zoomScale="60" zoomScaleNormal="60" workbookViewId="0">
      <pane ySplit="3" topLeftCell="A4" activePane="bottomLeft" state="frozen"/>
      <selection pane="bottomLeft" activeCell="K4" sqref="K4"/>
    </sheetView>
  </sheetViews>
  <sheetFormatPr baseColWidth="10" defaultColWidth="11" defaultRowHeight="15.75" x14ac:dyDescent="0.25"/>
  <cols>
    <col min="2" max="2" width="13.125" customWidth="1"/>
    <col min="3" max="3" width="13.625" bestFit="1" customWidth="1"/>
    <col min="4" max="4" width="18.5" bestFit="1" customWidth="1"/>
    <col min="5" max="5" width="25.375" bestFit="1" customWidth="1"/>
    <col min="6" max="6" width="12" bestFit="1" customWidth="1"/>
    <col min="7" max="7" width="13.625" customWidth="1"/>
    <col min="8" max="8" width="28.125" bestFit="1" customWidth="1"/>
    <col min="9" max="9" width="14.5" customWidth="1"/>
    <col min="10" max="10" width="57.125" bestFit="1" customWidth="1"/>
    <col min="11" max="11" width="14.25" customWidth="1"/>
    <col min="12" max="12" width="24.5" bestFit="1" customWidth="1"/>
    <col min="13" max="13" width="26.875" bestFit="1" customWidth="1"/>
    <col min="14" max="14" width="17.375" bestFit="1" customWidth="1"/>
    <col min="15" max="15" width="14.75" bestFit="1" customWidth="1"/>
  </cols>
  <sheetData>
    <row r="1" spans="2:15" ht="16.5" thickBot="1" x14ac:dyDescent="0.3"/>
    <row r="2" spans="2:15" ht="16.5" thickBot="1" x14ac:dyDescent="0.3">
      <c r="B2" s="89" t="s">
        <v>64</v>
      </c>
      <c r="C2" s="90"/>
      <c r="D2" s="90"/>
      <c r="E2" s="90"/>
      <c r="F2" s="91" t="s">
        <v>243</v>
      </c>
      <c r="G2" s="92"/>
      <c r="H2" s="92"/>
      <c r="I2" s="92"/>
      <c r="J2" s="92"/>
      <c r="K2" s="92"/>
      <c r="L2" s="92"/>
      <c r="M2" s="92"/>
      <c r="N2" s="92"/>
      <c r="O2" s="92"/>
    </row>
    <row r="3" spans="2:15" ht="16.5" thickBot="1" x14ac:dyDescent="0.3">
      <c r="B3" s="64" t="s">
        <v>74</v>
      </c>
      <c r="C3" s="64" t="s">
        <v>65</v>
      </c>
      <c r="D3" s="64" t="s">
        <v>69</v>
      </c>
      <c r="E3" s="64" t="s">
        <v>0</v>
      </c>
      <c r="F3" s="68" t="s">
        <v>244</v>
      </c>
      <c r="G3" s="68" t="s">
        <v>245</v>
      </c>
      <c r="H3" s="68" t="s">
        <v>246</v>
      </c>
      <c r="I3" s="68" t="s">
        <v>247</v>
      </c>
      <c r="J3" s="68" t="s">
        <v>248</v>
      </c>
      <c r="K3" s="68" t="s">
        <v>249</v>
      </c>
      <c r="L3" s="65" t="s">
        <v>250</v>
      </c>
      <c r="M3" s="65" t="s">
        <v>251</v>
      </c>
      <c r="N3" s="65" t="s">
        <v>252</v>
      </c>
      <c r="O3" s="65" t="s">
        <v>253</v>
      </c>
    </row>
    <row r="4" spans="2:15" x14ac:dyDescent="0.25">
      <c r="B4" s="26" t="s">
        <v>254</v>
      </c>
      <c r="C4" t="e">
        <f>INDEX(Tabelle132[Zone],MATCH(Tabelle7[[#This Row],[Gesamtcode]],Tabelle132[Gesamtcode],0))</f>
        <v>#N/A</v>
      </c>
      <c r="D4" t="e">
        <f>INDEX(Tabelle132[Raum],MATCH(Tabelle7[[#This Row],[Gesamtcode]],Tabelle132[Gesamtcode],0))</f>
        <v>#N/A</v>
      </c>
      <c r="E4" t="e">
        <f>INDEX(Tabelle132[Bezeichnung],MATCH(Tabelle7[[#This Row],[Gesamtcode]],Tabelle132[Gesamtcode],0))</f>
        <v>#N/A</v>
      </c>
      <c r="F4" t="e">
        <f>"_"&amp;INDEX(Tabelle132[Geräte/Gewerke],MATCH(Tabelle7[[#This Row],[Gesamtcode]],Tabelle132[Gesamtcode],0))</f>
        <v>#N/A</v>
      </c>
      <c r="G4" t="e">
        <f>INDEX(Tabelle13[Gewerknr.],MATCH(Tabelle7[[#This Row],[Gewerke]],Tabelle13[Hauptgruppe],0))</f>
        <v>#N/A</v>
      </c>
      <c r="H4" t="s">
        <v>255</v>
      </c>
      <c r="I4" t="e">
        <f ca="1">INDEX(Tabelle134[Funktionsbereichsnr.],MATCH(Tabelle7[[#This Row],[Funktionsbereiche]],INDIRECT("Tabelle134["&amp;Tabelle7[[#This Row],[Gewerke]]&amp;"]"),0))</f>
        <v>#N/A</v>
      </c>
      <c r="J4" t="e">
        <f>Tabelle7[[#This Row],[Gesamtcode]]&amp;"_"&amp;Tabelle7[[#This Row],[Zone]]&amp;"_"&amp;Tabelle7[[#This Row],[Raum]]&amp;"_"&amp;Tabelle7[[#This Row],[Bezeichnung]]</f>
        <v>#N/A</v>
      </c>
      <c r="K4">
        <v>0</v>
      </c>
      <c r="L4" t="e">
        <f>Tabelle7[[#This Row],[Hauptgruppe]]&amp;"/-/-"</f>
        <v>#N/A</v>
      </c>
      <c r="M4" t="e">
        <f ca="1">Tabelle7[[#This Row],[Hauptgruppe]]&amp;"/"&amp;Tabelle7[[#This Row],[Mittelgruppe]]&amp;"/-"</f>
        <v>#N/A</v>
      </c>
      <c r="N4" t="e">
        <f ca="1">Tabelle7[[#This Row],[Hauptgruppe]]&amp;"/"&amp;Tabelle7[[#This Row],[Mittelgruppe]]&amp;"/"&amp;Tabelle7[[#This Row],[Untergruppe]]</f>
        <v>#N/A</v>
      </c>
      <c r="O4" t="e">
        <f>INDEX(Tabelle6[Aktor],MATCH(Tabelle7[[#This Row],[Gesamtcode]],Tabelle6[Gesamtcode],0))&amp;" "&amp;INDEX(Tabelle6[Aktorkanal],MATCH(Tabelle7[[#This Row],[Gesamtcode]],Tabelle6[Gesamtcode],0))</f>
        <v>#N/A</v>
      </c>
    </row>
    <row r="5" spans="2:15" x14ac:dyDescent="0.25">
      <c r="B5" t="s">
        <v>256</v>
      </c>
      <c r="C5" t="e">
        <f>INDEX(Tabelle132[Zone],MATCH(Tabelle7[[#This Row],[Gesamtcode]],Tabelle132[Gesamtcode],0))</f>
        <v>#N/A</v>
      </c>
      <c r="D5" t="e">
        <f>INDEX(Tabelle132[Raum],MATCH(Tabelle7[[#This Row],[Gesamtcode]],Tabelle132[Gesamtcode],0))</f>
        <v>#N/A</v>
      </c>
      <c r="E5" t="e">
        <f>INDEX(Tabelle132[Bezeichnung],MATCH(Tabelle7[[#This Row],[Gesamtcode]],Tabelle132[Gesamtcode],0))</f>
        <v>#N/A</v>
      </c>
      <c r="F5" t="e">
        <f>"_"&amp;INDEX(Tabelle132[Geräte/Gewerke],MATCH(Tabelle7[[#This Row],[Gesamtcode]],Tabelle132[Gesamtcode],0))</f>
        <v>#N/A</v>
      </c>
      <c r="G5" t="e">
        <f>INDEX(Tabelle13[Gewerknr.],MATCH(Tabelle7[[#This Row],[Gewerke]],Tabelle13[Hauptgruppe],0))</f>
        <v>#N/A</v>
      </c>
      <c r="H5" t="s">
        <v>255</v>
      </c>
      <c r="I5" t="e">
        <f ca="1">INDEX(Tabelle134[Funktionsbereichsnr.],MATCH(Tabelle7[[#This Row],[Funktionsbereiche]],INDIRECT("Tabelle134["&amp;Tabelle7[[#This Row],[Gewerke]]&amp;"]"),0))</f>
        <v>#N/A</v>
      </c>
      <c r="J5" t="e">
        <f>Tabelle7[[#This Row],[Gesamtcode]]&amp;"_"&amp;Tabelle7[[#This Row],[Zone]]&amp;"_"&amp;Tabelle7[[#This Row],[Raum]]&amp;"_"&amp;Tabelle7[[#This Row],[Bezeichnung]]</f>
        <v>#N/A</v>
      </c>
      <c r="K5">
        <v>1</v>
      </c>
      <c r="L5" t="e">
        <f>Tabelle7[[#This Row],[Hauptgruppe]]&amp;"/-/-"</f>
        <v>#N/A</v>
      </c>
      <c r="M5" t="e">
        <f ca="1">Tabelle7[[#This Row],[Hauptgruppe]]&amp;"/"&amp;Tabelle7[[#This Row],[Mittelgruppe]]&amp;"/-"</f>
        <v>#N/A</v>
      </c>
      <c r="N5" t="e">
        <f ca="1">Tabelle7[[#This Row],[Hauptgruppe]]&amp;"/"&amp;Tabelle7[[#This Row],[Mittelgruppe]]&amp;"/"&amp;Tabelle7[[#This Row],[Untergruppe]]</f>
        <v>#N/A</v>
      </c>
      <c r="O5" t="e">
        <f>INDEX(Tabelle6[Aktor],MATCH(Tabelle7[[#This Row],[Gesamtcode]],Tabelle6[Gesamtcode],0))&amp;" "&amp;INDEX(Tabelle6[Aktorkanal],MATCH(Tabelle7[[#This Row],[Gesamtcode]],Tabelle6[Gesamtcode],0))</f>
        <v>#N/A</v>
      </c>
    </row>
    <row r="6" spans="2:15" x14ac:dyDescent="0.25">
      <c r="B6" t="s">
        <v>257</v>
      </c>
      <c r="C6" t="e">
        <f>INDEX(Tabelle132[Zone],MATCH(Tabelle7[[#This Row],[Gesamtcode]],Tabelle132[Gesamtcode],0))</f>
        <v>#N/A</v>
      </c>
      <c r="D6" t="e">
        <f>INDEX(Tabelle132[Raum],MATCH(Tabelle7[[#This Row],[Gesamtcode]],Tabelle132[Gesamtcode],0))</f>
        <v>#N/A</v>
      </c>
      <c r="E6" t="e">
        <f>INDEX(Tabelle132[Bezeichnung],MATCH(Tabelle7[[#This Row],[Gesamtcode]],Tabelle132[Gesamtcode],0))</f>
        <v>#N/A</v>
      </c>
      <c r="F6" t="e">
        <f>"_"&amp;INDEX(Tabelle132[Geräte/Gewerke],MATCH(Tabelle7[[#This Row],[Gesamtcode]],Tabelle132[Gesamtcode],0))</f>
        <v>#N/A</v>
      </c>
      <c r="G6" t="e">
        <f>INDEX(Tabelle13[Gewerknr.],MATCH(Tabelle7[[#This Row],[Gewerke]],Tabelle13[Hauptgruppe],0))</f>
        <v>#N/A</v>
      </c>
      <c r="H6" t="s">
        <v>255</v>
      </c>
      <c r="I6" t="e">
        <f ca="1">INDEX(Tabelle134[Funktionsbereichsnr.],MATCH(Tabelle7[[#This Row],[Funktionsbereiche]],INDIRECT("Tabelle134["&amp;Tabelle7[[#This Row],[Gewerke]]&amp;"]"),0))</f>
        <v>#N/A</v>
      </c>
      <c r="J6" t="e">
        <f>Tabelle7[[#This Row],[Gesamtcode]]&amp;"_"&amp;Tabelle7[[#This Row],[Zone]]&amp;"_"&amp;Tabelle7[[#This Row],[Raum]]&amp;"_"&amp;Tabelle7[[#This Row],[Bezeichnung]]</f>
        <v>#N/A</v>
      </c>
      <c r="K6">
        <v>10</v>
      </c>
      <c r="L6" t="e">
        <f>Tabelle7[[#This Row],[Hauptgruppe]]&amp;"/-/-"</f>
        <v>#N/A</v>
      </c>
      <c r="M6" t="e">
        <f ca="1">Tabelle7[[#This Row],[Hauptgruppe]]&amp;"/"&amp;Tabelle7[[#This Row],[Mittelgruppe]]&amp;"/-"</f>
        <v>#N/A</v>
      </c>
      <c r="N6" t="e">
        <f ca="1">Tabelle7[[#This Row],[Hauptgruppe]]&amp;"/"&amp;Tabelle7[[#This Row],[Mittelgruppe]]&amp;"/"&amp;Tabelle7[[#This Row],[Untergruppe]]</f>
        <v>#N/A</v>
      </c>
      <c r="O6" t="e">
        <f>INDEX(Tabelle6[Aktor],MATCH(Tabelle7[[#This Row],[Gesamtcode]],Tabelle6[Gesamtcode],0))&amp;" "&amp;INDEX(Tabelle6[Aktorkanal],MATCH(Tabelle7[[#This Row],[Gesamtcode]],Tabelle6[Gesamtcode],0))</f>
        <v>#N/A</v>
      </c>
    </row>
    <row r="7" spans="2:15" x14ac:dyDescent="0.25">
      <c r="B7" t="s">
        <v>258</v>
      </c>
      <c r="C7" t="e">
        <f>INDEX(Tabelle132[Zone],MATCH(Tabelle7[[#This Row],[Gesamtcode]],Tabelle132[Gesamtcode],0))</f>
        <v>#N/A</v>
      </c>
      <c r="D7" t="e">
        <f>INDEX(Tabelle132[Raum],MATCH(Tabelle7[[#This Row],[Gesamtcode]],Tabelle132[Gesamtcode],0))</f>
        <v>#N/A</v>
      </c>
      <c r="E7" t="e">
        <f>INDEX(Tabelle132[Bezeichnung],MATCH(Tabelle7[[#This Row],[Gesamtcode]],Tabelle132[Gesamtcode],0))</f>
        <v>#N/A</v>
      </c>
      <c r="F7" t="e">
        <f>"_"&amp;INDEX(Tabelle132[Geräte/Gewerke],MATCH(Tabelle7[[#This Row],[Gesamtcode]],Tabelle132[Gesamtcode],0))</f>
        <v>#N/A</v>
      </c>
      <c r="G7" t="e">
        <f>INDEX(Tabelle13[Gewerknr.],MATCH(Tabelle7[[#This Row],[Gewerke]],Tabelle13[Hauptgruppe],0))</f>
        <v>#N/A</v>
      </c>
      <c r="H7" t="s">
        <v>255</v>
      </c>
      <c r="I7" t="e">
        <f ca="1">INDEX(Tabelle134[Funktionsbereichsnr.],MATCH(Tabelle7[[#This Row],[Funktionsbereiche]],INDIRECT("Tabelle134["&amp;Tabelle7[[#This Row],[Gewerke]]&amp;"]"),0))</f>
        <v>#N/A</v>
      </c>
      <c r="J7" t="e">
        <f>Tabelle7[[#This Row],[Gesamtcode]]&amp;"_"&amp;Tabelle7[[#This Row],[Zone]]&amp;"_"&amp;Tabelle7[[#This Row],[Raum]]&amp;"_"&amp;Tabelle7[[#This Row],[Bezeichnung]]</f>
        <v>#N/A</v>
      </c>
      <c r="K7">
        <v>11</v>
      </c>
      <c r="L7" t="e">
        <f>Tabelle7[[#This Row],[Hauptgruppe]]&amp;"/-/-"</f>
        <v>#N/A</v>
      </c>
      <c r="M7" t="e">
        <f ca="1">Tabelle7[[#This Row],[Hauptgruppe]]&amp;"/"&amp;Tabelle7[[#This Row],[Mittelgruppe]]&amp;"/-"</f>
        <v>#N/A</v>
      </c>
      <c r="N7" t="e">
        <f ca="1">Tabelle7[[#This Row],[Hauptgruppe]]&amp;"/"&amp;Tabelle7[[#This Row],[Mittelgruppe]]&amp;"/"&amp;Tabelle7[[#This Row],[Untergruppe]]</f>
        <v>#N/A</v>
      </c>
      <c r="O7" t="e">
        <f>INDEX(Tabelle6[Aktor],MATCH(Tabelle7[[#This Row],[Gesamtcode]],Tabelle6[Gesamtcode],0))&amp;" "&amp;INDEX(Tabelle6[Aktorkanal],MATCH(Tabelle7[[#This Row],[Gesamtcode]],Tabelle6[Gesamtcode],0))</f>
        <v>#N/A</v>
      </c>
    </row>
    <row r="8" spans="2:15" x14ac:dyDescent="0.25">
      <c r="B8" t="s">
        <v>259</v>
      </c>
      <c r="C8" t="e">
        <f>INDEX(Tabelle132[Zone],MATCH(Tabelle7[[#This Row],[Gesamtcode]],Tabelle132[Gesamtcode],0))</f>
        <v>#N/A</v>
      </c>
      <c r="D8" t="e">
        <f>INDEX(Tabelle132[Raum],MATCH(Tabelle7[[#This Row],[Gesamtcode]],Tabelle132[Gesamtcode],0))</f>
        <v>#N/A</v>
      </c>
      <c r="E8" t="e">
        <f>INDEX(Tabelle132[Bezeichnung],MATCH(Tabelle7[[#This Row],[Gesamtcode]],Tabelle132[Gesamtcode],0))</f>
        <v>#N/A</v>
      </c>
      <c r="F8" t="e">
        <f>"_"&amp;INDEX(Tabelle132[Geräte/Gewerke],MATCH(Tabelle7[[#This Row],[Gesamtcode]],Tabelle132[Gesamtcode],0))</f>
        <v>#N/A</v>
      </c>
      <c r="G8" t="e">
        <f>INDEX(Tabelle13[Gewerknr.],MATCH(Tabelle7[[#This Row],[Gewerke]],Tabelle13[Hauptgruppe],0))</f>
        <v>#N/A</v>
      </c>
      <c r="H8" t="s">
        <v>255</v>
      </c>
      <c r="I8" t="e">
        <f ca="1">INDEX(Tabelle134[Funktionsbereichsnr.],MATCH(Tabelle7[[#This Row],[Funktionsbereiche]],INDIRECT("Tabelle134["&amp;Tabelle7[[#This Row],[Gewerke]]&amp;"]"),0))</f>
        <v>#N/A</v>
      </c>
      <c r="J8" t="e">
        <f>Tabelle7[[#This Row],[Gesamtcode]]&amp;"_"&amp;Tabelle7[[#This Row],[Zone]]&amp;"_"&amp;Tabelle7[[#This Row],[Raum]]&amp;"_"&amp;Tabelle7[[#This Row],[Bezeichnung]]</f>
        <v>#N/A</v>
      </c>
      <c r="K8">
        <v>12</v>
      </c>
      <c r="L8" t="e">
        <f>Tabelle7[[#This Row],[Hauptgruppe]]&amp;"/-/-"</f>
        <v>#N/A</v>
      </c>
      <c r="M8" t="e">
        <f ca="1">Tabelle7[[#This Row],[Hauptgruppe]]&amp;"/"&amp;Tabelle7[[#This Row],[Mittelgruppe]]&amp;"/-"</f>
        <v>#N/A</v>
      </c>
      <c r="N8" t="e">
        <f ca="1">Tabelle7[[#This Row],[Hauptgruppe]]&amp;"/"&amp;Tabelle7[[#This Row],[Mittelgruppe]]&amp;"/"&amp;Tabelle7[[#This Row],[Untergruppe]]</f>
        <v>#N/A</v>
      </c>
      <c r="O8" t="e">
        <f>INDEX(Tabelle6[Aktor],MATCH(Tabelle7[[#This Row],[Gesamtcode]],Tabelle6[Gesamtcode],0))&amp;" "&amp;INDEX(Tabelle6[Aktorkanal],MATCH(Tabelle7[[#This Row],[Gesamtcode]],Tabelle6[Gesamtcode],0))</f>
        <v>#N/A</v>
      </c>
    </row>
    <row r="9" spans="2:15" x14ac:dyDescent="0.25">
      <c r="B9" t="s">
        <v>260</v>
      </c>
      <c r="C9" t="e">
        <f>INDEX(Tabelle132[Zone],MATCH(Tabelle7[[#This Row],[Gesamtcode]],Tabelle132[Gesamtcode],0))</f>
        <v>#N/A</v>
      </c>
      <c r="D9" t="e">
        <f>INDEX(Tabelle132[Raum],MATCH(Tabelle7[[#This Row],[Gesamtcode]],Tabelle132[Gesamtcode],0))</f>
        <v>#N/A</v>
      </c>
      <c r="E9" t="e">
        <f>INDEX(Tabelle132[Bezeichnung],MATCH(Tabelle7[[#This Row],[Gesamtcode]],Tabelle132[Gesamtcode],0))</f>
        <v>#N/A</v>
      </c>
      <c r="F9" t="e">
        <f>"_"&amp;INDEX(Tabelle132[Geräte/Gewerke],MATCH(Tabelle7[[#This Row],[Gesamtcode]],Tabelle132[Gesamtcode],0))</f>
        <v>#N/A</v>
      </c>
      <c r="G9" t="e">
        <f>INDEX(Tabelle13[Gewerknr.],MATCH(Tabelle7[[#This Row],[Gewerke]],Tabelle13[Hauptgruppe],0))</f>
        <v>#N/A</v>
      </c>
      <c r="H9" t="s">
        <v>255</v>
      </c>
      <c r="I9" t="e">
        <f ca="1">INDEX(Tabelle134[Funktionsbereichsnr.],MATCH(Tabelle7[[#This Row],[Funktionsbereiche]],INDIRECT("Tabelle134["&amp;Tabelle7[[#This Row],[Gewerke]]&amp;"]"),0))</f>
        <v>#N/A</v>
      </c>
      <c r="J9" t="e">
        <f>Tabelle7[[#This Row],[Gesamtcode]]&amp;"_"&amp;Tabelle7[[#This Row],[Zone]]&amp;"_"&amp;Tabelle7[[#This Row],[Raum]]&amp;"_"&amp;Tabelle7[[#This Row],[Bezeichnung]]</f>
        <v>#N/A</v>
      </c>
      <c r="K9">
        <v>13</v>
      </c>
      <c r="L9" t="e">
        <f>Tabelle7[[#This Row],[Hauptgruppe]]&amp;"/-/-"</f>
        <v>#N/A</v>
      </c>
      <c r="M9" t="e">
        <f ca="1">Tabelle7[[#This Row],[Hauptgruppe]]&amp;"/"&amp;Tabelle7[[#This Row],[Mittelgruppe]]&amp;"/-"</f>
        <v>#N/A</v>
      </c>
      <c r="N9" t="e">
        <f ca="1">Tabelle7[[#This Row],[Hauptgruppe]]&amp;"/"&amp;Tabelle7[[#This Row],[Mittelgruppe]]&amp;"/"&amp;Tabelle7[[#This Row],[Untergruppe]]</f>
        <v>#N/A</v>
      </c>
      <c r="O9" t="e">
        <f>INDEX(Tabelle6[Aktor],MATCH(Tabelle7[[#This Row],[Gesamtcode]],Tabelle6[Gesamtcode],0))&amp;" "&amp;INDEX(Tabelle6[Aktorkanal],MATCH(Tabelle7[[#This Row],[Gesamtcode]],Tabelle6[Gesamtcode],0))</f>
        <v>#N/A</v>
      </c>
    </row>
    <row r="10" spans="2:15" x14ac:dyDescent="0.25">
      <c r="B10" t="s">
        <v>261</v>
      </c>
      <c r="C10" t="e">
        <f>INDEX(Tabelle132[Zone],MATCH(Tabelle7[[#This Row],[Gesamtcode]],Tabelle132[Gesamtcode],0))</f>
        <v>#N/A</v>
      </c>
      <c r="D10" t="e">
        <f>INDEX(Tabelle132[Raum],MATCH(Tabelle7[[#This Row],[Gesamtcode]],Tabelle132[Gesamtcode],0))</f>
        <v>#N/A</v>
      </c>
      <c r="E10" t="e">
        <f>INDEX(Tabelle132[Bezeichnung],MATCH(Tabelle7[[#This Row],[Gesamtcode]],Tabelle132[Gesamtcode],0))</f>
        <v>#N/A</v>
      </c>
      <c r="F10" t="e">
        <f>"_"&amp;INDEX(Tabelle132[Geräte/Gewerke],MATCH(Tabelle7[[#This Row],[Gesamtcode]],Tabelle132[Gesamtcode],0))</f>
        <v>#N/A</v>
      </c>
      <c r="G10" t="e">
        <f>INDEX(Tabelle13[Gewerknr.],MATCH(Tabelle7[[#This Row],[Gewerke]],Tabelle13[Hauptgruppe],0))</f>
        <v>#N/A</v>
      </c>
      <c r="H10" t="s">
        <v>255</v>
      </c>
      <c r="I10" t="e">
        <f ca="1">INDEX(Tabelle134[Funktionsbereichsnr.],MATCH(Tabelle7[[#This Row],[Funktionsbereiche]],INDIRECT("Tabelle134["&amp;Tabelle7[[#This Row],[Gewerke]]&amp;"]"),0))</f>
        <v>#N/A</v>
      </c>
      <c r="J10" t="e">
        <f>Tabelle7[[#This Row],[Gesamtcode]]&amp;"_"&amp;Tabelle7[[#This Row],[Zone]]&amp;"_"&amp;Tabelle7[[#This Row],[Raum]]&amp;"_"&amp;Tabelle7[[#This Row],[Bezeichnung]]</f>
        <v>#N/A</v>
      </c>
      <c r="K10">
        <v>14</v>
      </c>
      <c r="L10" t="e">
        <f>Tabelle7[[#This Row],[Hauptgruppe]]&amp;"/-/-"</f>
        <v>#N/A</v>
      </c>
      <c r="M10" t="e">
        <f ca="1">Tabelle7[[#This Row],[Hauptgruppe]]&amp;"/"&amp;Tabelle7[[#This Row],[Mittelgruppe]]&amp;"/-"</f>
        <v>#N/A</v>
      </c>
      <c r="N10" t="e">
        <f ca="1">Tabelle7[[#This Row],[Hauptgruppe]]&amp;"/"&amp;Tabelle7[[#This Row],[Mittelgruppe]]&amp;"/"&amp;Tabelle7[[#This Row],[Untergruppe]]</f>
        <v>#N/A</v>
      </c>
      <c r="O10" t="e">
        <f>INDEX(Tabelle6[Aktor],MATCH(Tabelle7[[#This Row],[Gesamtcode]],Tabelle6[Gesamtcode],0))&amp;" "&amp;INDEX(Tabelle6[Aktorkanal],MATCH(Tabelle7[[#This Row],[Gesamtcode]],Tabelle6[Gesamtcode],0))</f>
        <v>#N/A</v>
      </c>
    </row>
    <row r="11" spans="2:15" x14ac:dyDescent="0.25">
      <c r="B11" t="s">
        <v>262</v>
      </c>
      <c r="C11" t="e">
        <f>INDEX(Tabelle132[Zone],MATCH(Tabelle7[[#This Row],[Gesamtcode]],Tabelle132[Gesamtcode],0))</f>
        <v>#N/A</v>
      </c>
      <c r="D11" t="e">
        <f>INDEX(Tabelle132[Raum],MATCH(Tabelle7[[#This Row],[Gesamtcode]],Tabelle132[Gesamtcode],0))</f>
        <v>#N/A</v>
      </c>
      <c r="E11" t="e">
        <f>INDEX(Tabelle132[Bezeichnung],MATCH(Tabelle7[[#This Row],[Gesamtcode]],Tabelle132[Gesamtcode],0))</f>
        <v>#N/A</v>
      </c>
      <c r="F11" t="e">
        <f>"_"&amp;INDEX(Tabelle132[Geräte/Gewerke],MATCH(Tabelle7[[#This Row],[Gesamtcode]],Tabelle132[Gesamtcode],0))</f>
        <v>#N/A</v>
      </c>
      <c r="G11" t="e">
        <f>INDEX(Tabelle13[Gewerknr.],MATCH(Tabelle7[[#This Row],[Gewerke]],Tabelle13[Hauptgruppe],0))</f>
        <v>#N/A</v>
      </c>
      <c r="H11" t="s">
        <v>255</v>
      </c>
      <c r="I11" t="e">
        <f ca="1">INDEX(Tabelle134[Funktionsbereichsnr.],MATCH(Tabelle7[[#This Row],[Funktionsbereiche]],INDIRECT("Tabelle134["&amp;Tabelle7[[#This Row],[Gewerke]]&amp;"]"),0))</f>
        <v>#N/A</v>
      </c>
      <c r="J11" t="e">
        <f>Tabelle7[[#This Row],[Gesamtcode]]&amp;"_"&amp;Tabelle7[[#This Row],[Zone]]&amp;"_"&amp;Tabelle7[[#This Row],[Raum]]&amp;"_"&amp;Tabelle7[[#This Row],[Bezeichnung]]</f>
        <v>#N/A</v>
      </c>
      <c r="K11">
        <v>15</v>
      </c>
      <c r="L11" t="e">
        <f>Tabelle7[[#This Row],[Hauptgruppe]]&amp;"/-/-"</f>
        <v>#N/A</v>
      </c>
      <c r="M11" t="e">
        <f ca="1">Tabelle7[[#This Row],[Hauptgruppe]]&amp;"/"&amp;Tabelle7[[#This Row],[Mittelgruppe]]&amp;"/-"</f>
        <v>#N/A</v>
      </c>
      <c r="N11" t="e">
        <f ca="1">Tabelle7[[#This Row],[Hauptgruppe]]&amp;"/"&amp;Tabelle7[[#This Row],[Mittelgruppe]]&amp;"/"&amp;Tabelle7[[#This Row],[Untergruppe]]</f>
        <v>#N/A</v>
      </c>
      <c r="O11" t="e">
        <f>INDEX(Tabelle6[Aktor],MATCH(Tabelle7[[#This Row],[Gesamtcode]],Tabelle6[Gesamtcode],0))&amp;" "&amp;INDEX(Tabelle6[Aktorkanal],MATCH(Tabelle7[[#This Row],[Gesamtcode]],Tabelle6[Gesamtcode],0))</f>
        <v>#N/A</v>
      </c>
    </row>
    <row r="12" spans="2:15" x14ac:dyDescent="0.25">
      <c r="B12" t="s">
        <v>263</v>
      </c>
      <c r="C12" t="e">
        <f>INDEX(Tabelle132[Zone],MATCH(Tabelle7[[#This Row],[Gesamtcode]],Tabelle132[Gesamtcode],0))</f>
        <v>#N/A</v>
      </c>
      <c r="D12" t="e">
        <f>INDEX(Tabelle132[Raum],MATCH(Tabelle7[[#This Row],[Gesamtcode]],Tabelle132[Gesamtcode],0))</f>
        <v>#N/A</v>
      </c>
      <c r="E12" t="e">
        <f>INDEX(Tabelle132[Bezeichnung],MATCH(Tabelle7[[#This Row],[Gesamtcode]],Tabelle132[Gesamtcode],0))</f>
        <v>#N/A</v>
      </c>
      <c r="F12" t="e">
        <f>"_"&amp;INDEX(Tabelle132[Geräte/Gewerke],MATCH(Tabelle7[[#This Row],[Gesamtcode]],Tabelle132[Gesamtcode],0))</f>
        <v>#N/A</v>
      </c>
      <c r="G12" t="e">
        <f>INDEX(Tabelle13[Gewerknr.],MATCH(Tabelle7[[#This Row],[Gewerke]],Tabelle13[Hauptgruppe],0))</f>
        <v>#N/A</v>
      </c>
      <c r="H12" t="s">
        <v>255</v>
      </c>
      <c r="I12" t="e">
        <f ca="1">INDEX(Tabelle134[Funktionsbereichsnr.],MATCH(Tabelle7[[#This Row],[Funktionsbereiche]],INDIRECT("Tabelle134["&amp;Tabelle7[[#This Row],[Gewerke]]&amp;"]"),0))</f>
        <v>#N/A</v>
      </c>
      <c r="J12" t="e">
        <f>Tabelle7[[#This Row],[Gesamtcode]]&amp;"_"&amp;Tabelle7[[#This Row],[Zone]]&amp;"_"&amp;Tabelle7[[#This Row],[Raum]]&amp;"_"&amp;Tabelle7[[#This Row],[Bezeichnung]]</f>
        <v>#N/A</v>
      </c>
      <c r="K12">
        <v>16</v>
      </c>
      <c r="L12" t="e">
        <f>Tabelle7[[#This Row],[Hauptgruppe]]&amp;"/-/-"</f>
        <v>#N/A</v>
      </c>
      <c r="M12" t="e">
        <f ca="1">Tabelle7[[#This Row],[Hauptgruppe]]&amp;"/"&amp;Tabelle7[[#This Row],[Mittelgruppe]]&amp;"/-"</f>
        <v>#N/A</v>
      </c>
      <c r="N12" t="e">
        <f ca="1">Tabelle7[[#This Row],[Hauptgruppe]]&amp;"/"&amp;Tabelle7[[#This Row],[Mittelgruppe]]&amp;"/"&amp;Tabelle7[[#This Row],[Untergruppe]]</f>
        <v>#N/A</v>
      </c>
      <c r="O12" t="e">
        <f>INDEX(Tabelle6[Aktor],MATCH(Tabelle7[[#This Row],[Gesamtcode]],Tabelle6[Gesamtcode],0))&amp;" "&amp;INDEX(Tabelle6[Aktorkanal],MATCH(Tabelle7[[#This Row],[Gesamtcode]],Tabelle6[Gesamtcode],0))</f>
        <v>#N/A</v>
      </c>
    </row>
    <row r="13" spans="2:15" x14ac:dyDescent="0.25">
      <c r="B13" t="s">
        <v>264</v>
      </c>
      <c r="C13" t="e">
        <f>INDEX(Tabelle132[Zone],MATCH(Tabelle7[[#This Row],[Gesamtcode]],Tabelle132[Gesamtcode],0))</f>
        <v>#N/A</v>
      </c>
      <c r="D13" t="e">
        <f>INDEX(Tabelle132[Raum],MATCH(Tabelle7[[#This Row],[Gesamtcode]],Tabelle132[Gesamtcode],0))</f>
        <v>#N/A</v>
      </c>
      <c r="E13" t="e">
        <f>INDEX(Tabelle132[Bezeichnung],MATCH(Tabelle7[[#This Row],[Gesamtcode]],Tabelle132[Gesamtcode],0))</f>
        <v>#N/A</v>
      </c>
      <c r="F13" t="e">
        <f>"_"&amp;INDEX(Tabelle132[Geräte/Gewerke],MATCH(Tabelle7[[#This Row],[Gesamtcode]],Tabelle132[Gesamtcode],0))</f>
        <v>#N/A</v>
      </c>
      <c r="G13" t="e">
        <f>INDEX(Tabelle13[Gewerknr.],MATCH(Tabelle7[[#This Row],[Gewerke]],Tabelle13[Hauptgruppe],0))</f>
        <v>#N/A</v>
      </c>
      <c r="H13" t="s">
        <v>255</v>
      </c>
      <c r="I13" t="e">
        <f ca="1">INDEX(Tabelle134[Funktionsbereichsnr.],MATCH(Tabelle7[[#This Row],[Funktionsbereiche]],INDIRECT("Tabelle134["&amp;Tabelle7[[#This Row],[Gewerke]]&amp;"]"),0))</f>
        <v>#N/A</v>
      </c>
      <c r="J13" t="e">
        <f>Tabelle7[[#This Row],[Gesamtcode]]&amp;"_"&amp;Tabelle7[[#This Row],[Zone]]&amp;"_"&amp;Tabelle7[[#This Row],[Raum]]&amp;"_"&amp;Tabelle7[[#This Row],[Bezeichnung]]</f>
        <v>#N/A</v>
      </c>
      <c r="K13">
        <v>17</v>
      </c>
      <c r="L13" t="e">
        <f>Tabelle7[[#This Row],[Hauptgruppe]]&amp;"/-/-"</f>
        <v>#N/A</v>
      </c>
      <c r="M13" t="e">
        <f ca="1">Tabelle7[[#This Row],[Hauptgruppe]]&amp;"/"&amp;Tabelle7[[#This Row],[Mittelgruppe]]&amp;"/-"</f>
        <v>#N/A</v>
      </c>
      <c r="N13" t="e">
        <f ca="1">Tabelle7[[#This Row],[Hauptgruppe]]&amp;"/"&amp;Tabelle7[[#This Row],[Mittelgruppe]]&amp;"/"&amp;Tabelle7[[#This Row],[Untergruppe]]</f>
        <v>#N/A</v>
      </c>
      <c r="O13" t="e">
        <f>INDEX(Tabelle6[Aktor],MATCH(Tabelle7[[#This Row],[Gesamtcode]],Tabelle6[Gesamtcode],0))&amp;" "&amp;INDEX(Tabelle6[Aktorkanal],MATCH(Tabelle7[[#This Row],[Gesamtcode]],Tabelle6[Gesamtcode],0))</f>
        <v>#N/A</v>
      </c>
    </row>
    <row r="14" spans="2:15" x14ac:dyDescent="0.25">
      <c r="B14" t="s">
        <v>265</v>
      </c>
      <c r="C14" t="e">
        <f>INDEX(Tabelle132[Zone],MATCH(Tabelle7[[#This Row],[Gesamtcode]],Tabelle132[Gesamtcode],0))</f>
        <v>#N/A</v>
      </c>
      <c r="D14" t="e">
        <f>INDEX(Tabelle132[Raum],MATCH(Tabelle7[[#This Row],[Gesamtcode]],Tabelle132[Gesamtcode],0))</f>
        <v>#N/A</v>
      </c>
      <c r="E14" t="e">
        <f>INDEX(Tabelle132[Bezeichnung],MATCH(Tabelle7[[#This Row],[Gesamtcode]],Tabelle132[Gesamtcode],0))</f>
        <v>#N/A</v>
      </c>
      <c r="F14" t="e">
        <f>"_"&amp;INDEX(Tabelle132[Geräte/Gewerke],MATCH(Tabelle7[[#This Row],[Gesamtcode]],Tabelle132[Gesamtcode],0))</f>
        <v>#N/A</v>
      </c>
      <c r="G14" t="e">
        <f>INDEX(Tabelle13[Gewerknr.],MATCH(Tabelle7[[#This Row],[Gewerke]],Tabelle13[Hauptgruppe],0))</f>
        <v>#N/A</v>
      </c>
      <c r="H14" t="s">
        <v>255</v>
      </c>
      <c r="I14" t="e">
        <f ca="1">INDEX(Tabelle134[Funktionsbereichsnr.],MATCH(Tabelle7[[#This Row],[Funktionsbereiche]],INDIRECT("Tabelle134["&amp;Tabelle7[[#This Row],[Gewerke]]&amp;"]"),0))</f>
        <v>#N/A</v>
      </c>
      <c r="J14" t="e">
        <f>Tabelle7[[#This Row],[Gesamtcode]]&amp;"_"&amp;Tabelle7[[#This Row],[Zone]]&amp;"_"&amp;Tabelle7[[#This Row],[Raum]]&amp;"_"&amp;Tabelle7[[#This Row],[Bezeichnung]]</f>
        <v>#N/A</v>
      </c>
      <c r="K14">
        <v>18</v>
      </c>
      <c r="L14" t="e">
        <f>Tabelle7[[#This Row],[Hauptgruppe]]&amp;"/-/-"</f>
        <v>#N/A</v>
      </c>
      <c r="M14" t="e">
        <f ca="1">Tabelle7[[#This Row],[Hauptgruppe]]&amp;"/"&amp;Tabelle7[[#This Row],[Mittelgruppe]]&amp;"/-"</f>
        <v>#N/A</v>
      </c>
      <c r="N14" t="e">
        <f ca="1">Tabelle7[[#This Row],[Hauptgruppe]]&amp;"/"&amp;Tabelle7[[#This Row],[Mittelgruppe]]&amp;"/"&amp;Tabelle7[[#This Row],[Untergruppe]]</f>
        <v>#N/A</v>
      </c>
      <c r="O14" t="e">
        <f>INDEX(Tabelle6[Aktor],MATCH(Tabelle7[[#This Row],[Gesamtcode]],Tabelle6[Gesamtcode],0))&amp;" "&amp;INDEX(Tabelle6[Aktorkanal],MATCH(Tabelle7[[#This Row],[Gesamtcode]],Tabelle6[Gesamtcode],0))</f>
        <v>#N/A</v>
      </c>
    </row>
    <row r="15" spans="2:15" x14ac:dyDescent="0.25">
      <c r="B15" t="s">
        <v>266</v>
      </c>
      <c r="C15" t="e">
        <f>INDEX(Tabelle132[Zone],MATCH(Tabelle7[[#This Row],[Gesamtcode]],Tabelle132[Gesamtcode],0))</f>
        <v>#N/A</v>
      </c>
      <c r="D15" t="e">
        <f>INDEX(Tabelle132[Raum],MATCH(Tabelle7[[#This Row],[Gesamtcode]],Tabelle132[Gesamtcode],0))</f>
        <v>#N/A</v>
      </c>
      <c r="E15" t="e">
        <f>INDEX(Tabelle132[Bezeichnung],MATCH(Tabelle7[[#This Row],[Gesamtcode]],Tabelle132[Gesamtcode],0))</f>
        <v>#N/A</v>
      </c>
      <c r="F15" t="e">
        <f>"_"&amp;INDEX(Tabelle132[Geräte/Gewerke],MATCH(Tabelle7[[#This Row],[Gesamtcode]],Tabelle132[Gesamtcode],0))</f>
        <v>#N/A</v>
      </c>
      <c r="G15" t="e">
        <f>INDEX(Tabelle13[Gewerknr.],MATCH(Tabelle7[[#This Row],[Gewerke]],Tabelle13[Hauptgruppe],0))</f>
        <v>#N/A</v>
      </c>
      <c r="H15" t="s">
        <v>255</v>
      </c>
      <c r="I15" t="e">
        <f ca="1">INDEX(Tabelle134[Funktionsbereichsnr.],MATCH(Tabelle7[[#This Row],[Funktionsbereiche]],INDIRECT("Tabelle134["&amp;Tabelle7[[#This Row],[Gewerke]]&amp;"]"),0))</f>
        <v>#N/A</v>
      </c>
      <c r="J15" t="e">
        <f>Tabelle7[[#This Row],[Gesamtcode]]&amp;"_"&amp;Tabelle7[[#This Row],[Zone]]&amp;"_"&amp;Tabelle7[[#This Row],[Raum]]&amp;"_"&amp;Tabelle7[[#This Row],[Bezeichnung]]</f>
        <v>#N/A</v>
      </c>
      <c r="K15">
        <v>2</v>
      </c>
      <c r="L15" t="e">
        <f>Tabelle7[[#This Row],[Hauptgruppe]]&amp;"/-/-"</f>
        <v>#N/A</v>
      </c>
      <c r="M15" t="e">
        <f ca="1">Tabelle7[[#This Row],[Hauptgruppe]]&amp;"/"&amp;Tabelle7[[#This Row],[Mittelgruppe]]&amp;"/-"</f>
        <v>#N/A</v>
      </c>
      <c r="N15" t="e">
        <f ca="1">Tabelle7[[#This Row],[Hauptgruppe]]&amp;"/"&amp;Tabelle7[[#This Row],[Mittelgruppe]]&amp;"/"&amp;Tabelle7[[#This Row],[Untergruppe]]</f>
        <v>#N/A</v>
      </c>
      <c r="O15" t="e">
        <f>INDEX(Tabelle6[Aktor],MATCH(Tabelle7[[#This Row],[Gesamtcode]],Tabelle6[Gesamtcode],0))&amp;" "&amp;INDEX(Tabelle6[Aktorkanal],MATCH(Tabelle7[[#This Row],[Gesamtcode]],Tabelle6[Gesamtcode],0))</f>
        <v>#N/A</v>
      </c>
    </row>
    <row r="16" spans="2:15" x14ac:dyDescent="0.25">
      <c r="B16" t="s">
        <v>267</v>
      </c>
      <c r="C16" t="e">
        <f>INDEX(Tabelle132[Zone],MATCH(Tabelle7[[#This Row],[Gesamtcode]],Tabelle132[Gesamtcode],0))</f>
        <v>#N/A</v>
      </c>
      <c r="D16" t="e">
        <f>INDEX(Tabelle132[Raum],MATCH(Tabelle7[[#This Row],[Gesamtcode]],Tabelle132[Gesamtcode],0))</f>
        <v>#N/A</v>
      </c>
      <c r="E16" t="e">
        <f>INDEX(Tabelle132[Bezeichnung],MATCH(Tabelle7[[#This Row],[Gesamtcode]],Tabelle132[Gesamtcode],0))</f>
        <v>#N/A</v>
      </c>
      <c r="F16" t="e">
        <f>"_"&amp;INDEX(Tabelle132[Geräte/Gewerke],MATCH(Tabelle7[[#This Row],[Gesamtcode]],Tabelle132[Gesamtcode],0))</f>
        <v>#N/A</v>
      </c>
      <c r="G16" t="e">
        <f>INDEX(Tabelle13[Gewerknr.],MATCH(Tabelle7[[#This Row],[Gewerke]],Tabelle13[Hauptgruppe],0))</f>
        <v>#N/A</v>
      </c>
      <c r="H16" t="s">
        <v>255</v>
      </c>
      <c r="I16" t="e">
        <f ca="1">INDEX(Tabelle134[Funktionsbereichsnr.],MATCH(Tabelle7[[#This Row],[Funktionsbereiche]],INDIRECT("Tabelle134["&amp;Tabelle7[[#This Row],[Gewerke]]&amp;"]"),0))</f>
        <v>#N/A</v>
      </c>
      <c r="J16" t="e">
        <f>Tabelle7[[#This Row],[Gesamtcode]]&amp;"_"&amp;Tabelle7[[#This Row],[Zone]]&amp;"_"&amp;Tabelle7[[#This Row],[Raum]]&amp;"_"&amp;Tabelle7[[#This Row],[Bezeichnung]]</f>
        <v>#N/A</v>
      </c>
      <c r="K16">
        <v>3</v>
      </c>
      <c r="L16" t="e">
        <f>Tabelle7[[#This Row],[Hauptgruppe]]&amp;"/-/-"</f>
        <v>#N/A</v>
      </c>
      <c r="M16" t="e">
        <f ca="1">Tabelle7[[#This Row],[Hauptgruppe]]&amp;"/"&amp;Tabelle7[[#This Row],[Mittelgruppe]]&amp;"/-"</f>
        <v>#N/A</v>
      </c>
      <c r="N16" t="e">
        <f ca="1">Tabelle7[[#This Row],[Hauptgruppe]]&amp;"/"&amp;Tabelle7[[#This Row],[Mittelgruppe]]&amp;"/"&amp;Tabelle7[[#This Row],[Untergruppe]]</f>
        <v>#N/A</v>
      </c>
      <c r="O16" t="e">
        <f>INDEX(Tabelle6[Aktor],MATCH(Tabelle7[[#This Row],[Gesamtcode]],Tabelle6[Gesamtcode],0))&amp;" "&amp;INDEX(Tabelle6[Aktorkanal],MATCH(Tabelle7[[#This Row],[Gesamtcode]],Tabelle6[Gesamtcode],0))</f>
        <v>#N/A</v>
      </c>
    </row>
    <row r="17" spans="2:15" x14ac:dyDescent="0.25">
      <c r="B17" t="s">
        <v>268</v>
      </c>
      <c r="C17" t="e">
        <f>INDEX(Tabelle132[Zone],MATCH(Tabelle7[[#This Row],[Gesamtcode]],Tabelle132[Gesamtcode],0))</f>
        <v>#N/A</v>
      </c>
      <c r="D17" t="e">
        <f>INDEX(Tabelle132[Raum],MATCH(Tabelle7[[#This Row],[Gesamtcode]],Tabelle132[Gesamtcode],0))</f>
        <v>#N/A</v>
      </c>
      <c r="E17" t="e">
        <f>INDEX(Tabelle132[Bezeichnung],MATCH(Tabelle7[[#This Row],[Gesamtcode]],Tabelle132[Gesamtcode],0))</f>
        <v>#N/A</v>
      </c>
      <c r="F17" t="e">
        <f>"_"&amp;INDEX(Tabelle132[Geräte/Gewerke],MATCH(Tabelle7[[#This Row],[Gesamtcode]],Tabelle132[Gesamtcode],0))</f>
        <v>#N/A</v>
      </c>
      <c r="G17" t="e">
        <f>INDEX(Tabelle13[Gewerknr.],MATCH(Tabelle7[[#This Row],[Gewerke]],Tabelle13[Hauptgruppe],0))</f>
        <v>#N/A</v>
      </c>
      <c r="H17" t="s">
        <v>255</v>
      </c>
      <c r="I17" t="e">
        <f ca="1">INDEX(Tabelle134[Funktionsbereichsnr.],MATCH(Tabelle7[[#This Row],[Funktionsbereiche]],INDIRECT("Tabelle134["&amp;Tabelle7[[#This Row],[Gewerke]]&amp;"]"),0))</f>
        <v>#N/A</v>
      </c>
      <c r="J17" t="e">
        <f>Tabelle7[[#This Row],[Gesamtcode]]&amp;"_"&amp;Tabelle7[[#This Row],[Zone]]&amp;"_"&amp;Tabelle7[[#This Row],[Raum]]&amp;"_"&amp;Tabelle7[[#This Row],[Bezeichnung]]</f>
        <v>#N/A</v>
      </c>
      <c r="K17">
        <v>4</v>
      </c>
      <c r="L17" t="e">
        <f>Tabelle7[[#This Row],[Hauptgruppe]]&amp;"/-/-"</f>
        <v>#N/A</v>
      </c>
      <c r="M17" t="e">
        <f ca="1">Tabelle7[[#This Row],[Hauptgruppe]]&amp;"/"&amp;Tabelle7[[#This Row],[Mittelgruppe]]&amp;"/-"</f>
        <v>#N/A</v>
      </c>
      <c r="N17" t="e">
        <f ca="1">Tabelle7[[#This Row],[Hauptgruppe]]&amp;"/"&amp;Tabelle7[[#This Row],[Mittelgruppe]]&amp;"/"&amp;Tabelle7[[#This Row],[Untergruppe]]</f>
        <v>#N/A</v>
      </c>
      <c r="O17" t="e">
        <f>INDEX(Tabelle6[Aktor],MATCH(Tabelle7[[#This Row],[Gesamtcode]],Tabelle6[Gesamtcode],0))&amp;" "&amp;INDEX(Tabelle6[Aktorkanal],MATCH(Tabelle7[[#This Row],[Gesamtcode]],Tabelle6[Gesamtcode],0))</f>
        <v>#N/A</v>
      </c>
    </row>
    <row r="18" spans="2:15" x14ac:dyDescent="0.25">
      <c r="B18" t="s">
        <v>269</v>
      </c>
      <c r="C18" t="e">
        <f>INDEX(Tabelle132[Zone],MATCH(Tabelle7[[#This Row],[Gesamtcode]],Tabelle132[Gesamtcode],0))</f>
        <v>#N/A</v>
      </c>
      <c r="D18" t="e">
        <f>INDEX(Tabelle132[Raum],MATCH(Tabelle7[[#This Row],[Gesamtcode]],Tabelle132[Gesamtcode],0))</f>
        <v>#N/A</v>
      </c>
      <c r="E18" t="e">
        <f>INDEX(Tabelle132[Bezeichnung],MATCH(Tabelle7[[#This Row],[Gesamtcode]],Tabelle132[Gesamtcode],0))</f>
        <v>#N/A</v>
      </c>
      <c r="F18" t="e">
        <f>"_"&amp;INDEX(Tabelle132[Geräte/Gewerke],MATCH(Tabelle7[[#This Row],[Gesamtcode]],Tabelle132[Gesamtcode],0))</f>
        <v>#N/A</v>
      </c>
      <c r="G18" t="e">
        <f>INDEX(Tabelle13[Gewerknr.],MATCH(Tabelle7[[#This Row],[Gewerke]],Tabelle13[Hauptgruppe],0))</f>
        <v>#N/A</v>
      </c>
      <c r="H18" t="s">
        <v>255</v>
      </c>
      <c r="I18" t="e">
        <f ca="1">INDEX(Tabelle134[Funktionsbereichsnr.],MATCH(Tabelle7[[#This Row],[Funktionsbereiche]],INDIRECT("Tabelle134["&amp;Tabelle7[[#This Row],[Gewerke]]&amp;"]"),0))</f>
        <v>#N/A</v>
      </c>
      <c r="J18" t="e">
        <f>Tabelle7[[#This Row],[Gesamtcode]]&amp;"_"&amp;Tabelle7[[#This Row],[Zone]]&amp;"_"&amp;Tabelle7[[#This Row],[Raum]]&amp;"_"&amp;Tabelle7[[#This Row],[Bezeichnung]]</f>
        <v>#N/A</v>
      </c>
      <c r="K18">
        <v>5</v>
      </c>
      <c r="L18" t="e">
        <f>Tabelle7[[#This Row],[Hauptgruppe]]&amp;"/-/-"</f>
        <v>#N/A</v>
      </c>
      <c r="M18" t="e">
        <f ca="1">Tabelle7[[#This Row],[Hauptgruppe]]&amp;"/"&amp;Tabelle7[[#This Row],[Mittelgruppe]]&amp;"/-"</f>
        <v>#N/A</v>
      </c>
      <c r="N18" t="e">
        <f ca="1">Tabelle7[[#This Row],[Hauptgruppe]]&amp;"/"&amp;Tabelle7[[#This Row],[Mittelgruppe]]&amp;"/"&amp;Tabelle7[[#This Row],[Untergruppe]]</f>
        <v>#N/A</v>
      </c>
      <c r="O18" t="e">
        <f>INDEX(Tabelle6[Aktor],MATCH(Tabelle7[[#This Row],[Gesamtcode]],Tabelle6[Gesamtcode],0))&amp;" "&amp;INDEX(Tabelle6[Aktorkanal],MATCH(Tabelle7[[#This Row],[Gesamtcode]],Tabelle6[Gesamtcode],0))</f>
        <v>#N/A</v>
      </c>
    </row>
    <row r="19" spans="2:15" x14ac:dyDescent="0.25">
      <c r="B19" t="s">
        <v>270</v>
      </c>
      <c r="C19" t="e">
        <f>INDEX(Tabelle132[Zone],MATCH(Tabelle7[[#This Row],[Gesamtcode]],Tabelle132[Gesamtcode],0))</f>
        <v>#N/A</v>
      </c>
      <c r="D19" t="e">
        <f>INDEX(Tabelle132[Raum],MATCH(Tabelle7[[#This Row],[Gesamtcode]],Tabelle132[Gesamtcode],0))</f>
        <v>#N/A</v>
      </c>
      <c r="E19" t="e">
        <f>INDEX(Tabelle132[Bezeichnung],MATCH(Tabelle7[[#This Row],[Gesamtcode]],Tabelle132[Gesamtcode],0))</f>
        <v>#N/A</v>
      </c>
      <c r="F19" t="e">
        <f>"_"&amp;INDEX(Tabelle132[Geräte/Gewerke],MATCH(Tabelle7[[#This Row],[Gesamtcode]],Tabelle132[Gesamtcode],0))</f>
        <v>#N/A</v>
      </c>
      <c r="G19" t="e">
        <f>INDEX(Tabelle13[Gewerknr.],MATCH(Tabelle7[[#This Row],[Gewerke]],Tabelle13[Hauptgruppe],0))</f>
        <v>#N/A</v>
      </c>
      <c r="H19" t="s">
        <v>255</v>
      </c>
      <c r="I19" t="e">
        <f ca="1">INDEX(Tabelle134[Funktionsbereichsnr.],MATCH(Tabelle7[[#This Row],[Funktionsbereiche]],INDIRECT("Tabelle134["&amp;Tabelle7[[#This Row],[Gewerke]]&amp;"]"),0))</f>
        <v>#N/A</v>
      </c>
      <c r="J19" t="e">
        <f>Tabelle7[[#This Row],[Gesamtcode]]&amp;"_"&amp;Tabelle7[[#This Row],[Zone]]&amp;"_"&amp;Tabelle7[[#This Row],[Raum]]&amp;"_"&amp;Tabelle7[[#This Row],[Bezeichnung]]</f>
        <v>#N/A</v>
      </c>
      <c r="K19">
        <v>6</v>
      </c>
      <c r="L19" t="e">
        <f>Tabelle7[[#This Row],[Hauptgruppe]]&amp;"/-/-"</f>
        <v>#N/A</v>
      </c>
      <c r="M19" t="e">
        <f ca="1">Tabelle7[[#This Row],[Hauptgruppe]]&amp;"/"&amp;Tabelle7[[#This Row],[Mittelgruppe]]&amp;"/-"</f>
        <v>#N/A</v>
      </c>
      <c r="N19" t="e">
        <f ca="1">Tabelle7[[#This Row],[Hauptgruppe]]&amp;"/"&amp;Tabelle7[[#This Row],[Mittelgruppe]]&amp;"/"&amp;Tabelle7[[#This Row],[Untergruppe]]</f>
        <v>#N/A</v>
      </c>
      <c r="O19" t="e">
        <f>INDEX(Tabelle6[Aktor],MATCH(Tabelle7[[#This Row],[Gesamtcode]],Tabelle6[Gesamtcode],0))&amp;" "&amp;INDEX(Tabelle6[Aktorkanal],MATCH(Tabelle7[[#This Row],[Gesamtcode]],Tabelle6[Gesamtcode],0))</f>
        <v>#N/A</v>
      </c>
    </row>
    <row r="20" spans="2:15" x14ac:dyDescent="0.25">
      <c r="B20" t="s">
        <v>271</v>
      </c>
      <c r="C20" t="e">
        <f>INDEX(Tabelle132[Zone],MATCH(Tabelle7[[#This Row],[Gesamtcode]],Tabelle132[Gesamtcode],0))</f>
        <v>#N/A</v>
      </c>
      <c r="D20" t="e">
        <f>INDEX(Tabelle132[Raum],MATCH(Tabelle7[[#This Row],[Gesamtcode]],Tabelle132[Gesamtcode],0))</f>
        <v>#N/A</v>
      </c>
      <c r="E20" t="e">
        <f>INDEX(Tabelle132[Bezeichnung],MATCH(Tabelle7[[#This Row],[Gesamtcode]],Tabelle132[Gesamtcode],0))</f>
        <v>#N/A</v>
      </c>
      <c r="F20" t="e">
        <f>"_"&amp;INDEX(Tabelle132[Geräte/Gewerke],MATCH(Tabelle7[[#This Row],[Gesamtcode]],Tabelle132[Gesamtcode],0))</f>
        <v>#N/A</v>
      </c>
      <c r="G20" t="e">
        <f>INDEX(Tabelle13[Gewerknr.],MATCH(Tabelle7[[#This Row],[Gewerke]],Tabelle13[Hauptgruppe],0))</f>
        <v>#N/A</v>
      </c>
      <c r="H20" t="s">
        <v>255</v>
      </c>
      <c r="I20" t="e">
        <f ca="1">INDEX(Tabelle134[Funktionsbereichsnr.],MATCH(Tabelle7[[#This Row],[Funktionsbereiche]],INDIRECT("Tabelle134["&amp;Tabelle7[[#This Row],[Gewerke]]&amp;"]"),0))</f>
        <v>#N/A</v>
      </c>
      <c r="J20" t="e">
        <f>Tabelle7[[#This Row],[Gesamtcode]]&amp;"_"&amp;Tabelle7[[#This Row],[Zone]]&amp;"_"&amp;Tabelle7[[#This Row],[Raum]]&amp;"_"&amp;Tabelle7[[#This Row],[Bezeichnung]]</f>
        <v>#N/A</v>
      </c>
      <c r="K20">
        <v>7</v>
      </c>
      <c r="L20" t="e">
        <f>Tabelle7[[#This Row],[Hauptgruppe]]&amp;"/-/-"</f>
        <v>#N/A</v>
      </c>
      <c r="M20" t="e">
        <f ca="1">Tabelle7[[#This Row],[Hauptgruppe]]&amp;"/"&amp;Tabelle7[[#This Row],[Mittelgruppe]]&amp;"/-"</f>
        <v>#N/A</v>
      </c>
      <c r="N20" t="e">
        <f ca="1">Tabelle7[[#This Row],[Hauptgruppe]]&amp;"/"&amp;Tabelle7[[#This Row],[Mittelgruppe]]&amp;"/"&amp;Tabelle7[[#This Row],[Untergruppe]]</f>
        <v>#N/A</v>
      </c>
      <c r="O20" t="e">
        <f>INDEX(Tabelle6[Aktor],MATCH(Tabelle7[[#This Row],[Gesamtcode]],Tabelle6[Gesamtcode],0))&amp;" "&amp;INDEX(Tabelle6[Aktorkanal],MATCH(Tabelle7[[#This Row],[Gesamtcode]],Tabelle6[Gesamtcode],0))</f>
        <v>#N/A</v>
      </c>
    </row>
    <row r="21" spans="2:15" x14ac:dyDescent="0.25">
      <c r="B21" t="s">
        <v>272</v>
      </c>
      <c r="C21" t="e">
        <f>INDEX(Tabelle132[Zone],MATCH(Tabelle7[[#This Row],[Gesamtcode]],Tabelle132[Gesamtcode],0))</f>
        <v>#N/A</v>
      </c>
      <c r="D21" t="e">
        <f>INDEX(Tabelle132[Raum],MATCH(Tabelle7[[#This Row],[Gesamtcode]],Tabelle132[Gesamtcode],0))</f>
        <v>#N/A</v>
      </c>
      <c r="E21" t="e">
        <f>INDEX(Tabelle132[Bezeichnung],MATCH(Tabelle7[[#This Row],[Gesamtcode]],Tabelle132[Gesamtcode],0))</f>
        <v>#N/A</v>
      </c>
      <c r="F21" t="e">
        <f>"_"&amp;INDEX(Tabelle132[Geräte/Gewerke],MATCH(Tabelle7[[#This Row],[Gesamtcode]],Tabelle132[Gesamtcode],0))</f>
        <v>#N/A</v>
      </c>
      <c r="G21" t="e">
        <f>INDEX(Tabelle13[Gewerknr.],MATCH(Tabelle7[[#This Row],[Gewerke]],Tabelle13[Hauptgruppe],0))</f>
        <v>#N/A</v>
      </c>
      <c r="H21" t="s">
        <v>255</v>
      </c>
      <c r="I21" t="e">
        <f ca="1">INDEX(Tabelle134[Funktionsbereichsnr.],MATCH(Tabelle7[[#This Row],[Funktionsbereiche]],INDIRECT("Tabelle134["&amp;Tabelle7[[#This Row],[Gewerke]]&amp;"]"),0))</f>
        <v>#N/A</v>
      </c>
      <c r="J21" t="e">
        <f>Tabelle7[[#This Row],[Gesamtcode]]&amp;"_"&amp;Tabelle7[[#This Row],[Zone]]&amp;"_"&amp;Tabelle7[[#This Row],[Raum]]&amp;"_"&amp;Tabelle7[[#This Row],[Bezeichnung]]</f>
        <v>#N/A</v>
      </c>
      <c r="K21">
        <v>8</v>
      </c>
      <c r="L21" t="e">
        <f>Tabelle7[[#This Row],[Hauptgruppe]]&amp;"/-/-"</f>
        <v>#N/A</v>
      </c>
      <c r="M21" t="e">
        <f ca="1">Tabelle7[[#This Row],[Hauptgruppe]]&amp;"/"&amp;Tabelle7[[#This Row],[Mittelgruppe]]&amp;"/-"</f>
        <v>#N/A</v>
      </c>
      <c r="N21" t="e">
        <f ca="1">Tabelle7[[#This Row],[Hauptgruppe]]&amp;"/"&amp;Tabelle7[[#This Row],[Mittelgruppe]]&amp;"/"&amp;Tabelle7[[#This Row],[Untergruppe]]</f>
        <v>#N/A</v>
      </c>
      <c r="O21" t="e">
        <f>INDEX(Tabelle6[Aktor],MATCH(Tabelle7[[#This Row],[Gesamtcode]],Tabelle6[Gesamtcode],0))&amp;" "&amp;INDEX(Tabelle6[Aktorkanal],MATCH(Tabelle7[[#This Row],[Gesamtcode]],Tabelle6[Gesamtcode],0))</f>
        <v>#N/A</v>
      </c>
    </row>
    <row r="22" spans="2:15" x14ac:dyDescent="0.25">
      <c r="B22" t="s">
        <v>273</v>
      </c>
      <c r="C22" t="e">
        <f>INDEX(Tabelle132[Zone],MATCH(Tabelle7[[#This Row],[Gesamtcode]],Tabelle132[Gesamtcode],0))</f>
        <v>#N/A</v>
      </c>
      <c r="D22" t="e">
        <f>INDEX(Tabelle132[Raum],MATCH(Tabelle7[[#This Row],[Gesamtcode]],Tabelle132[Gesamtcode],0))</f>
        <v>#N/A</v>
      </c>
      <c r="E22" t="e">
        <f>INDEX(Tabelle132[Bezeichnung],MATCH(Tabelle7[[#This Row],[Gesamtcode]],Tabelle132[Gesamtcode],0))</f>
        <v>#N/A</v>
      </c>
      <c r="F22" t="e">
        <f>"_"&amp;INDEX(Tabelle132[Geräte/Gewerke],MATCH(Tabelle7[[#This Row],[Gesamtcode]],Tabelle132[Gesamtcode],0))</f>
        <v>#N/A</v>
      </c>
      <c r="G22" t="e">
        <f>INDEX(Tabelle13[Gewerknr.],MATCH(Tabelle7[[#This Row],[Gewerke]],Tabelle13[Hauptgruppe],0))</f>
        <v>#N/A</v>
      </c>
      <c r="H22" t="s">
        <v>255</v>
      </c>
      <c r="I22" t="e">
        <f ca="1">INDEX(Tabelle134[Funktionsbereichsnr.],MATCH(Tabelle7[[#This Row],[Funktionsbereiche]],INDIRECT("Tabelle134["&amp;Tabelle7[[#This Row],[Gewerke]]&amp;"]"),0))</f>
        <v>#N/A</v>
      </c>
      <c r="J22" t="e">
        <f>Tabelle7[[#This Row],[Gesamtcode]]&amp;"_"&amp;Tabelle7[[#This Row],[Zone]]&amp;"_"&amp;Tabelle7[[#This Row],[Raum]]&amp;"_"&amp;Tabelle7[[#This Row],[Bezeichnung]]</f>
        <v>#N/A</v>
      </c>
      <c r="K22">
        <v>9</v>
      </c>
      <c r="L22" t="e">
        <f>Tabelle7[[#This Row],[Hauptgruppe]]&amp;"/-/-"</f>
        <v>#N/A</v>
      </c>
      <c r="M22" t="e">
        <f ca="1">Tabelle7[[#This Row],[Hauptgruppe]]&amp;"/"&amp;Tabelle7[[#This Row],[Mittelgruppe]]&amp;"/-"</f>
        <v>#N/A</v>
      </c>
      <c r="N22" t="e">
        <f ca="1">Tabelle7[[#This Row],[Hauptgruppe]]&amp;"/"&amp;Tabelle7[[#This Row],[Mittelgruppe]]&amp;"/"&amp;Tabelle7[[#This Row],[Untergruppe]]</f>
        <v>#N/A</v>
      </c>
      <c r="O22" t="e">
        <f>INDEX(Tabelle6[Aktor],MATCH(Tabelle7[[#This Row],[Gesamtcode]],Tabelle6[Gesamtcode],0))&amp;" "&amp;INDEX(Tabelle6[Aktorkanal],MATCH(Tabelle7[[#This Row],[Gesamtcode]],Tabelle6[Gesamtcode],0))</f>
        <v>#N/A</v>
      </c>
    </row>
    <row r="23" spans="2:15" x14ac:dyDescent="0.25">
      <c r="B23" t="s">
        <v>254</v>
      </c>
      <c r="C23" t="e">
        <f>INDEX(Tabelle132[Zone],MATCH(Tabelle7[[#This Row],[Gesamtcode]],Tabelle132[Gesamtcode],0))</f>
        <v>#N/A</v>
      </c>
      <c r="D23" t="e">
        <f>INDEX(Tabelle132[Raum],MATCH(Tabelle7[[#This Row],[Gesamtcode]],Tabelle132[Gesamtcode],0))</f>
        <v>#N/A</v>
      </c>
      <c r="E23" t="e">
        <f>INDEX(Tabelle132[Bezeichnung],MATCH(Tabelle7[[#This Row],[Gesamtcode]],Tabelle132[Gesamtcode],0))</f>
        <v>#N/A</v>
      </c>
      <c r="F23" t="e">
        <f>"_"&amp;INDEX(Tabelle132[Geräte/Gewerke],MATCH(Tabelle7[[#This Row],[Gesamtcode]],Tabelle132[Gesamtcode],0))</f>
        <v>#N/A</v>
      </c>
      <c r="G23" t="e">
        <f>INDEX(Tabelle13[Gewerknr.],MATCH(Tabelle7[[#This Row],[Gewerke]],Tabelle13[Hauptgruppe],0))</f>
        <v>#N/A</v>
      </c>
      <c r="H23" t="s">
        <v>274</v>
      </c>
      <c r="I23" t="e">
        <f ca="1">INDEX(Tabelle134[Funktionsbereichsnr.],MATCH(Tabelle7[[#This Row],[Funktionsbereiche]],INDIRECT("Tabelle134["&amp;Tabelle7[[#This Row],[Gewerke]]&amp;"]"),0))</f>
        <v>#N/A</v>
      </c>
      <c r="J23" t="e">
        <f>Tabelle7[[#This Row],[Gesamtcode]]&amp;"_"&amp;Tabelle7[[#This Row],[Zone]]&amp;"_"&amp;Tabelle7[[#This Row],[Raum]]&amp;"_"&amp;Tabelle7[[#This Row],[Bezeichnung]]</f>
        <v>#N/A</v>
      </c>
      <c r="K23">
        <v>0</v>
      </c>
      <c r="L23" t="e">
        <f>Tabelle7[[#This Row],[Hauptgruppe]]&amp;"/-/-"</f>
        <v>#N/A</v>
      </c>
      <c r="M23" t="e">
        <f ca="1">Tabelle7[[#This Row],[Hauptgruppe]]&amp;"/"&amp;Tabelle7[[#This Row],[Mittelgruppe]]&amp;"/-"</f>
        <v>#N/A</v>
      </c>
      <c r="N23" t="e">
        <f ca="1">Tabelle7[[#This Row],[Hauptgruppe]]&amp;"/"&amp;Tabelle7[[#This Row],[Mittelgruppe]]&amp;"/"&amp;Tabelle7[[#This Row],[Untergruppe]]</f>
        <v>#N/A</v>
      </c>
      <c r="O23" t="e">
        <f>INDEX(Tabelle6[Aktor],MATCH(Tabelle7[[#This Row],[Gesamtcode]],Tabelle6[Gesamtcode],0))&amp;" "&amp;INDEX(Tabelle6[Aktorkanal],MATCH(Tabelle7[[#This Row],[Gesamtcode]],Tabelle6[Gesamtcode],0))</f>
        <v>#N/A</v>
      </c>
    </row>
    <row r="24" spans="2:15" x14ac:dyDescent="0.25">
      <c r="B24" t="s">
        <v>256</v>
      </c>
      <c r="C24" t="e">
        <f>INDEX(Tabelle132[Zone],MATCH(Tabelle7[[#This Row],[Gesamtcode]],Tabelle132[Gesamtcode],0))</f>
        <v>#N/A</v>
      </c>
      <c r="D24" t="e">
        <f>INDEX(Tabelle132[Raum],MATCH(Tabelle7[[#This Row],[Gesamtcode]],Tabelle132[Gesamtcode],0))</f>
        <v>#N/A</v>
      </c>
      <c r="E24" t="e">
        <f>INDEX(Tabelle132[Bezeichnung],MATCH(Tabelle7[[#This Row],[Gesamtcode]],Tabelle132[Gesamtcode],0))</f>
        <v>#N/A</v>
      </c>
      <c r="F24" t="e">
        <f>"_"&amp;INDEX(Tabelle132[Geräte/Gewerke],MATCH(Tabelle7[[#This Row],[Gesamtcode]],Tabelle132[Gesamtcode],0))</f>
        <v>#N/A</v>
      </c>
      <c r="G24" t="e">
        <f>INDEX(Tabelle13[Gewerknr.],MATCH(Tabelle7[[#This Row],[Gewerke]],Tabelle13[Hauptgruppe],0))</f>
        <v>#N/A</v>
      </c>
      <c r="H24" t="s">
        <v>274</v>
      </c>
      <c r="I24" t="e">
        <f ca="1">INDEX(Tabelle134[Funktionsbereichsnr.],MATCH(Tabelle7[[#This Row],[Funktionsbereiche]],INDIRECT("Tabelle134["&amp;Tabelle7[[#This Row],[Gewerke]]&amp;"]"),0))</f>
        <v>#N/A</v>
      </c>
      <c r="J24" t="e">
        <f>Tabelle7[[#This Row],[Gesamtcode]]&amp;"_"&amp;Tabelle7[[#This Row],[Zone]]&amp;"_"&amp;Tabelle7[[#This Row],[Raum]]&amp;"_"&amp;Tabelle7[[#This Row],[Bezeichnung]]</f>
        <v>#N/A</v>
      </c>
      <c r="K24">
        <v>1</v>
      </c>
      <c r="L24" t="e">
        <f>Tabelle7[[#This Row],[Hauptgruppe]]&amp;"/-/-"</f>
        <v>#N/A</v>
      </c>
      <c r="M24" t="e">
        <f ca="1">Tabelle7[[#This Row],[Hauptgruppe]]&amp;"/"&amp;Tabelle7[[#This Row],[Mittelgruppe]]&amp;"/-"</f>
        <v>#N/A</v>
      </c>
      <c r="N24" t="e">
        <f ca="1">Tabelle7[[#This Row],[Hauptgruppe]]&amp;"/"&amp;Tabelle7[[#This Row],[Mittelgruppe]]&amp;"/"&amp;Tabelle7[[#This Row],[Untergruppe]]</f>
        <v>#N/A</v>
      </c>
      <c r="O24" t="e">
        <f>INDEX(Tabelle6[Aktor],MATCH(Tabelle7[[#This Row],[Gesamtcode]],Tabelle6[Gesamtcode],0))&amp;" "&amp;INDEX(Tabelle6[Aktorkanal],MATCH(Tabelle7[[#This Row],[Gesamtcode]],Tabelle6[Gesamtcode],0))</f>
        <v>#N/A</v>
      </c>
    </row>
    <row r="25" spans="2:15" x14ac:dyDescent="0.25">
      <c r="B25" t="s">
        <v>257</v>
      </c>
      <c r="C25" t="e">
        <f>INDEX(Tabelle132[Zone],MATCH(Tabelle7[[#This Row],[Gesamtcode]],Tabelle132[Gesamtcode],0))</f>
        <v>#N/A</v>
      </c>
      <c r="D25" t="e">
        <f>INDEX(Tabelle132[Raum],MATCH(Tabelle7[[#This Row],[Gesamtcode]],Tabelle132[Gesamtcode],0))</f>
        <v>#N/A</v>
      </c>
      <c r="E25" t="e">
        <f>INDEX(Tabelle132[Bezeichnung],MATCH(Tabelle7[[#This Row],[Gesamtcode]],Tabelle132[Gesamtcode],0))</f>
        <v>#N/A</v>
      </c>
      <c r="F25" t="e">
        <f>"_"&amp;INDEX(Tabelle132[Geräte/Gewerke],MATCH(Tabelle7[[#This Row],[Gesamtcode]],Tabelle132[Gesamtcode],0))</f>
        <v>#N/A</v>
      </c>
      <c r="G25" t="e">
        <f>INDEX(Tabelle13[Gewerknr.],MATCH(Tabelle7[[#This Row],[Gewerke]],Tabelle13[Hauptgruppe],0))</f>
        <v>#N/A</v>
      </c>
      <c r="H25" t="s">
        <v>274</v>
      </c>
      <c r="I25" t="e">
        <f ca="1">INDEX(Tabelle134[Funktionsbereichsnr.],MATCH(Tabelle7[[#This Row],[Funktionsbereiche]],INDIRECT("Tabelle134["&amp;Tabelle7[[#This Row],[Gewerke]]&amp;"]"),0))</f>
        <v>#N/A</v>
      </c>
      <c r="J25" t="e">
        <f>Tabelle7[[#This Row],[Gesamtcode]]&amp;"_"&amp;Tabelle7[[#This Row],[Zone]]&amp;"_"&amp;Tabelle7[[#This Row],[Raum]]&amp;"_"&amp;Tabelle7[[#This Row],[Bezeichnung]]</f>
        <v>#N/A</v>
      </c>
      <c r="K25">
        <v>10</v>
      </c>
      <c r="L25" t="e">
        <f>Tabelle7[[#This Row],[Hauptgruppe]]&amp;"/-/-"</f>
        <v>#N/A</v>
      </c>
      <c r="M25" t="e">
        <f ca="1">Tabelle7[[#This Row],[Hauptgruppe]]&amp;"/"&amp;Tabelle7[[#This Row],[Mittelgruppe]]&amp;"/-"</f>
        <v>#N/A</v>
      </c>
      <c r="N25" t="e">
        <f ca="1">Tabelle7[[#This Row],[Hauptgruppe]]&amp;"/"&amp;Tabelle7[[#This Row],[Mittelgruppe]]&amp;"/"&amp;Tabelle7[[#This Row],[Untergruppe]]</f>
        <v>#N/A</v>
      </c>
      <c r="O25" t="e">
        <f>INDEX(Tabelle6[Aktor],MATCH(Tabelle7[[#This Row],[Gesamtcode]],Tabelle6[Gesamtcode],0))&amp;" "&amp;INDEX(Tabelle6[Aktorkanal],MATCH(Tabelle7[[#This Row],[Gesamtcode]],Tabelle6[Gesamtcode],0))</f>
        <v>#N/A</v>
      </c>
    </row>
    <row r="26" spans="2:15" x14ac:dyDescent="0.25">
      <c r="B26" t="s">
        <v>258</v>
      </c>
      <c r="C26" t="e">
        <f>INDEX(Tabelle132[Zone],MATCH(Tabelle7[[#This Row],[Gesamtcode]],Tabelle132[Gesamtcode],0))</f>
        <v>#N/A</v>
      </c>
      <c r="D26" t="e">
        <f>INDEX(Tabelle132[Raum],MATCH(Tabelle7[[#This Row],[Gesamtcode]],Tabelle132[Gesamtcode],0))</f>
        <v>#N/A</v>
      </c>
      <c r="E26" t="e">
        <f>INDEX(Tabelle132[Bezeichnung],MATCH(Tabelle7[[#This Row],[Gesamtcode]],Tabelle132[Gesamtcode],0))</f>
        <v>#N/A</v>
      </c>
      <c r="F26" t="e">
        <f>"_"&amp;INDEX(Tabelle132[Geräte/Gewerke],MATCH(Tabelle7[[#This Row],[Gesamtcode]],Tabelle132[Gesamtcode],0))</f>
        <v>#N/A</v>
      </c>
      <c r="G26" t="e">
        <f>INDEX(Tabelle13[Gewerknr.],MATCH(Tabelle7[[#This Row],[Gewerke]],Tabelle13[Hauptgruppe],0))</f>
        <v>#N/A</v>
      </c>
      <c r="H26" t="s">
        <v>274</v>
      </c>
      <c r="I26" t="e">
        <f ca="1">INDEX(Tabelle134[Funktionsbereichsnr.],MATCH(Tabelle7[[#This Row],[Funktionsbereiche]],INDIRECT("Tabelle134["&amp;Tabelle7[[#This Row],[Gewerke]]&amp;"]"),0))</f>
        <v>#N/A</v>
      </c>
      <c r="J26" t="e">
        <f>Tabelle7[[#This Row],[Gesamtcode]]&amp;"_"&amp;Tabelle7[[#This Row],[Zone]]&amp;"_"&amp;Tabelle7[[#This Row],[Raum]]&amp;"_"&amp;Tabelle7[[#This Row],[Bezeichnung]]</f>
        <v>#N/A</v>
      </c>
      <c r="K26">
        <v>11</v>
      </c>
      <c r="L26" t="e">
        <f>Tabelle7[[#This Row],[Hauptgruppe]]&amp;"/-/-"</f>
        <v>#N/A</v>
      </c>
      <c r="M26" t="e">
        <f ca="1">Tabelle7[[#This Row],[Hauptgruppe]]&amp;"/"&amp;Tabelle7[[#This Row],[Mittelgruppe]]&amp;"/-"</f>
        <v>#N/A</v>
      </c>
      <c r="N26" t="e">
        <f ca="1">Tabelle7[[#This Row],[Hauptgruppe]]&amp;"/"&amp;Tabelle7[[#This Row],[Mittelgruppe]]&amp;"/"&amp;Tabelle7[[#This Row],[Untergruppe]]</f>
        <v>#N/A</v>
      </c>
      <c r="O26" t="e">
        <f>INDEX(Tabelle6[Aktor],MATCH(Tabelle7[[#This Row],[Gesamtcode]],Tabelle6[Gesamtcode],0))&amp;" "&amp;INDEX(Tabelle6[Aktorkanal],MATCH(Tabelle7[[#This Row],[Gesamtcode]],Tabelle6[Gesamtcode],0))</f>
        <v>#N/A</v>
      </c>
    </row>
    <row r="27" spans="2:15" x14ac:dyDescent="0.25">
      <c r="B27" t="s">
        <v>259</v>
      </c>
      <c r="C27" t="e">
        <f>INDEX(Tabelle132[Zone],MATCH(Tabelle7[[#This Row],[Gesamtcode]],Tabelle132[Gesamtcode],0))</f>
        <v>#N/A</v>
      </c>
      <c r="D27" t="e">
        <f>INDEX(Tabelle132[Raum],MATCH(Tabelle7[[#This Row],[Gesamtcode]],Tabelle132[Gesamtcode],0))</f>
        <v>#N/A</v>
      </c>
      <c r="E27" t="e">
        <f>INDEX(Tabelle132[Bezeichnung],MATCH(Tabelle7[[#This Row],[Gesamtcode]],Tabelle132[Gesamtcode],0))</f>
        <v>#N/A</v>
      </c>
      <c r="F27" t="e">
        <f>"_"&amp;INDEX(Tabelle132[Geräte/Gewerke],MATCH(Tabelle7[[#This Row],[Gesamtcode]],Tabelle132[Gesamtcode],0))</f>
        <v>#N/A</v>
      </c>
      <c r="G27" t="e">
        <f>INDEX(Tabelle13[Gewerknr.],MATCH(Tabelle7[[#This Row],[Gewerke]],Tabelle13[Hauptgruppe],0))</f>
        <v>#N/A</v>
      </c>
      <c r="H27" t="s">
        <v>274</v>
      </c>
      <c r="I27" t="e">
        <f ca="1">INDEX(Tabelle134[Funktionsbereichsnr.],MATCH(Tabelle7[[#This Row],[Funktionsbereiche]],INDIRECT("Tabelle134["&amp;Tabelle7[[#This Row],[Gewerke]]&amp;"]"),0))</f>
        <v>#N/A</v>
      </c>
      <c r="J27" t="e">
        <f>Tabelle7[[#This Row],[Gesamtcode]]&amp;"_"&amp;Tabelle7[[#This Row],[Zone]]&amp;"_"&amp;Tabelle7[[#This Row],[Raum]]&amp;"_"&amp;Tabelle7[[#This Row],[Bezeichnung]]</f>
        <v>#N/A</v>
      </c>
      <c r="K27">
        <v>12</v>
      </c>
      <c r="L27" t="e">
        <f>Tabelle7[[#This Row],[Hauptgruppe]]&amp;"/-/-"</f>
        <v>#N/A</v>
      </c>
      <c r="M27" t="e">
        <f ca="1">Tabelle7[[#This Row],[Hauptgruppe]]&amp;"/"&amp;Tabelle7[[#This Row],[Mittelgruppe]]&amp;"/-"</f>
        <v>#N/A</v>
      </c>
      <c r="N27" t="e">
        <f ca="1">Tabelle7[[#This Row],[Hauptgruppe]]&amp;"/"&amp;Tabelle7[[#This Row],[Mittelgruppe]]&amp;"/"&amp;Tabelle7[[#This Row],[Untergruppe]]</f>
        <v>#N/A</v>
      </c>
      <c r="O27" t="e">
        <f>INDEX(Tabelle6[Aktor],MATCH(Tabelle7[[#This Row],[Gesamtcode]],Tabelle6[Gesamtcode],0))&amp;" "&amp;INDEX(Tabelle6[Aktorkanal],MATCH(Tabelle7[[#This Row],[Gesamtcode]],Tabelle6[Gesamtcode],0))</f>
        <v>#N/A</v>
      </c>
    </row>
    <row r="28" spans="2:15" x14ac:dyDescent="0.25">
      <c r="B28" t="s">
        <v>260</v>
      </c>
      <c r="C28" t="e">
        <f>INDEX(Tabelle132[Zone],MATCH(Tabelle7[[#This Row],[Gesamtcode]],Tabelle132[Gesamtcode],0))</f>
        <v>#N/A</v>
      </c>
      <c r="D28" t="e">
        <f>INDEX(Tabelle132[Raum],MATCH(Tabelle7[[#This Row],[Gesamtcode]],Tabelle132[Gesamtcode],0))</f>
        <v>#N/A</v>
      </c>
      <c r="E28" t="e">
        <f>INDEX(Tabelle132[Bezeichnung],MATCH(Tabelle7[[#This Row],[Gesamtcode]],Tabelle132[Gesamtcode],0))</f>
        <v>#N/A</v>
      </c>
      <c r="F28" t="e">
        <f>"_"&amp;INDEX(Tabelle132[Geräte/Gewerke],MATCH(Tabelle7[[#This Row],[Gesamtcode]],Tabelle132[Gesamtcode],0))</f>
        <v>#N/A</v>
      </c>
      <c r="G28" t="e">
        <f>INDEX(Tabelle13[Gewerknr.],MATCH(Tabelle7[[#This Row],[Gewerke]],Tabelle13[Hauptgruppe],0))</f>
        <v>#N/A</v>
      </c>
      <c r="H28" t="s">
        <v>274</v>
      </c>
      <c r="I28" t="e">
        <f ca="1">INDEX(Tabelle134[Funktionsbereichsnr.],MATCH(Tabelle7[[#This Row],[Funktionsbereiche]],INDIRECT("Tabelle134["&amp;Tabelle7[[#This Row],[Gewerke]]&amp;"]"),0))</f>
        <v>#N/A</v>
      </c>
      <c r="J28" t="e">
        <f>Tabelle7[[#This Row],[Gesamtcode]]&amp;"_"&amp;Tabelle7[[#This Row],[Zone]]&amp;"_"&amp;Tabelle7[[#This Row],[Raum]]&amp;"_"&amp;Tabelle7[[#This Row],[Bezeichnung]]</f>
        <v>#N/A</v>
      </c>
      <c r="K28">
        <v>13</v>
      </c>
      <c r="L28" t="e">
        <f>Tabelle7[[#This Row],[Hauptgruppe]]&amp;"/-/-"</f>
        <v>#N/A</v>
      </c>
      <c r="M28" t="e">
        <f ca="1">Tabelle7[[#This Row],[Hauptgruppe]]&amp;"/"&amp;Tabelle7[[#This Row],[Mittelgruppe]]&amp;"/-"</f>
        <v>#N/A</v>
      </c>
      <c r="N28" t="e">
        <f ca="1">Tabelle7[[#This Row],[Hauptgruppe]]&amp;"/"&amp;Tabelle7[[#This Row],[Mittelgruppe]]&amp;"/"&amp;Tabelle7[[#This Row],[Untergruppe]]</f>
        <v>#N/A</v>
      </c>
      <c r="O28" t="e">
        <f>INDEX(Tabelle6[Aktor],MATCH(Tabelle7[[#This Row],[Gesamtcode]],Tabelle6[Gesamtcode],0))&amp;" "&amp;INDEX(Tabelle6[Aktorkanal],MATCH(Tabelle7[[#This Row],[Gesamtcode]],Tabelle6[Gesamtcode],0))</f>
        <v>#N/A</v>
      </c>
    </row>
    <row r="29" spans="2:15" x14ac:dyDescent="0.25">
      <c r="B29" t="s">
        <v>261</v>
      </c>
      <c r="C29" t="e">
        <f>INDEX(Tabelle132[Zone],MATCH(Tabelle7[[#This Row],[Gesamtcode]],Tabelle132[Gesamtcode],0))</f>
        <v>#N/A</v>
      </c>
      <c r="D29" t="e">
        <f>INDEX(Tabelle132[Raum],MATCH(Tabelle7[[#This Row],[Gesamtcode]],Tabelle132[Gesamtcode],0))</f>
        <v>#N/A</v>
      </c>
      <c r="E29" t="e">
        <f>INDEX(Tabelle132[Bezeichnung],MATCH(Tabelle7[[#This Row],[Gesamtcode]],Tabelle132[Gesamtcode],0))</f>
        <v>#N/A</v>
      </c>
      <c r="F29" t="e">
        <f>"_"&amp;INDEX(Tabelle132[Geräte/Gewerke],MATCH(Tabelle7[[#This Row],[Gesamtcode]],Tabelle132[Gesamtcode],0))</f>
        <v>#N/A</v>
      </c>
      <c r="G29" t="e">
        <f>INDEX(Tabelle13[Gewerknr.],MATCH(Tabelle7[[#This Row],[Gewerke]],Tabelle13[Hauptgruppe],0))</f>
        <v>#N/A</v>
      </c>
      <c r="H29" t="s">
        <v>274</v>
      </c>
      <c r="I29" t="e">
        <f ca="1">INDEX(Tabelle134[Funktionsbereichsnr.],MATCH(Tabelle7[[#This Row],[Funktionsbereiche]],INDIRECT("Tabelle134["&amp;Tabelle7[[#This Row],[Gewerke]]&amp;"]"),0))</f>
        <v>#N/A</v>
      </c>
      <c r="J29" t="e">
        <f>Tabelle7[[#This Row],[Gesamtcode]]&amp;"_"&amp;Tabelle7[[#This Row],[Zone]]&amp;"_"&amp;Tabelle7[[#This Row],[Raum]]&amp;"_"&amp;Tabelle7[[#This Row],[Bezeichnung]]</f>
        <v>#N/A</v>
      </c>
      <c r="K29">
        <v>14</v>
      </c>
      <c r="L29" t="e">
        <f>Tabelle7[[#This Row],[Hauptgruppe]]&amp;"/-/-"</f>
        <v>#N/A</v>
      </c>
      <c r="M29" t="e">
        <f ca="1">Tabelle7[[#This Row],[Hauptgruppe]]&amp;"/"&amp;Tabelle7[[#This Row],[Mittelgruppe]]&amp;"/-"</f>
        <v>#N/A</v>
      </c>
      <c r="N29" t="e">
        <f ca="1">Tabelle7[[#This Row],[Hauptgruppe]]&amp;"/"&amp;Tabelle7[[#This Row],[Mittelgruppe]]&amp;"/"&amp;Tabelle7[[#This Row],[Untergruppe]]</f>
        <v>#N/A</v>
      </c>
      <c r="O29" t="e">
        <f>INDEX(Tabelle6[Aktor],MATCH(Tabelle7[[#This Row],[Gesamtcode]],Tabelle6[Gesamtcode],0))&amp;" "&amp;INDEX(Tabelle6[Aktorkanal],MATCH(Tabelle7[[#This Row],[Gesamtcode]],Tabelle6[Gesamtcode],0))</f>
        <v>#N/A</v>
      </c>
    </row>
    <row r="30" spans="2:15" x14ac:dyDescent="0.25">
      <c r="B30" t="s">
        <v>262</v>
      </c>
      <c r="C30" t="e">
        <f>INDEX(Tabelle132[Zone],MATCH(Tabelle7[[#This Row],[Gesamtcode]],Tabelle132[Gesamtcode],0))</f>
        <v>#N/A</v>
      </c>
      <c r="D30" t="e">
        <f>INDEX(Tabelle132[Raum],MATCH(Tabelle7[[#This Row],[Gesamtcode]],Tabelle132[Gesamtcode],0))</f>
        <v>#N/A</v>
      </c>
      <c r="E30" t="e">
        <f>INDEX(Tabelle132[Bezeichnung],MATCH(Tabelle7[[#This Row],[Gesamtcode]],Tabelle132[Gesamtcode],0))</f>
        <v>#N/A</v>
      </c>
      <c r="F30" t="e">
        <f>"_"&amp;INDEX(Tabelle132[Geräte/Gewerke],MATCH(Tabelle7[[#This Row],[Gesamtcode]],Tabelle132[Gesamtcode],0))</f>
        <v>#N/A</v>
      </c>
      <c r="G30" t="e">
        <f>INDEX(Tabelle13[Gewerknr.],MATCH(Tabelle7[[#This Row],[Gewerke]],Tabelle13[Hauptgruppe],0))</f>
        <v>#N/A</v>
      </c>
      <c r="H30" t="s">
        <v>274</v>
      </c>
      <c r="I30" t="e">
        <f ca="1">INDEX(Tabelle134[Funktionsbereichsnr.],MATCH(Tabelle7[[#This Row],[Funktionsbereiche]],INDIRECT("Tabelle134["&amp;Tabelle7[[#This Row],[Gewerke]]&amp;"]"),0))</f>
        <v>#N/A</v>
      </c>
      <c r="J30" t="e">
        <f>Tabelle7[[#This Row],[Gesamtcode]]&amp;"_"&amp;Tabelle7[[#This Row],[Zone]]&amp;"_"&amp;Tabelle7[[#This Row],[Raum]]&amp;"_"&amp;Tabelle7[[#This Row],[Bezeichnung]]</f>
        <v>#N/A</v>
      </c>
      <c r="K30">
        <v>15</v>
      </c>
      <c r="L30" t="e">
        <f>Tabelle7[[#This Row],[Hauptgruppe]]&amp;"/-/-"</f>
        <v>#N/A</v>
      </c>
      <c r="M30" t="e">
        <f ca="1">Tabelle7[[#This Row],[Hauptgruppe]]&amp;"/"&amp;Tabelle7[[#This Row],[Mittelgruppe]]&amp;"/-"</f>
        <v>#N/A</v>
      </c>
      <c r="N30" t="e">
        <f ca="1">Tabelle7[[#This Row],[Hauptgruppe]]&amp;"/"&amp;Tabelle7[[#This Row],[Mittelgruppe]]&amp;"/"&amp;Tabelle7[[#This Row],[Untergruppe]]</f>
        <v>#N/A</v>
      </c>
      <c r="O30" t="e">
        <f>INDEX(Tabelle6[Aktor],MATCH(Tabelle7[[#This Row],[Gesamtcode]],Tabelle6[Gesamtcode],0))&amp;" "&amp;INDEX(Tabelle6[Aktorkanal],MATCH(Tabelle7[[#This Row],[Gesamtcode]],Tabelle6[Gesamtcode],0))</f>
        <v>#N/A</v>
      </c>
    </row>
    <row r="31" spans="2:15" x14ac:dyDescent="0.25">
      <c r="B31" t="s">
        <v>263</v>
      </c>
      <c r="C31" t="e">
        <f>INDEX(Tabelle132[Zone],MATCH(Tabelle7[[#This Row],[Gesamtcode]],Tabelle132[Gesamtcode],0))</f>
        <v>#N/A</v>
      </c>
      <c r="D31" t="e">
        <f>INDEX(Tabelle132[Raum],MATCH(Tabelle7[[#This Row],[Gesamtcode]],Tabelle132[Gesamtcode],0))</f>
        <v>#N/A</v>
      </c>
      <c r="E31" t="e">
        <f>INDEX(Tabelle132[Bezeichnung],MATCH(Tabelle7[[#This Row],[Gesamtcode]],Tabelle132[Gesamtcode],0))</f>
        <v>#N/A</v>
      </c>
      <c r="F31" t="e">
        <f>"_"&amp;INDEX(Tabelle132[Geräte/Gewerke],MATCH(Tabelle7[[#This Row],[Gesamtcode]],Tabelle132[Gesamtcode],0))</f>
        <v>#N/A</v>
      </c>
      <c r="G31" t="e">
        <f>INDEX(Tabelle13[Gewerknr.],MATCH(Tabelle7[[#This Row],[Gewerke]],Tabelle13[Hauptgruppe],0))</f>
        <v>#N/A</v>
      </c>
      <c r="H31" t="s">
        <v>274</v>
      </c>
      <c r="I31" t="e">
        <f ca="1">INDEX(Tabelle134[Funktionsbereichsnr.],MATCH(Tabelle7[[#This Row],[Funktionsbereiche]],INDIRECT("Tabelle134["&amp;Tabelle7[[#This Row],[Gewerke]]&amp;"]"),0))</f>
        <v>#N/A</v>
      </c>
      <c r="J31" t="e">
        <f>Tabelle7[[#This Row],[Gesamtcode]]&amp;"_"&amp;Tabelle7[[#This Row],[Zone]]&amp;"_"&amp;Tabelle7[[#This Row],[Raum]]&amp;"_"&amp;Tabelle7[[#This Row],[Bezeichnung]]</f>
        <v>#N/A</v>
      </c>
      <c r="K31">
        <v>16</v>
      </c>
      <c r="L31" t="e">
        <f>Tabelle7[[#This Row],[Hauptgruppe]]&amp;"/-/-"</f>
        <v>#N/A</v>
      </c>
      <c r="M31" t="e">
        <f ca="1">Tabelle7[[#This Row],[Hauptgruppe]]&amp;"/"&amp;Tabelle7[[#This Row],[Mittelgruppe]]&amp;"/-"</f>
        <v>#N/A</v>
      </c>
      <c r="N31" t="e">
        <f ca="1">Tabelle7[[#This Row],[Hauptgruppe]]&amp;"/"&amp;Tabelle7[[#This Row],[Mittelgruppe]]&amp;"/"&amp;Tabelle7[[#This Row],[Untergruppe]]</f>
        <v>#N/A</v>
      </c>
      <c r="O31" t="e">
        <f>INDEX(Tabelle6[Aktor],MATCH(Tabelle7[[#This Row],[Gesamtcode]],Tabelle6[Gesamtcode],0))&amp;" "&amp;INDEX(Tabelle6[Aktorkanal],MATCH(Tabelle7[[#This Row],[Gesamtcode]],Tabelle6[Gesamtcode],0))</f>
        <v>#N/A</v>
      </c>
    </row>
    <row r="32" spans="2:15" x14ac:dyDescent="0.25">
      <c r="B32" t="s">
        <v>264</v>
      </c>
      <c r="C32" t="e">
        <f>INDEX(Tabelle132[Zone],MATCH(Tabelle7[[#This Row],[Gesamtcode]],Tabelle132[Gesamtcode],0))</f>
        <v>#N/A</v>
      </c>
      <c r="D32" t="e">
        <f>INDEX(Tabelle132[Raum],MATCH(Tabelle7[[#This Row],[Gesamtcode]],Tabelle132[Gesamtcode],0))</f>
        <v>#N/A</v>
      </c>
      <c r="E32" t="e">
        <f>INDEX(Tabelle132[Bezeichnung],MATCH(Tabelle7[[#This Row],[Gesamtcode]],Tabelle132[Gesamtcode],0))</f>
        <v>#N/A</v>
      </c>
      <c r="F32" t="e">
        <f>"_"&amp;INDEX(Tabelle132[Geräte/Gewerke],MATCH(Tabelle7[[#This Row],[Gesamtcode]],Tabelle132[Gesamtcode],0))</f>
        <v>#N/A</v>
      </c>
      <c r="G32" t="e">
        <f>INDEX(Tabelle13[Gewerknr.],MATCH(Tabelle7[[#This Row],[Gewerke]],Tabelle13[Hauptgruppe],0))</f>
        <v>#N/A</v>
      </c>
      <c r="H32" t="s">
        <v>274</v>
      </c>
      <c r="I32" t="e">
        <f ca="1">INDEX(Tabelle134[Funktionsbereichsnr.],MATCH(Tabelle7[[#This Row],[Funktionsbereiche]],INDIRECT("Tabelle134["&amp;Tabelle7[[#This Row],[Gewerke]]&amp;"]"),0))</f>
        <v>#N/A</v>
      </c>
      <c r="J32" t="e">
        <f>Tabelle7[[#This Row],[Gesamtcode]]&amp;"_"&amp;Tabelle7[[#This Row],[Zone]]&amp;"_"&amp;Tabelle7[[#This Row],[Raum]]&amp;"_"&amp;Tabelle7[[#This Row],[Bezeichnung]]</f>
        <v>#N/A</v>
      </c>
      <c r="K32">
        <v>17</v>
      </c>
      <c r="L32" t="e">
        <f>Tabelle7[[#This Row],[Hauptgruppe]]&amp;"/-/-"</f>
        <v>#N/A</v>
      </c>
      <c r="M32" t="e">
        <f ca="1">Tabelle7[[#This Row],[Hauptgruppe]]&amp;"/"&amp;Tabelle7[[#This Row],[Mittelgruppe]]&amp;"/-"</f>
        <v>#N/A</v>
      </c>
      <c r="N32" t="e">
        <f ca="1">Tabelle7[[#This Row],[Hauptgruppe]]&amp;"/"&amp;Tabelle7[[#This Row],[Mittelgruppe]]&amp;"/"&amp;Tabelle7[[#This Row],[Untergruppe]]</f>
        <v>#N/A</v>
      </c>
      <c r="O32" t="e">
        <f>INDEX(Tabelle6[Aktor],MATCH(Tabelle7[[#This Row],[Gesamtcode]],Tabelle6[Gesamtcode],0))&amp;" "&amp;INDEX(Tabelle6[Aktorkanal],MATCH(Tabelle7[[#This Row],[Gesamtcode]],Tabelle6[Gesamtcode],0))</f>
        <v>#N/A</v>
      </c>
    </row>
    <row r="33" spans="2:15" x14ac:dyDescent="0.25">
      <c r="B33" t="s">
        <v>265</v>
      </c>
      <c r="C33" t="e">
        <f>INDEX(Tabelle132[Zone],MATCH(Tabelle7[[#This Row],[Gesamtcode]],Tabelle132[Gesamtcode],0))</f>
        <v>#N/A</v>
      </c>
      <c r="D33" t="e">
        <f>INDEX(Tabelle132[Raum],MATCH(Tabelle7[[#This Row],[Gesamtcode]],Tabelle132[Gesamtcode],0))</f>
        <v>#N/A</v>
      </c>
      <c r="E33" t="e">
        <f>INDEX(Tabelle132[Bezeichnung],MATCH(Tabelle7[[#This Row],[Gesamtcode]],Tabelle132[Gesamtcode],0))</f>
        <v>#N/A</v>
      </c>
      <c r="F33" t="e">
        <f>"_"&amp;INDEX(Tabelle132[Geräte/Gewerke],MATCH(Tabelle7[[#This Row],[Gesamtcode]],Tabelle132[Gesamtcode],0))</f>
        <v>#N/A</v>
      </c>
      <c r="G33" t="e">
        <f>INDEX(Tabelle13[Gewerknr.],MATCH(Tabelle7[[#This Row],[Gewerke]],Tabelle13[Hauptgruppe],0))</f>
        <v>#N/A</v>
      </c>
      <c r="H33" t="s">
        <v>274</v>
      </c>
      <c r="I33" t="e">
        <f ca="1">INDEX(Tabelle134[Funktionsbereichsnr.],MATCH(Tabelle7[[#This Row],[Funktionsbereiche]],INDIRECT("Tabelle134["&amp;Tabelle7[[#This Row],[Gewerke]]&amp;"]"),0))</f>
        <v>#N/A</v>
      </c>
      <c r="J33" t="e">
        <f>Tabelle7[[#This Row],[Gesamtcode]]&amp;"_"&amp;Tabelle7[[#This Row],[Zone]]&amp;"_"&amp;Tabelle7[[#This Row],[Raum]]&amp;"_"&amp;Tabelle7[[#This Row],[Bezeichnung]]</f>
        <v>#N/A</v>
      </c>
      <c r="K33">
        <v>18</v>
      </c>
      <c r="L33" t="e">
        <f>Tabelle7[[#This Row],[Hauptgruppe]]&amp;"/-/-"</f>
        <v>#N/A</v>
      </c>
      <c r="M33" t="e">
        <f ca="1">Tabelle7[[#This Row],[Hauptgruppe]]&amp;"/"&amp;Tabelle7[[#This Row],[Mittelgruppe]]&amp;"/-"</f>
        <v>#N/A</v>
      </c>
      <c r="N33" t="e">
        <f ca="1">Tabelle7[[#This Row],[Hauptgruppe]]&amp;"/"&amp;Tabelle7[[#This Row],[Mittelgruppe]]&amp;"/"&amp;Tabelle7[[#This Row],[Untergruppe]]</f>
        <v>#N/A</v>
      </c>
      <c r="O33" t="e">
        <f>INDEX(Tabelle6[Aktor],MATCH(Tabelle7[[#This Row],[Gesamtcode]],Tabelle6[Gesamtcode],0))&amp;" "&amp;INDEX(Tabelle6[Aktorkanal],MATCH(Tabelle7[[#This Row],[Gesamtcode]],Tabelle6[Gesamtcode],0))</f>
        <v>#N/A</v>
      </c>
    </row>
    <row r="34" spans="2:15" x14ac:dyDescent="0.25">
      <c r="B34" t="s">
        <v>266</v>
      </c>
      <c r="C34" t="e">
        <f>INDEX(Tabelle132[Zone],MATCH(Tabelle7[[#This Row],[Gesamtcode]],Tabelle132[Gesamtcode],0))</f>
        <v>#N/A</v>
      </c>
      <c r="D34" t="e">
        <f>INDEX(Tabelle132[Raum],MATCH(Tabelle7[[#This Row],[Gesamtcode]],Tabelle132[Gesamtcode],0))</f>
        <v>#N/A</v>
      </c>
      <c r="E34" t="e">
        <f>INDEX(Tabelle132[Bezeichnung],MATCH(Tabelle7[[#This Row],[Gesamtcode]],Tabelle132[Gesamtcode],0))</f>
        <v>#N/A</v>
      </c>
      <c r="F34" t="e">
        <f>"_"&amp;INDEX(Tabelle132[Geräte/Gewerke],MATCH(Tabelle7[[#This Row],[Gesamtcode]],Tabelle132[Gesamtcode],0))</f>
        <v>#N/A</v>
      </c>
      <c r="G34" t="e">
        <f>INDEX(Tabelle13[Gewerknr.],MATCH(Tabelle7[[#This Row],[Gewerke]],Tabelle13[Hauptgruppe],0))</f>
        <v>#N/A</v>
      </c>
      <c r="H34" t="s">
        <v>274</v>
      </c>
      <c r="I34" t="e">
        <f ca="1">INDEX(Tabelle134[Funktionsbereichsnr.],MATCH(Tabelle7[[#This Row],[Funktionsbereiche]],INDIRECT("Tabelle134["&amp;Tabelle7[[#This Row],[Gewerke]]&amp;"]"),0))</f>
        <v>#N/A</v>
      </c>
      <c r="J34" t="e">
        <f>Tabelle7[[#This Row],[Gesamtcode]]&amp;"_"&amp;Tabelle7[[#This Row],[Zone]]&amp;"_"&amp;Tabelle7[[#This Row],[Raum]]&amp;"_"&amp;Tabelle7[[#This Row],[Bezeichnung]]</f>
        <v>#N/A</v>
      </c>
      <c r="K34">
        <v>2</v>
      </c>
      <c r="L34" t="e">
        <f>Tabelle7[[#This Row],[Hauptgruppe]]&amp;"/-/-"</f>
        <v>#N/A</v>
      </c>
      <c r="M34" t="e">
        <f ca="1">Tabelle7[[#This Row],[Hauptgruppe]]&amp;"/"&amp;Tabelle7[[#This Row],[Mittelgruppe]]&amp;"/-"</f>
        <v>#N/A</v>
      </c>
      <c r="N34" t="e">
        <f ca="1">Tabelle7[[#This Row],[Hauptgruppe]]&amp;"/"&amp;Tabelle7[[#This Row],[Mittelgruppe]]&amp;"/"&amp;Tabelle7[[#This Row],[Untergruppe]]</f>
        <v>#N/A</v>
      </c>
      <c r="O34" t="e">
        <f>INDEX(Tabelle6[Aktor],MATCH(Tabelle7[[#This Row],[Gesamtcode]],Tabelle6[Gesamtcode],0))&amp;" "&amp;INDEX(Tabelle6[Aktorkanal],MATCH(Tabelle7[[#This Row],[Gesamtcode]],Tabelle6[Gesamtcode],0))</f>
        <v>#N/A</v>
      </c>
    </row>
    <row r="35" spans="2:15" x14ac:dyDescent="0.25">
      <c r="B35" t="s">
        <v>267</v>
      </c>
      <c r="C35" t="e">
        <f>INDEX(Tabelle132[Zone],MATCH(Tabelle7[[#This Row],[Gesamtcode]],Tabelle132[Gesamtcode],0))</f>
        <v>#N/A</v>
      </c>
      <c r="D35" t="e">
        <f>INDEX(Tabelle132[Raum],MATCH(Tabelle7[[#This Row],[Gesamtcode]],Tabelle132[Gesamtcode],0))</f>
        <v>#N/A</v>
      </c>
      <c r="E35" t="e">
        <f>INDEX(Tabelle132[Bezeichnung],MATCH(Tabelle7[[#This Row],[Gesamtcode]],Tabelle132[Gesamtcode],0))</f>
        <v>#N/A</v>
      </c>
      <c r="F35" t="e">
        <f>"_"&amp;INDEX(Tabelle132[Geräte/Gewerke],MATCH(Tabelle7[[#This Row],[Gesamtcode]],Tabelle132[Gesamtcode],0))</f>
        <v>#N/A</v>
      </c>
      <c r="G35" t="e">
        <f>INDEX(Tabelle13[Gewerknr.],MATCH(Tabelle7[[#This Row],[Gewerke]],Tabelle13[Hauptgruppe],0))</f>
        <v>#N/A</v>
      </c>
      <c r="H35" t="s">
        <v>274</v>
      </c>
      <c r="I35" t="e">
        <f ca="1">INDEX(Tabelle134[Funktionsbereichsnr.],MATCH(Tabelle7[[#This Row],[Funktionsbereiche]],INDIRECT("Tabelle134["&amp;Tabelle7[[#This Row],[Gewerke]]&amp;"]"),0))</f>
        <v>#N/A</v>
      </c>
      <c r="J35" t="e">
        <f>Tabelle7[[#This Row],[Gesamtcode]]&amp;"_"&amp;Tabelle7[[#This Row],[Zone]]&amp;"_"&amp;Tabelle7[[#This Row],[Raum]]&amp;"_"&amp;Tabelle7[[#This Row],[Bezeichnung]]</f>
        <v>#N/A</v>
      </c>
      <c r="K35">
        <v>3</v>
      </c>
      <c r="L35" t="e">
        <f>Tabelle7[[#This Row],[Hauptgruppe]]&amp;"/-/-"</f>
        <v>#N/A</v>
      </c>
      <c r="M35" t="e">
        <f ca="1">Tabelle7[[#This Row],[Hauptgruppe]]&amp;"/"&amp;Tabelle7[[#This Row],[Mittelgruppe]]&amp;"/-"</f>
        <v>#N/A</v>
      </c>
      <c r="N35" t="e">
        <f ca="1">Tabelle7[[#This Row],[Hauptgruppe]]&amp;"/"&amp;Tabelle7[[#This Row],[Mittelgruppe]]&amp;"/"&amp;Tabelle7[[#This Row],[Untergruppe]]</f>
        <v>#N/A</v>
      </c>
      <c r="O35" t="e">
        <f>INDEX(Tabelle6[Aktor],MATCH(Tabelle7[[#This Row],[Gesamtcode]],Tabelle6[Gesamtcode],0))&amp;" "&amp;INDEX(Tabelle6[Aktorkanal],MATCH(Tabelle7[[#This Row],[Gesamtcode]],Tabelle6[Gesamtcode],0))</f>
        <v>#N/A</v>
      </c>
    </row>
    <row r="36" spans="2:15" x14ac:dyDescent="0.25">
      <c r="B36" t="s">
        <v>268</v>
      </c>
      <c r="C36" t="e">
        <f>INDEX(Tabelle132[Zone],MATCH(Tabelle7[[#This Row],[Gesamtcode]],Tabelle132[Gesamtcode],0))</f>
        <v>#N/A</v>
      </c>
      <c r="D36" t="e">
        <f>INDEX(Tabelle132[Raum],MATCH(Tabelle7[[#This Row],[Gesamtcode]],Tabelle132[Gesamtcode],0))</f>
        <v>#N/A</v>
      </c>
      <c r="E36" t="e">
        <f>INDEX(Tabelle132[Bezeichnung],MATCH(Tabelle7[[#This Row],[Gesamtcode]],Tabelle132[Gesamtcode],0))</f>
        <v>#N/A</v>
      </c>
      <c r="F36" t="e">
        <f>"_"&amp;INDEX(Tabelle132[Geräte/Gewerke],MATCH(Tabelle7[[#This Row],[Gesamtcode]],Tabelle132[Gesamtcode],0))</f>
        <v>#N/A</v>
      </c>
      <c r="G36" t="e">
        <f>INDEX(Tabelle13[Gewerknr.],MATCH(Tabelle7[[#This Row],[Gewerke]],Tabelle13[Hauptgruppe],0))</f>
        <v>#N/A</v>
      </c>
      <c r="H36" t="s">
        <v>274</v>
      </c>
      <c r="I36" t="e">
        <f ca="1">INDEX(Tabelle134[Funktionsbereichsnr.],MATCH(Tabelle7[[#This Row],[Funktionsbereiche]],INDIRECT("Tabelle134["&amp;Tabelle7[[#This Row],[Gewerke]]&amp;"]"),0))</f>
        <v>#N/A</v>
      </c>
      <c r="J36" t="e">
        <f>Tabelle7[[#This Row],[Gesamtcode]]&amp;"_"&amp;Tabelle7[[#This Row],[Zone]]&amp;"_"&amp;Tabelle7[[#This Row],[Raum]]&amp;"_"&amp;Tabelle7[[#This Row],[Bezeichnung]]</f>
        <v>#N/A</v>
      </c>
      <c r="K36">
        <v>4</v>
      </c>
      <c r="L36" t="e">
        <f>Tabelle7[[#This Row],[Hauptgruppe]]&amp;"/-/-"</f>
        <v>#N/A</v>
      </c>
      <c r="M36" t="e">
        <f ca="1">Tabelle7[[#This Row],[Hauptgruppe]]&amp;"/"&amp;Tabelle7[[#This Row],[Mittelgruppe]]&amp;"/-"</f>
        <v>#N/A</v>
      </c>
      <c r="N36" t="e">
        <f ca="1">Tabelle7[[#This Row],[Hauptgruppe]]&amp;"/"&amp;Tabelle7[[#This Row],[Mittelgruppe]]&amp;"/"&amp;Tabelle7[[#This Row],[Untergruppe]]</f>
        <v>#N/A</v>
      </c>
      <c r="O36" t="e">
        <f>INDEX(Tabelle6[Aktor],MATCH(Tabelle7[[#This Row],[Gesamtcode]],Tabelle6[Gesamtcode],0))&amp;" "&amp;INDEX(Tabelle6[Aktorkanal],MATCH(Tabelle7[[#This Row],[Gesamtcode]],Tabelle6[Gesamtcode],0))</f>
        <v>#N/A</v>
      </c>
    </row>
    <row r="37" spans="2:15" x14ac:dyDescent="0.25">
      <c r="B37" t="s">
        <v>269</v>
      </c>
      <c r="C37" t="e">
        <f>INDEX(Tabelle132[Zone],MATCH(Tabelle7[[#This Row],[Gesamtcode]],Tabelle132[Gesamtcode],0))</f>
        <v>#N/A</v>
      </c>
      <c r="D37" t="e">
        <f>INDEX(Tabelle132[Raum],MATCH(Tabelle7[[#This Row],[Gesamtcode]],Tabelle132[Gesamtcode],0))</f>
        <v>#N/A</v>
      </c>
      <c r="E37" t="e">
        <f>INDEX(Tabelle132[Bezeichnung],MATCH(Tabelle7[[#This Row],[Gesamtcode]],Tabelle132[Gesamtcode],0))</f>
        <v>#N/A</v>
      </c>
      <c r="F37" t="e">
        <f>"_"&amp;INDEX(Tabelle132[Geräte/Gewerke],MATCH(Tabelle7[[#This Row],[Gesamtcode]],Tabelle132[Gesamtcode],0))</f>
        <v>#N/A</v>
      </c>
      <c r="G37" t="e">
        <f>INDEX(Tabelle13[Gewerknr.],MATCH(Tabelle7[[#This Row],[Gewerke]],Tabelle13[Hauptgruppe],0))</f>
        <v>#N/A</v>
      </c>
      <c r="H37" t="s">
        <v>274</v>
      </c>
      <c r="I37" t="e">
        <f ca="1">INDEX(Tabelle134[Funktionsbereichsnr.],MATCH(Tabelle7[[#This Row],[Funktionsbereiche]],INDIRECT("Tabelle134["&amp;Tabelle7[[#This Row],[Gewerke]]&amp;"]"),0))</f>
        <v>#N/A</v>
      </c>
      <c r="J37" t="e">
        <f>Tabelle7[[#This Row],[Gesamtcode]]&amp;"_"&amp;Tabelle7[[#This Row],[Zone]]&amp;"_"&amp;Tabelle7[[#This Row],[Raum]]&amp;"_"&amp;Tabelle7[[#This Row],[Bezeichnung]]</f>
        <v>#N/A</v>
      </c>
      <c r="K37">
        <v>5</v>
      </c>
      <c r="L37" t="e">
        <f>Tabelle7[[#This Row],[Hauptgruppe]]&amp;"/-/-"</f>
        <v>#N/A</v>
      </c>
      <c r="M37" t="e">
        <f ca="1">Tabelle7[[#This Row],[Hauptgruppe]]&amp;"/"&amp;Tabelle7[[#This Row],[Mittelgruppe]]&amp;"/-"</f>
        <v>#N/A</v>
      </c>
      <c r="N37" t="e">
        <f ca="1">Tabelle7[[#This Row],[Hauptgruppe]]&amp;"/"&amp;Tabelle7[[#This Row],[Mittelgruppe]]&amp;"/"&amp;Tabelle7[[#This Row],[Untergruppe]]</f>
        <v>#N/A</v>
      </c>
      <c r="O37" t="e">
        <f>INDEX(Tabelle6[Aktor],MATCH(Tabelle7[[#This Row],[Gesamtcode]],Tabelle6[Gesamtcode],0))&amp;" "&amp;INDEX(Tabelle6[Aktorkanal],MATCH(Tabelle7[[#This Row],[Gesamtcode]],Tabelle6[Gesamtcode],0))</f>
        <v>#N/A</v>
      </c>
    </row>
    <row r="38" spans="2:15" x14ac:dyDescent="0.25">
      <c r="B38" t="s">
        <v>270</v>
      </c>
      <c r="C38" t="e">
        <f>INDEX(Tabelle132[Zone],MATCH(Tabelle7[[#This Row],[Gesamtcode]],Tabelle132[Gesamtcode],0))</f>
        <v>#N/A</v>
      </c>
      <c r="D38" t="e">
        <f>INDEX(Tabelle132[Raum],MATCH(Tabelle7[[#This Row],[Gesamtcode]],Tabelle132[Gesamtcode],0))</f>
        <v>#N/A</v>
      </c>
      <c r="E38" t="e">
        <f>INDEX(Tabelle132[Bezeichnung],MATCH(Tabelle7[[#This Row],[Gesamtcode]],Tabelle132[Gesamtcode],0))</f>
        <v>#N/A</v>
      </c>
      <c r="F38" t="e">
        <f>"_"&amp;INDEX(Tabelle132[Geräte/Gewerke],MATCH(Tabelle7[[#This Row],[Gesamtcode]],Tabelle132[Gesamtcode],0))</f>
        <v>#N/A</v>
      </c>
      <c r="G38" t="e">
        <f>INDEX(Tabelle13[Gewerknr.],MATCH(Tabelle7[[#This Row],[Gewerke]],Tabelle13[Hauptgruppe],0))</f>
        <v>#N/A</v>
      </c>
      <c r="H38" t="s">
        <v>274</v>
      </c>
      <c r="I38" t="e">
        <f ca="1">INDEX(Tabelle134[Funktionsbereichsnr.],MATCH(Tabelle7[[#This Row],[Funktionsbereiche]],INDIRECT("Tabelle134["&amp;Tabelle7[[#This Row],[Gewerke]]&amp;"]"),0))</f>
        <v>#N/A</v>
      </c>
      <c r="J38" t="e">
        <f>Tabelle7[[#This Row],[Gesamtcode]]&amp;"_"&amp;Tabelle7[[#This Row],[Zone]]&amp;"_"&amp;Tabelle7[[#This Row],[Raum]]&amp;"_"&amp;Tabelle7[[#This Row],[Bezeichnung]]</f>
        <v>#N/A</v>
      </c>
      <c r="K38">
        <v>6</v>
      </c>
      <c r="L38" t="e">
        <f>Tabelle7[[#This Row],[Hauptgruppe]]&amp;"/-/-"</f>
        <v>#N/A</v>
      </c>
      <c r="M38" t="e">
        <f ca="1">Tabelle7[[#This Row],[Hauptgruppe]]&amp;"/"&amp;Tabelle7[[#This Row],[Mittelgruppe]]&amp;"/-"</f>
        <v>#N/A</v>
      </c>
      <c r="N38" t="e">
        <f ca="1">Tabelle7[[#This Row],[Hauptgruppe]]&amp;"/"&amp;Tabelle7[[#This Row],[Mittelgruppe]]&amp;"/"&amp;Tabelle7[[#This Row],[Untergruppe]]</f>
        <v>#N/A</v>
      </c>
      <c r="O38" t="e">
        <f>INDEX(Tabelle6[Aktor],MATCH(Tabelle7[[#This Row],[Gesamtcode]],Tabelle6[Gesamtcode],0))&amp;" "&amp;INDEX(Tabelle6[Aktorkanal],MATCH(Tabelle7[[#This Row],[Gesamtcode]],Tabelle6[Gesamtcode],0))</f>
        <v>#N/A</v>
      </c>
    </row>
    <row r="39" spans="2:15" x14ac:dyDescent="0.25">
      <c r="B39" t="s">
        <v>271</v>
      </c>
      <c r="C39" t="e">
        <f>INDEX(Tabelle132[Zone],MATCH(Tabelle7[[#This Row],[Gesamtcode]],Tabelle132[Gesamtcode],0))</f>
        <v>#N/A</v>
      </c>
      <c r="D39" t="e">
        <f>INDEX(Tabelle132[Raum],MATCH(Tabelle7[[#This Row],[Gesamtcode]],Tabelle132[Gesamtcode],0))</f>
        <v>#N/A</v>
      </c>
      <c r="E39" t="e">
        <f>INDEX(Tabelle132[Bezeichnung],MATCH(Tabelle7[[#This Row],[Gesamtcode]],Tabelle132[Gesamtcode],0))</f>
        <v>#N/A</v>
      </c>
      <c r="F39" t="e">
        <f>"_"&amp;INDEX(Tabelle132[Geräte/Gewerke],MATCH(Tabelle7[[#This Row],[Gesamtcode]],Tabelle132[Gesamtcode],0))</f>
        <v>#N/A</v>
      </c>
      <c r="G39" t="e">
        <f>INDEX(Tabelle13[Gewerknr.],MATCH(Tabelle7[[#This Row],[Gewerke]],Tabelle13[Hauptgruppe],0))</f>
        <v>#N/A</v>
      </c>
      <c r="H39" t="s">
        <v>274</v>
      </c>
      <c r="I39" t="e">
        <f ca="1">INDEX(Tabelle134[Funktionsbereichsnr.],MATCH(Tabelle7[[#This Row],[Funktionsbereiche]],INDIRECT("Tabelle134["&amp;Tabelle7[[#This Row],[Gewerke]]&amp;"]"),0))</f>
        <v>#N/A</v>
      </c>
      <c r="J39" t="e">
        <f>Tabelle7[[#This Row],[Gesamtcode]]&amp;"_"&amp;Tabelle7[[#This Row],[Zone]]&amp;"_"&amp;Tabelle7[[#This Row],[Raum]]&amp;"_"&amp;Tabelle7[[#This Row],[Bezeichnung]]</f>
        <v>#N/A</v>
      </c>
      <c r="K39">
        <v>7</v>
      </c>
      <c r="L39" t="e">
        <f>Tabelle7[[#This Row],[Hauptgruppe]]&amp;"/-/-"</f>
        <v>#N/A</v>
      </c>
      <c r="M39" t="e">
        <f ca="1">Tabelle7[[#This Row],[Hauptgruppe]]&amp;"/"&amp;Tabelle7[[#This Row],[Mittelgruppe]]&amp;"/-"</f>
        <v>#N/A</v>
      </c>
      <c r="N39" t="e">
        <f ca="1">Tabelle7[[#This Row],[Hauptgruppe]]&amp;"/"&amp;Tabelle7[[#This Row],[Mittelgruppe]]&amp;"/"&amp;Tabelle7[[#This Row],[Untergruppe]]</f>
        <v>#N/A</v>
      </c>
      <c r="O39" t="e">
        <f>INDEX(Tabelle6[Aktor],MATCH(Tabelle7[[#This Row],[Gesamtcode]],Tabelle6[Gesamtcode],0))&amp;" "&amp;INDEX(Tabelle6[Aktorkanal],MATCH(Tabelle7[[#This Row],[Gesamtcode]],Tabelle6[Gesamtcode],0))</f>
        <v>#N/A</v>
      </c>
    </row>
    <row r="40" spans="2:15" x14ac:dyDescent="0.25">
      <c r="B40" t="s">
        <v>272</v>
      </c>
      <c r="C40" t="e">
        <f>INDEX(Tabelle132[Zone],MATCH(Tabelle7[[#This Row],[Gesamtcode]],Tabelle132[Gesamtcode],0))</f>
        <v>#N/A</v>
      </c>
      <c r="D40" t="e">
        <f>INDEX(Tabelle132[Raum],MATCH(Tabelle7[[#This Row],[Gesamtcode]],Tabelle132[Gesamtcode],0))</f>
        <v>#N/A</v>
      </c>
      <c r="E40" t="e">
        <f>INDEX(Tabelle132[Bezeichnung],MATCH(Tabelle7[[#This Row],[Gesamtcode]],Tabelle132[Gesamtcode],0))</f>
        <v>#N/A</v>
      </c>
      <c r="F40" t="e">
        <f>"_"&amp;INDEX(Tabelle132[Geräte/Gewerke],MATCH(Tabelle7[[#This Row],[Gesamtcode]],Tabelle132[Gesamtcode],0))</f>
        <v>#N/A</v>
      </c>
      <c r="G40" t="e">
        <f>INDEX(Tabelle13[Gewerknr.],MATCH(Tabelle7[[#This Row],[Gewerke]],Tabelle13[Hauptgruppe],0))</f>
        <v>#N/A</v>
      </c>
      <c r="H40" t="s">
        <v>274</v>
      </c>
      <c r="I40" t="e">
        <f ca="1">INDEX(Tabelle134[Funktionsbereichsnr.],MATCH(Tabelle7[[#This Row],[Funktionsbereiche]],INDIRECT("Tabelle134["&amp;Tabelle7[[#This Row],[Gewerke]]&amp;"]"),0))</f>
        <v>#N/A</v>
      </c>
      <c r="J40" t="e">
        <f>Tabelle7[[#This Row],[Gesamtcode]]&amp;"_"&amp;Tabelle7[[#This Row],[Zone]]&amp;"_"&amp;Tabelle7[[#This Row],[Raum]]&amp;"_"&amp;Tabelle7[[#This Row],[Bezeichnung]]</f>
        <v>#N/A</v>
      </c>
      <c r="K40">
        <v>8</v>
      </c>
      <c r="L40" t="e">
        <f>Tabelle7[[#This Row],[Hauptgruppe]]&amp;"/-/-"</f>
        <v>#N/A</v>
      </c>
      <c r="M40" t="e">
        <f ca="1">Tabelle7[[#This Row],[Hauptgruppe]]&amp;"/"&amp;Tabelle7[[#This Row],[Mittelgruppe]]&amp;"/-"</f>
        <v>#N/A</v>
      </c>
      <c r="N40" t="e">
        <f ca="1">Tabelle7[[#This Row],[Hauptgruppe]]&amp;"/"&amp;Tabelle7[[#This Row],[Mittelgruppe]]&amp;"/"&amp;Tabelle7[[#This Row],[Untergruppe]]</f>
        <v>#N/A</v>
      </c>
      <c r="O40" t="e">
        <f>INDEX(Tabelle6[Aktor],MATCH(Tabelle7[[#This Row],[Gesamtcode]],Tabelle6[Gesamtcode],0))&amp;" "&amp;INDEX(Tabelle6[Aktorkanal],MATCH(Tabelle7[[#This Row],[Gesamtcode]],Tabelle6[Gesamtcode],0))</f>
        <v>#N/A</v>
      </c>
    </row>
    <row r="41" spans="2:15" x14ac:dyDescent="0.25">
      <c r="B41" t="s">
        <v>273</v>
      </c>
      <c r="C41" t="e">
        <f>INDEX(Tabelle132[Zone],MATCH(Tabelle7[[#This Row],[Gesamtcode]],Tabelle132[Gesamtcode],0))</f>
        <v>#N/A</v>
      </c>
      <c r="D41" t="e">
        <f>INDEX(Tabelle132[Raum],MATCH(Tabelle7[[#This Row],[Gesamtcode]],Tabelle132[Gesamtcode],0))</f>
        <v>#N/A</v>
      </c>
      <c r="E41" t="e">
        <f>INDEX(Tabelle132[Bezeichnung],MATCH(Tabelle7[[#This Row],[Gesamtcode]],Tabelle132[Gesamtcode],0))</f>
        <v>#N/A</v>
      </c>
      <c r="F41" t="e">
        <f>"_"&amp;INDEX(Tabelle132[Geräte/Gewerke],MATCH(Tabelle7[[#This Row],[Gesamtcode]],Tabelle132[Gesamtcode],0))</f>
        <v>#N/A</v>
      </c>
      <c r="G41" t="e">
        <f>INDEX(Tabelle13[Gewerknr.],MATCH(Tabelle7[[#This Row],[Gewerke]],Tabelle13[Hauptgruppe],0))</f>
        <v>#N/A</v>
      </c>
      <c r="H41" t="s">
        <v>274</v>
      </c>
      <c r="I41" t="e">
        <f ca="1">INDEX(Tabelle134[Funktionsbereichsnr.],MATCH(Tabelle7[[#This Row],[Funktionsbereiche]],INDIRECT("Tabelle134["&amp;Tabelle7[[#This Row],[Gewerke]]&amp;"]"),0))</f>
        <v>#N/A</v>
      </c>
      <c r="J41" t="e">
        <f>Tabelle7[[#This Row],[Gesamtcode]]&amp;"_"&amp;Tabelle7[[#This Row],[Zone]]&amp;"_"&amp;Tabelle7[[#This Row],[Raum]]&amp;"_"&amp;Tabelle7[[#This Row],[Bezeichnung]]</f>
        <v>#N/A</v>
      </c>
      <c r="K41">
        <v>9</v>
      </c>
      <c r="L41" t="e">
        <f>Tabelle7[[#This Row],[Hauptgruppe]]&amp;"/-/-"</f>
        <v>#N/A</v>
      </c>
      <c r="M41" t="e">
        <f ca="1">Tabelle7[[#This Row],[Hauptgruppe]]&amp;"/"&amp;Tabelle7[[#This Row],[Mittelgruppe]]&amp;"/-"</f>
        <v>#N/A</v>
      </c>
      <c r="N41" t="e">
        <f ca="1">Tabelle7[[#This Row],[Hauptgruppe]]&amp;"/"&amp;Tabelle7[[#This Row],[Mittelgruppe]]&amp;"/"&amp;Tabelle7[[#This Row],[Untergruppe]]</f>
        <v>#N/A</v>
      </c>
      <c r="O41" t="e">
        <f>INDEX(Tabelle6[Aktor],MATCH(Tabelle7[[#This Row],[Gesamtcode]],Tabelle6[Gesamtcode],0))&amp;" "&amp;INDEX(Tabelle6[Aktorkanal],MATCH(Tabelle7[[#This Row],[Gesamtcode]],Tabelle6[Gesamtcode],0))</f>
        <v>#N/A</v>
      </c>
    </row>
    <row r="42" spans="2:15" x14ac:dyDescent="0.25">
      <c r="B42" t="s">
        <v>254</v>
      </c>
      <c r="C42" t="e">
        <f>INDEX(Tabelle132[Zone],MATCH(Tabelle7[[#This Row],[Gesamtcode]],Tabelle132[Gesamtcode],0))</f>
        <v>#N/A</v>
      </c>
      <c r="D42" t="e">
        <f>INDEX(Tabelle132[Raum],MATCH(Tabelle7[[#This Row],[Gesamtcode]],Tabelle132[Gesamtcode],0))</f>
        <v>#N/A</v>
      </c>
      <c r="E42" t="e">
        <f>INDEX(Tabelle132[Bezeichnung],MATCH(Tabelle7[[#This Row],[Gesamtcode]],Tabelle132[Gesamtcode],0))</f>
        <v>#N/A</v>
      </c>
      <c r="F42" t="e">
        <f>"_"&amp;INDEX(Tabelle132[Geräte/Gewerke],MATCH(Tabelle7[[#This Row],[Gesamtcode]],Tabelle132[Gesamtcode],0))</f>
        <v>#N/A</v>
      </c>
      <c r="G42" t="e">
        <f>INDEX(Tabelle13[Gewerknr.],MATCH(Tabelle7[[#This Row],[Gewerke]],Tabelle13[Hauptgruppe],0))</f>
        <v>#N/A</v>
      </c>
      <c r="H42" t="s">
        <v>275</v>
      </c>
      <c r="I42" t="e">
        <f ca="1">INDEX(Tabelle134[Funktionsbereichsnr.],MATCH(Tabelle7[[#This Row],[Funktionsbereiche]],INDIRECT("Tabelle134["&amp;Tabelle7[[#This Row],[Gewerke]]&amp;"]"),0))</f>
        <v>#N/A</v>
      </c>
      <c r="J42" t="e">
        <f>Tabelle7[[#This Row],[Gesamtcode]]&amp;"_"&amp;Tabelle7[[#This Row],[Zone]]&amp;"_"&amp;Tabelle7[[#This Row],[Raum]]&amp;"_"&amp;Tabelle7[[#This Row],[Bezeichnung]]</f>
        <v>#N/A</v>
      </c>
      <c r="K42">
        <v>0</v>
      </c>
      <c r="L42" t="e">
        <f>Tabelle7[[#This Row],[Hauptgruppe]]&amp;"/-/-"</f>
        <v>#N/A</v>
      </c>
      <c r="M42" t="e">
        <f ca="1">Tabelle7[[#This Row],[Hauptgruppe]]&amp;"/"&amp;Tabelle7[[#This Row],[Mittelgruppe]]&amp;"/-"</f>
        <v>#N/A</v>
      </c>
      <c r="N42" t="e">
        <f ca="1">Tabelle7[[#This Row],[Hauptgruppe]]&amp;"/"&amp;Tabelle7[[#This Row],[Mittelgruppe]]&amp;"/"&amp;Tabelle7[[#This Row],[Untergruppe]]</f>
        <v>#N/A</v>
      </c>
      <c r="O42" t="e">
        <f>INDEX(Tabelle6[Aktor],MATCH(Tabelle7[[#This Row],[Gesamtcode]],Tabelle6[Gesamtcode],0))&amp;" "&amp;INDEX(Tabelle6[Aktorkanal],MATCH(Tabelle7[[#This Row],[Gesamtcode]],Tabelle6[Gesamtcode],0))</f>
        <v>#N/A</v>
      </c>
    </row>
    <row r="43" spans="2:15" x14ac:dyDescent="0.25">
      <c r="B43" t="s">
        <v>256</v>
      </c>
      <c r="C43" t="e">
        <f>INDEX(Tabelle132[Zone],MATCH(Tabelle7[[#This Row],[Gesamtcode]],Tabelle132[Gesamtcode],0))</f>
        <v>#N/A</v>
      </c>
      <c r="D43" t="e">
        <f>INDEX(Tabelle132[Raum],MATCH(Tabelle7[[#This Row],[Gesamtcode]],Tabelle132[Gesamtcode],0))</f>
        <v>#N/A</v>
      </c>
      <c r="E43" t="e">
        <f>INDEX(Tabelle132[Bezeichnung],MATCH(Tabelle7[[#This Row],[Gesamtcode]],Tabelle132[Gesamtcode],0))</f>
        <v>#N/A</v>
      </c>
      <c r="F43" t="e">
        <f>"_"&amp;INDEX(Tabelle132[Geräte/Gewerke],MATCH(Tabelle7[[#This Row],[Gesamtcode]],Tabelle132[Gesamtcode],0))</f>
        <v>#N/A</v>
      </c>
      <c r="G43" t="e">
        <f>INDEX(Tabelle13[Gewerknr.],MATCH(Tabelle7[[#This Row],[Gewerke]],Tabelle13[Hauptgruppe],0))</f>
        <v>#N/A</v>
      </c>
      <c r="H43" t="s">
        <v>275</v>
      </c>
      <c r="I43" t="e">
        <f ca="1">INDEX(Tabelle134[Funktionsbereichsnr.],MATCH(Tabelle7[[#This Row],[Funktionsbereiche]],INDIRECT("Tabelle134["&amp;Tabelle7[[#This Row],[Gewerke]]&amp;"]"),0))</f>
        <v>#N/A</v>
      </c>
      <c r="J43" t="e">
        <f>Tabelle7[[#This Row],[Gesamtcode]]&amp;"_"&amp;Tabelle7[[#This Row],[Zone]]&amp;"_"&amp;Tabelle7[[#This Row],[Raum]]&amp;"_"&amp;Tabelle7[[#This Row],[Bezeichnung]]</f>
        <v>#N/A</v>
      </c>
      <c r="K43">
        <v>1</v>
      </c>
      <c r="L43" t="e">
        <f>Tabelle7[[#This Row],[Hauptgruppe]]&amp;"/-/-"</f>
        <v>#N/A</v>
      </c>
      <c r="M43" t="e">
        <f ca="1">Tabelle7[[#This Row],[Hauptgruppe]]&amp;"/"&amp;Tabelle7[[#This Row],[Mittelgruppe]]&amp;"/-"</f>
        <v>#N/A</v>
      </c>
      <c r="N43" t="e">
        <f ca="1">Tabelle7[[#This Row],[Hauptgruppe]]&amp;"/"&amp;Tabelle7[[#This Row],[Mittelgruppe]]&amp;"/"&amp;Tabelle7[[#This Row],[Untergruppe]]</f>
        <v>#N/A</v>
      </c>
      <c r="O43" t="e">
        <f>INDEX(Tabelle6[Aktor],MATCH(Tabelle7[[#This Row],[Gesamtcode]],Tabelle6[Gesamtcode],0))&amp;" "&amp;INDEX(Tabelle6[Aktorkanal],MATCH(Tabelle7[[#This Row],[Gesamtcode]],Tabelle6[Gesamtcode],0))</f>
        <v>#N/A</v>
      </c>
    </row>
    <row r="44" spans="2:15" x14ac:dyDescent="0.25">
      <c r="B44" t="s">
        <v>257</v>
      </c>
      <c r="C44" t="e">
        <f>INDEX(Tabelle132[Zone],MATCH(Tabelle7[[#This Row],[Gesamtcode]],Tabelle132[Gesamtcode],0))</f>
        <v>#N/A</v>
      </c>
      <c r="D44" t="e">
        <f>INDEX(Tabelle132[Raum],MATCH(Tabelle7[[#This Row],[Gesamtcode]],Tabelle132[Gesamtcode],0))</f>
        <v>#N/A</v>
      </c>
      <c r="E44" t="e">
        <f>INDEX(Tabelle132[Bezeichnung],MATCH(Tabelle7[[#This Row],[Gesamtcode]],Tabelle132[Gesamtcode],0))</f>
        <v>#N/A</v>
      </c>
      <c r="F44" t="e">
        <f>"_"&amp;INDEX(Tabelle132[Geräte/Gewerke],MATCH(Tabelle7[[#This Row],[Gesamtcode]],Tabelle132[Gesamtcode],0))</f>
        <v>#N/A</v>
      </c>
      <c r="G44" t="e">
        <f>INDEX(Tabelle13[Gewerknr.],MATCH(Tabelle7[[#This Row],[Gewerke]],Tabelle13[Hauptgruppe],0))</f>
        <v>#N/A</v>
      </c>
      <c r="H44" t="s">
        <v>275</v>
      </c>
      <c r="I44" t="e">
        <f ca="1">INDEX(Tabelle134[Funktionsbereichsnr.],MATCH(Tabelle7[[#This Row],[Funktionsbereiche]],INDIRECT("Tabelle134["&amp;Tabelle7[[#This Row],[Gewerke]]&amp;"]"),0))</f>
        <v>#N/A</v>
      </c>
      <c r="J44" t="e">
        <f>Tabelle7[[#This Row],[Gesamtcode]]&amp;"_"&amp;Tabelle7[[#This Row],[Zone]]&amp;"_"&amp;Tabelle7[[#This Row],[Raum]]&amp;"_"&amp;Tabelle7[[#This Row],[Bezeichnung]]</f>
        <v>#N/A</v>
      </c>
      <c r="K44">
        <v>10</v>
      </c>
      <c r="L44" t="e">
        <f>Tabelle7[[#This Row],[Hauptgruppe]]&amp;"/-/-"</f>
        <v>#N/A</v>
      </c>
      <c r="M44" t="e">
        <f ca="1">Tabelle7[[#This Row],[Hauptgruppe]]&amp;"/"&amp;Tabelle7[[#This Row],[Mittelgruppe]]&amp;"/-"</f>
        <v>#N/A</v>
      </c>
      <c r="N44" t="e">
        <f ca="1">Tabelle7[[#This Row],[Hauptgruppe]]&amp;"/"&amp;Tabelle7[[#This Row],[Mittelgruppe]]&amp;"/"&amp;Tabelle7[[#This Row],[Untergruppe]]</f>
        <v>#N/A</v>
      </c>
      <c r="O44" t="e">
        <f>INDEX(Tabelle6[Aktor],MATCH(Tabelle7[[#This Row],[Gesamtcode]],Tabelle6[Gesamtcode],0))&amp;" "&amp;INDEX(Tabelle6[Aktorkanal],MATCH(Tabelle7[[#This Row],[Gesamtcode]],Tabelle6[Gesamtcode],0))</f>
        <v>#N/A</v>
      </c>
    </row>
    <row r="45" spans="2:15" x14ac:dyDescent="0.25">
      <c r="B45" t="s">
        <v>258</v>
      </c>
      <c r="C45" t="e">
        <f>INDEX(Tabelle132[Zone],MATCH(Tabelle7[[#This Row],[Gesamtcode]],Tabelle132[Gesamtcode],0))</f>
        <v>#N/A</v>
      </c>
      <c r="D45" t="e">
        <f>INDEX(Tabelle132[Raum],MATCH(Tabelle7[[#This Row],[Gesamtcode]],Tabelle132[Gesamtcode],0))</f>
        <v>#N/A</v>
      </c>
      <c r="E45" t="e">
        <f>INDEX(Tabelle132[Bezeichnung],MATCH(Tabelle7[[#This Row],[Gesamtcode]],Tabelle132[Gesamtcode],0))</f>
        <v>#N/A</v>
      </c>
      <c r="F45" t="e">
        <f>"_"&amp;INDEX(Tabelle132[Geräte/Gewerke],MATCH(Tabelle7[[#This Row],[Gesamtcode]],Tabelle132[Gesamtcode],0))</f>
        <v>#N/A</v>
      </c>
      <c r="G45" t="e">
        <f>INDEX(Tabelle13[Gewerknr.],MATCH(Tabelle7[[#This Row],[Gewerke]],Tabelle13[Hauptgruppe],0))</f>
        <v>#N/A</v>
      </c>
      <c r="H45" t="s">
        <v>275</v>
      </c>
      <c r="I45" t="e">
        <f ca="1">INDEX(Tabelle134[Funktionsbereichsnr.],MATCH(Tabelle7[[#This Row],[Funktionsbereiche]],INDIRECT("Tabelle134["&amp;Tabelle7[[#This Row],[Gewerke]]&amp;"]"),0))</f>
        <v>#N/A</v>
      </c>
      <c r="J45" t="e">
        <f>Tabelle7[[#This Row],[Gesamtcode]]&amp;"_"&amp;Tabelle7[[#This Row],[Zone]]&amp;"_"&amp;Tabelle7[[#This Row],[Raum]]&amp;"_"&amp;Tabelle7[[#This Row],[Bezeichnung]]</f>
        <v>#N/A</v>
      </c>
      <c r="K45">
        <v>11</v>
      </c>
      <c r="L45" t="e">
        <f>Tabelle7[[#This Row],[Hauptgruppe]]&amp;"/-/-"</f>
        <v>#N/A</v>
      </c>
      <c r="M45" t="e">
        <f ca="1">Tabelle7[[#This Row],[Hauptgruppe]]&amp;"/"&amp;Tabelle7[[#This Row],[Mittelgruppe]]&amp;"/-"</f>
        <v>#N/A</v>
      </c>
      <c r="N45" t="e">
        <f ca="1">Tabelle7[[#This Row],[Hauptgruppe]]&amp;"/"&amp;Tabelle7[[#This Row],[Mittelgruppe]]&amp;"/"&amp;Tabelle7[[#This Row],[Untergruppe]]</f>
        <v>#N/A</v>
      </c>
      <c r="O45" t="e">
        <f>INDEX(Tabelle6[Aktor],MATCH(Tabelle7[[#This Row],[Gesamtcode]],Tabelle6[Gesamtcode],0))&amp;" "&amp;INDEX(Tabelle6[Aktorkanal],MATCH(Tabelle7[[#This Row],[Gesamtcode]],Tabelle6[Gesamtcode],0))</f>
        <v>#N/A</v>
      </c>
    </row>
    <row r="46" spans="2:15" x14ac:dyDescent="0.25">
      <c r="B46" t="s">
        <v>259</v>
      </c>
      <c r="C46" t="e">
        <f>INDEX(Tabelle132[Zone],MATCH(Tabelle7[[#This Row],[Gesamtcode]],Tabelle132[Gesamtcode],0))</f>
        <v>#N/A</v>
      </c>
      <c r="D46" t="e">
        <f>INDEX(Tabelle132[Raum],MATCH(Tabelle7[[#This Row],[Gesamtcode]],Tabelle132[Gesamtcode],0))</f>
        <v>#N/A</v>
      </c>
      <c r="E46" t="e">
        <f>INDEX(Tabelle132[Bezeichnung],MATCH(Tabelle7[[#This Row],[Gesamtcode]],Tabelle132[Gesamtcode],0))</f>
        <v>#N/A</v>
      </c>
      <c r="F46" t="e">
        <f>"_"&amp;INDEX(Tabelle132[Geräte/Gewerke],MATCH(Tabelle7[[#This Row],[Gesamtcode]],Tabelle132[Gesamtcode],0))</f>
        <v>#N/A</v>
      </c>
      <c r="G46" t="e">
        <f>INDEX(Tabelle13[Gewerknr.],MATCH(Tabelle7[[#This Row],[Gewerke]],Tabelle13[Hauptgruppe],0))</f>
        <v>#N/A</v>
      </c>
      <c r="H46" t="s">
        <v>275</v>
      </c>
      <c r="I46" t="e">
        <f ca="1">INDEX(Tabelle134[Funktionsbereichsnr.],MATCH(Tabelle7[[#This Row],[Funktionsbereiche]],INDIRECT("Tabelle134["&amp;Tabelle7[[#This Row],[Gewerke]]&amp;"]"),0))</f>
        <v>#N/A</v>
      </c>
      <c r="J46" t="e">
        <f>Tabelle7[[#This Row],[Gesamtcode]]&amp;"_"&amp;Tabelle7[[#This Row],[Zone]]&amp;"_"&amp;Tabelle7[[#This Row],[Raum]]&amp;"_"&amp;Tabelle7[[#This Row],[Bezeichnung]]</f>
        <v>#N/A</v>
      </c>
      <c r="K46">
        <v>12</v>
      </c>
      <c r="L46" t="e">
        <f>Tabelle7[[#This Row],[Hauptgruppe]]&amp;"/-/-"</f>
        <v>#N/A</v>
      </c>
      <c r="M46" t="e">
        <f ca="1">Tabelle7[[#This Row],[Hauptgruppe]]&amp;"/"&amp;Tabelle7[[#This Row],[Mittelgruppe]]&amp;"/-"</f>
        <v>#N/A</v>
      </c>
      <c r="N46" t="e">
        <f ca="1">Tabelle7[[#This Row],[Hauptgruppe]]&amp;"/"&amp;Tabelle7[[#This Row],[Mittelgruppe]]&amp;"/"&amp;Tabelle7[[#This Row],[Untergruppe]]</f>
        <v>#N/A</v>
      </c>
      <c r="O46" t="e">
        <f>INDEX(Tabelle6[Aktor],MATCH(Tabelle7[[#This Row],[Gesamtcode]],Tabelle6[Gesamtcode],0))&amp;" "&amp;INDEX(Tabelle6[Aktorkanal],MATCH(Tabelle7[[#This Row],[Gesamtcode]],Tabelle6[Gesamtcode],0))</f>
        <v>#N/A</v>
      </c>
    </row>
    <row r="47" spans="2:15" x14ac:dyDescent="0.25">
      <c r="B47" t="s">
        <v>260</v>
      </c>
      <c r="C47" t="e">
        <f>INDEX(Tabelle132[Zone],MATCH(Tabelle7[[#This Row],[Gesamtcode]],Tabelle132[Gesamtcode],0))</f>
        <v>#N/A</v>
      </c>
      <c r="D47" t="e">
        <f>INDEX(Tabelle132[Raum],MATCH(Tabelle7[[#This Row],[Gesamtcode]],Tabelle132[Gesamtcode],0))</f>
        <v>#N/A</v>
      </c>
      <c r="E47" t="e">
        <f>INDEX(Tabelle132[Bezeichnung],MATCH(Tabelle7[[#This Row],[Gesamtcode]],Tabelle132[Gesamtcode],0))</f>
        <v>#N/A</v>
      </c>
      <c r="F47" t="e">
        <f>"_"&amp;INDEX(Tabelle132[Geräte/Gewerke],MATCH(Tabelle7[[#This Row],[Gesamtcode]],Tabelle132[Gesamtcode],0))</f>
        <v>#N/A</v>
      </c>
      <c r="G47" t="e">
        <f>INDEX(Tabelle13[Gewerknr.],MATCH(Tabelle7[[#This Row],[Gewerke]],Tabelle13[Hauptgruppe],0))</f>
        <v>#N/A</v>
      </c>
      <c r="H47" t="s">
        <v>275</v>
      </c>
      <c r="I47" t="e">
        <f ca="1">INDEX(Tabelle134[Funktionsbereichsnr.],MATCH(Tabelle7[[#This Row],[Funktionsbereiche]],INDIRECT("Tabelle134["&amp;Tabelle7[[#This Row],[Gewerke]]&amp;"]"),0))</f>
        <v>#N/A</v>
      </c>
      <c r="J47" t="e">
        <f>Tabelle7[[#This Row],[Gesamtcode]]&amp;"_"&amp;Tabelle7[[#This Row],[Zone]]&amp;"_"&amp;Tabelle7[[#This Row],[Raum]]&amp;"_"&amp;Tabelle7[[#This Row],[Bezeichnung]]</f>
        <v>#N/A</v>
      </c>
      <c r="K47">
        <v>13</v>
      </c>
      <c r="L47" t="e">
        <f>Tabelle7[[#This Row],[Hauptgruppe]]&amp;"/-/-"</f>
        <v>#N/A</v>
      </c>
      <c r="M47" t="e">
        <f ca="1">Tabelle7[[#This Row],[Hauptgruppe]]&amp;"/"&amp;Tabelle7[[#This Row],[Mittelgruppe]]&amp;"/-"</f>
        <v>#N/A</v>
      </c>
      <c r="N47" t="e">
        <f ca="1">Tabelle7[[#This Row],[Hauptgruppe]]&amp;"/"&amp;Tabelle7[[#This Row],[Mittelgruppe]]&amp;"/"&amp;Tabelle7[[#This Row],[Untergruppe]]</f>
        <v>#N/A</v>
      </c>
      <c r="O47" t="e">
        <f>INDEX(Tabelle6[Aktor],MATCH(Tabelle7[[#This Row],[Gesamtcode]],Tabelle6[Gesamtcode],0))&amp;" "&amp;INDEX(Tabelle6[Aktorkanal],MATCH(Tabelle7[[#This Row],[Gesamtcode]],Tabelle6[Gesamtcode],0))</f>
        <v>#N/A</v>
      </c>
    </row>
    <row r="48" spans="2:15" x14ac:dyDescent="0.25">
      <c r="B48" t="s">
        <v>261</v>
      </c>
      <c r="C48" t="e">
        <f>INDEX(Tabelle132[Zone],MATCH(Tabelle7[[#This Row],[Gesamtcode]],Tabelle132[Gesamtcode],0))</f>
        <v>#N/A</v>
      </c>
      <c r="D48" t="e">
        <f>INDEX(Tabelle132[Raum],MATCH(Tabelle7[[#This Row],[Gesamtcode]],Tabelle132[Gesamtcode],0))</f>
        <v>#N/A</v>
      </c>
      <c r="E48" t="e">
        <f>INDEX(Tabelle132[Bezeichnung],MATCH(Tabelle7[[#This Row],[Gesamtcode]],Tabelle132[Gesamtcode],0))</f>
        <v>#N/A</v>
      </c>
      <c r="F48" t="e">
        <f>"_"&amp;INDEX(Tabelle132[Geräte/Gewerke],MATCH(Tabelle7[[#This Row],[Gesamtcode]],Tabelle132[Gesamtcode],0))</f>
        <v>#N/A</v>
      </c>
      <c r="G48" t="e">
        <f>INDEX(Tabelle13[Gewerknr.],MATCH(Tabelle7[[#This Row],[Gewerke]],Tabelle13[Hauptgruppe],0))</f>
        <v>#N/A</v>
      </c>
      <c r="H48" t="s">
        <v>275</v>
      </c>
      <c r="I48" t="e">
        <f ca="1">INDEX(Tabelle134[Funktionsbereichsnr.],MATCH(Tabelle7[[#This Row],[Funktionsbereiche]],INDIRECT("Tabelle134["&amp;Tabelle7[[#This Row],[Gewerke]]&amp;"]"),0))</f>
        <v>#N/A</v>
      </c>
      <c r="J48" t="e">
        <f>Tabelle7[[#This Row],[Gesamtcode]]&amp;"_"&amp;Tabelle7[[#This Row],[Zone]]&amp;"_"&amp;Tabelle7[[#This Row],[Raum]]&amp;"_"&amp;Tabelle7[[#This Row],[Bezeichnung]]</f>
        <v>#N/A</v>
      </c>
      <c r="K48">
        <v>14</v>
      </c>
      <c r="L48" t="e">
        <f>Tabelle7[[#This Row],[Hauptgruppe]]&amp;"/-/-"</f>
        <v>#N/A</v>
      </c>
      <c r="M48" t="e">
        <f ca="1">Tabelle7[[#This Row],[Hauptgruppe]]&amp;"/"&amp;Tabelle7[[#This Row],[Mittelgruppe]]&amp;"/-"</f>
        <v>#N/A</v>
      </c>
      <c r="N48" t="e">
        <f ca="1">Tabelle7[[#This Row],[Hauptgruppe]]&amp;"/"&amp;Tabelle7[[#This Row],[Mittelgruppe]]&amp;"/"&amp;Tabelle7[[#This Row],[Untergruppe]]</f>
        <v>#N/A</v>
      </c>
      <c r="O48" t="e">
        <f>INDEX(Tabelle6[Aktor],MATCH(Tabelle7[[#This Row],[Gesamtcode]],Tabelle6[Gesamtcode],0))&amp;" "&amp;INDEX(Tabelle6[Aktorkanal],MATCH(Tabelle7[[#This Row],[Gesamtcode]],Tabelle6[Gesamtcode],0))</f>
        <v>#N/A</v>
      </c>
    </row>
    <row r="49" spans="2:15" x14ac:dyDescent="0.25">
      <c r="B49" t="s">
        <v>262</v>
      </c>
      <c r="C49" t="e">
        <f>INDEX(Tabelle132[Zone],MATCH(Tabelle7[[#This Row],[Gesamtcode]],Tabelle132[Gesamtcode],0))</f>
        <v>#N/A</v>
      </c>
      <c r="D49" t="e">
        <f>INDEX(Tabelle132[Raum],MATCH(Tabelle7[[#This Row],[Gesamtcode]],Tabelle132[Gesamtcode],0))</f>
        <v>#N/A</v>
      </c>
      <c r="E49" t="e">
        <f>INDEX(Tabelle132[Bezeichnung],MATCH(Tabelle7[[#This Row],[Gesamtcode]],Tabelle132[Gesamtcode],0))</f>
        <v>#N/A</v>
      </c>
      <c r="F49" t="e">
        <f>"_"&amp;INDEX(Tabelle132[Geräte/Gewerke],MATCH(Tabelle7[[#This Row],[Gesamtcode]],Tabelle132[Gesamtcode],0))</f>
        <v>#N/A</v>
      </c>
      <c r="G49" t="e">
        <f>INDEX(Tabelle13[Gewerknr.],MATCH(Tabelle7[[#This Row],[Gewerke]],Tabelle13[Hauptgruppe],0))</f>
        <v>#N/A</v>
      </c>
      <c r="H49" t="s">
        <v>275</v>
      </c>
      <c r="I49" t="e">
        <f ca="1">INDEX(Tabelle134[Funktionsbereichsnr.],MATCH(Tabelle7[[#This Row],[Funktionsbereiche]],INDIRECT("Tabelle134["&amp;Tabelle7[[#This Row],[Gewerke]]&amp;"]"),0))</f>
        <v>#N/A</v>
      </c>
      <c r="J49" t="e">
        <f>Tabelle7[[#This Row],[Gesamtcode]]&amp;"_"&amp;Tabelle7[[#This Row],[Zone]]&amp;"_"&amp;Tabelle7[[#This Row],[Raum]]&amp;"_"&amp;Tabelle7[[#This Row],[Bezeichnung]]</f>
        <v>#N/A</v>
      </c>
      <c r="K49">
        <v>15</v>
      </c>
      <c r="L49" t="e">
        <f>Tabelle7[[#This Row],[Hauptgruppe]]&amp;"/-/-"</f>
        <v>#N/A</v>
      </c>
      <c r="M49" t="e">
        <f ca="1">Tabelle7[[#This Row],[Hauptgruppe]]&amp;"/"&amp;Tabelle7[[#This Row],[Mittelgruppe]]&amp;"/-"</f>
        <v>#N/A</v>
      </c>
      <c r="N49" t="e">
        <f ca="1">Tabelle7[[#This Row],[Hauptgruppe]]&amp;"/"&amp;Tabelle7[[#This Row],[Mittelgruppe]]&amp;"/"&amp;Tabelle7[[#This Row],[Untergruppe]]</f>
        <v>#N/A</v>
      </c>
      <c r="O49" t="e">
        <f>INDEX(Tabelle6[Aktor],MATCH(Tabelle7[[#This Row],[Gesamtcode]],Tabelle6[Gesamtcode],0))&amp;" "&amp;INDEX(Tabelle6[Aktorkanal],MATCH(Tabelle7[[#This Row],[Gesamtcode]],Tabelle6[Gesamtcode],0))</f>
        <v>#N/A</v>
      </c>
    </row>
    <row r="50" spans="2:15" x14ac:dyDescent="0.25">
      <c r="B50" t="s">
        <v>263</v>
      </c>
      <c r="C50" t="e">
        <f>INDEX(Tabelle132[Zone],MATCH(Tabelle7[[#This Row],[Gesamtcode]],Tabelle132[Gesamtcode],0))</f>
        <v>#N/A</v>
      </c>
      <c r="D50" t="e">
        <f>INDEX(Tabelle132[Raum],MATCH(Tabelle7[[#This Row],[Gesamtcode]],Tabelle132[Gesamtcode],0))</f>
        <v>#N/A</v>
      </c>
      <c r="E50" t="e">
        <f>INDEX(Tabelle132[Bezeichnung],MATCH(Tabelle7[[#This Row],[Gesamtcode]],Tabelle132[Gesamtcode],0))</f>
        <v>#N/A</v>
      </c>
      <c r="F50" t="e">
        <f>"_"&amp;INDEX(Tabelle132[Geräte/Gewerke],MATCH(Tabelle7[[#This Row],[Gesamtcode]],Tabelle132[Gesamtcode],0))</f>
        <v>#N/A</v>
      </c>
      <c r="G50" t="e">
        <f>INDEX(Tabelle13[Gewerknr.],MATCH(Tabelle7[[#This Row],[Gewerke]],Tabelle13[Hauptgruppe],0))</f>
        <v>#N/A</v>
      </c>
      <c r="H50" t="s">
        <v>275</v>
      </c>
      <c r="I50" t="e">
        <f ca="1">INDEX(Tabelle134[Funktionsbereichsnr.],MATCH(Tabelle7[[#This Row],[Funktionsbereiche]],INDIRECT("Tabelle134["&amp;Tabelle7[[#This Row],[Gewerke]]&amp;"]"),0))</f>
        <v>#N/A</v>
      </c>
      <c r="J50" t="e">
        <f>Tabelle7[[#This Row],[Gesamtcode]]&amp;"_"&amp;Tabelle7[[#This Row],[Zone]]&amp;"_"&amp;Tabelle7[[#This Row],[Raum]]&amp;"_"&amp;Tabelle7[[#This Row],[Bezeichnung]]</f>
        <v>#N/A</v>
      </c>
      <c r="K50">
        <v>16</v>
      </c>
      <c r="L50" t="e">
        <f>Tabelle7[[#This Row],[Hauptgruppe]]&amp;"/-/-"</f>
        <v>#N/A</v>
      </c>
      <c r="M50" t="e">
        <f ca="1">Tabelle7[[#This Row],[Hauptgruppe]]&amp;"/"&amp;Tabelle7[[#This Row],[Mittelgruppe]]&amp;"/-"</f>
        <v>#N/A</v>
      </c>
      <c r="N50" t="e">
        <f ca="1">Tabelle7[[#This Row],[Hauptgruppe]]&amp;"/"&amp;Tabelle7[[#This Row],[Mittelgruppe]]&amp;"/"&amp;Tabelle7[[#This Row],[Untergruppe]]</f>
        <v>#N/A</v>
      </c>
      <c r="O50" t="e">
        <f>INDEX(Tabelle6[Aktor],MATCH(Tabelle7[[#This Row],[Gesamtcode]],Tabelle6[Gesamtcode],0))&amp;" "&amp;INDEX(Tabelle6[Aktorkanal],MATCH(Tabelle7[[#This Row],[Gesamtcode]],Tabelle6[Gesamtcode],0))</f>
        <v>#N/A</v>
      </c>
    </row>
    <row r="51" spans="2:15" x14ac:dyDescent="0.25">
      <c r="B51" t="s">
        <v>264</v>
      </c>
      <c r="C51" t="e">
        <f>INDEX(Tabelle132[Zone],MATCH(Tabelle7[[#This Row],[Gesamtcode]],Tabelle132[Gesamtcode],0))</f>
        <v>#N/A</v>
      </c>
      <c r="D51" t="e">
        <f>INDEX(Tabelle132[Raum],MATCH(Tabelle7[[#This Row],[Gesamtcode]],Tabelle132[Gesamtcode],0))</f>
        <v>#N/A</v>
      </c>
      <c r="E51" t="e">
        <f>INDEX(Tabelle132[Bezeichnung],MATCH(Tabelle7[[#This Row],[Gesamtcode]],Tabelle132[Gesamtcode],0))</f>
        <v>#N/A</v>
      </c>
      <c r="F51" t="e">
        <f>"_"&amp;INDEX(Tabelle132[Geräte/Gewerke],MATCH(Tabelle7[[#This Row],[Gesamtcode]],Tabelle132[Gesamtcode],0))</f>
        <v>#N/A</v>
      </c>
      <c r="G51" t="e">
        <f>INDEX(Tabelle13[Gewerknr.],MATCH(Tabelle7[[#This Row],[Gewerke]],Tabelle13[Hauptgruppe],0))</f>
        <v>#N/A</v>
      </c>
      <c r="H51" t="s">
        <v>275</v>
      </c>
      <c r="I51" t="e">
        <f ca="1">INDEX(Tabelle134[Funktionsbereichsnr.],MATCH(Tabelle7[[#This Row],[Funktionsbereiche]],INDIRECT("Tabelle134["&amp;Tabelle7[[#This Row],[Gewerke]]&amp;"]"),0))</f>
        <v>#N/A</v>
      </c>
      <c r="J51" t="e">
        <f>Tabelle7[[#This Row],[Gesamtcode]]&amp;"_"&amp;Tabelle7[[#This Row],[Zone]]&amp;"_"&amp;Tabelle7[[#This Row],[Raum]]&amp;"_"&amp;Tabelle7[[#This Row],[Bezeichnung]]</f>
        <v>#N/A</v>
      </c>
      <c r="K51">
        <v>17</v>
      </c>
      <c r="L51" t="e">
        <f>Tabelle7[[#This Row],[Hauptgruppe]]&amp;"/-/-"</f>
        <v>#N/A</v>
      </c>
      <c r="M51" t="e">
        <f ca="1">Tabelle7[[#This Row],[Hauptgruppe]]&amp;"/"&amp;Tabelle7[[#This Row],[Mittelgruppe]]&amp;"/-"</f>
        <v>#N/A</v>
      </c>
      <c r="N51" t="e">
        <f ca="1">Tabelle7[[#This Row],[Hauptgruppe]]&amp;"/"&amp;Tabelle7[[#This Row],[Mittelgruppe]]&amp;"/"&amp;Tabelle7[[#This Row],[Untergruppe]]</f>
        <v>#N/A</v>
      </c>
      <c r="O51" t="e">
        <f>INDEX(Tabelle6[Aktor],MATCH(Tabelle7[[#This Row],[Gesamtcode]],Tabelle6[Gesamtcode],0))&amp;" "&amp;INDEX(Tabelle6[Aktorkanal],MATCH(Tabelle7[[#This Row],[Gesamtcode]],Tabelle6[Gesamtcode],0))</f>
        <v>#N/A</v>
      </c>
    </row>
    <row r="52" spans="2:15" x14ac:dyDescent="0.25">
      <c r="B52" t="s">
        <v>265</v>
      </c>
      <c r="C52" t="e">
        <f>INDEX(Tabelle132[Zone],MATCH(Tabelle7[[#This Row],[Gesamtcode]],Tabelle132[Gesamtcode],0))</f>
        <v>#N/A</v>
      </c>
      <c r="D52" t="e">
        <f>INDEX(Tabelle132[Raum],MATCH(Tabelle7[[#This Row],[Gesamtcode]],Tabelle132[Gesamtcode],0))</f>
        <v>#N/A</v>
      </c>
      <c r="E52" t="e">
        <f>INDEX(Tabelle132[Bezeichnung],MATCH(Tabelle7[[#This Row],[Gesamtcode]],Tabelle132[Gesamtcode],0))</f>
        <v>#N/A</v>
      </c>
      <c r="F52" t="e">
        <f>"_"&amp;INDEX(Tabelle132[Geräte/Gewerke],MATCH(Tabelle7[[#This Row],[Gesamtcode]],Tabelle132[Gesamtcode],0))</f>
        <v>#N/A</v>
      </c>
      <c r="G52" t="e">
        <f>INDEX(Tabelle13[Gewerknr.],MATCH(Tabelle7[[#This Row],[Gewerke]],Tabelle13[Hauptgruppe],0))</f>
        <v>#N/A</v>
      </c>
      <c r="H52" t="s">
        <v>275</v>
      </c>
      <c r="I52" t="e">
        <f ca="1">INDEX(Tabelle134[Funktionsbereichsnr.],MATCH(Tabelle7[[#This Row],[Funktionsbereiche]],INDIRECT("Tabelle134["&amp;Tabelle7[[#This Row],[Gewerke]]&amp;"]"),0))</f>
        <v>#N/A</v>
      </c>
      <c r="J52" t="e">
        <f>Tabelle7[[#This Row],[Gesamtcode]]&amp;"_"&amp;Tabelle7[[#This Row],[Zone]]&amp;"_"&amp;Tabelle7[[#This Row],[Raum]]&amp;"_"&amp;Tabelle7[[#This Row],[Bezeichnung]]</f>
        <v>#N/A</v>
      </c>
      <c r="K52">
        <v>18</v>
      </c>
      <c r="L52" t="e">
        <f>Tabelle7[[#This Row],[Hauptgruppe]]&amp;"/-/-"</f>
        <v>#N/A</v>
      </c>
      <c r="M52" t="e">
        <f ca="1">Tabelle7[[#This Row],[Hauptgruppe]]&amp;"/"&amp;Tabelle7[[#This Row],[Mittelgruppe]]&amp;"/-"</f>
        <v>#N/A</v>
      </c>
      <c r="N52" t="e">
        <f ca="1">Tabelle7[[#This Row],[Hauptgruppe]]&amp;"/"&amp;Tabelle7[[#This Row],[Mittelgruppe]]&amp;"/"&amp;Tabelle7[[#This Row],[Untergruppe]]</f>
        <v>#N/A</v>
      </c>
      <c r="O52" t="e">
        <f>INDEX(Tabelle6[Aktor],MATCH(Tabelle7[[#This Row],[Gesamtcode]],Tabelle6[Gesamtcode],0))&amp;" "&amp;INDEX(Tabelle6[Aktorkanal],MATCH(Tabelle7[[#This Row],[Gesamtcode]],Tabelle6[Gesamtcode],0))</f>
        <v>#N/A</v>
      </c>
    </row>
    <row r="53" spans="2:15" x14ac:dyDescent="0.25">
      <c r="B53" t="s">
        <v>266</v>
      </c>
      <c r="C53" t="e">
        <f>INDEX(Tabelle132[Zone],MATCH(Tabelle7[[#This Row],[Gesamtcode]],Tabelle132[Gesamtcode],0))</f>
        <v>#N/A</v>
      </c>
      <c r="D53" t="e">
        <f>INDEX(Tabelle132[Raum],MATCH(Tabelle7[[#This Row],[Gesamtcode]],Tabelle132[Gesamtcode],0))</f>
        <v>#N/A</v>
      </c>
      <c r="E53" t="e">
        <f>INDEX(Tabelle132[Bezeichnung],MATCH(Tabelle7[[#This Row],[Gesamtcode]],Tabelle132[Gesamtcode],0))</f>
        <v>#N/A</v>
      </c>
      <c r="F53" t="e">
        <f>"_"&amp;INDEX(Tabelle132[Geräte/Gewerke],MATCH(Tabelle7[[#This Row],[Gesamtcode]],Tabelle132[Gesamtcode],0))</f>
        <v>#N/A</v>
      </c>
      <c r="G53" t="e">
        <f>INDEX(Tabelle13[Gewerknr.],MATCH(Tabelle7[[#This Row],[Gewerke]],Tabelle13[Hauptgruppe],0))</f>
        <v>#N/A</v>
      </c>
      <c r="H53" t="s">
        <v>275</v>
      </c>
      <c r="I53" t="e">
        <f ca="1">INDEX(Tabelle134[Funktionsbereichsnr.],MATCH(Tabelle7[[#This Row],[Funktionsbereiche]],INDIRECT("Tabelle134["&amp;Tabelle7[[#This Row],[Gewerke]]&amp;"]"),0))</f>
        <v>#N/A</v>
      </c>
      <c r="J53" t="e">
        <f>Tabelle7[[#This Row],[Gesamtcode]]&amp;"_"&amp;Tabelle7[[#This Row],[Zone]]&amp;"_"&amp;Tabelle7[[#This Row],[Raum]]&amp;"_"&amp;Tabelle7[[#This Row],[Bezeichnung]]</f>
        <v>#N/A</v>
      </c>
      <c r="K53">
        <v>2</v>
      </c>
      <c r="L53" t="e">
        <f>Tabelle7[[#This Row],[Hauptgruppe]]&amp;"/-/-"</f>
        <v>#N/A</v>
      </c>
      <c r="M53" t="e">
        <f ca="1">Tabelle7[[#This Row],[Hauptgruppe]]&amp;"/"&amp;Tabelle7[[#This Row],[Mittelgruppe]]&amp;"/-"</f>
        <v>#N/A</v>
      </c>
      <c r="N53" t="e">
        <f ca="1">Tabelle7[[#This Row],[Hauptgruppe]]&amp;"/"&amp;Tabelle7[[#This Row],[Mittelgruppe]]&amp;"/"&amp;Tabelle7[[#This Row],[Untergruppe]]</f>
        <v>#N/A</v>
      </c>
      <c r="O53" t="e">
        <f>INDEX(Tabelle6[Aktor],MATCH(Tabelle7[[#This Row],[Gesamtcode]],Tabelle6[Gesamtcode],0))&amp;" "&amp;INDEX(Tabelle6[Aktorkanal],MATCH(Tabelle7[[#This Row],[Gesamtcode]],Tabelle6[Gesamtcode],0))</f>
        <v>#N/A</v>
      </c>
    </row>
    <row r="54" spans="2:15" x14ac:dyDescent="0.25">
      <c r="B54" t="s">
        <v>267</v>
      </c>
      <c r="C54" t="e">
        <f>INDEX(Tabelle132[Zone],MATCH(Tabelle7[[#This Row],[Gesamtcode]],Tabelle132[Gesamtcode],0))</f>
        <v>#N/A</v>
      </c>
      <c r="D54" t="e">
        <f>INDEX(Tabelle132[Raum],MATCH(Tabelle7[[#This Row],[Gesamtcode]],Tabelle132[Gesamtcode],0))</f>
        <v>#N/A</v>
      </c>
      <c r="E54" t="e">
        <f>INDEX(Tabelle132[Bezeichnung],MATCH(Tabelle7[[#This Row],[Gesamtcode]],Tabelle132[Gesamtcode],0))</f>
        <v>#N/A</v>
      </c>
      <c r="F54" t="e">
        <f>"_"&amp;INDEX(Tabelle132[Geräte/Gewerke],MATCH(Tabelle7[[#This Row],[Gesamtcode]],Tabelle132[Gesamtcode],0))</f>
        <v>#N/A</v>
      </c>
      <c r="G54" t="e">
        <f>INDEX(Tabelle13[Gewerknr.],MATCH(Tabelle7[[#This Row],[Gewerke]],Tabelle13[Hauptgruppe],0))</f>
        <v>#N/A</v>
      </c>
      <c r="H54" t="s">
        <v>275</v>
      </c>
      <c r="I54" t="e">
        <f ca="1">INDEX(Tabelle134[Funktionsbereichsnr.],MATCH(Tabelle7[[#This Row],[Funktionsbereiche]],INDIRECT("Tabelle134["&amp;Tabelle7[[#This Row],[Gewerke]]&amp;"]"),0))</f>
        <v>#N/A</v>
      </c>
      <c r="J54" t="e">
        <f>Tabelle7[[#This Row],[Gesamtcode]]&amp;"_"&amp;Tabelle7[[#This Row],[Zone]]&amp;"_"&amp;Tabelle7[[#This Row],[Raum]]&amp;"_"&amp;Tabelle7[[#This Row],[Bezeichnung]]</f>
        <v>#N/A</v>
      </c>
      <c r="K54">
        <v>3</v>
      </c>
      <c r="L54" t="e">
        <f>Tabelle7[[#This Row],[Hauptgruppe]]&amp;"/-/-"</f>
        <v>#N/A</v>
      </c>
      <c r="M54" t="e">
        <f ca="1">Tabelle7[[#This Row],[Hauptgruppe]]&amp;"/"&amp;Tabelle7[[#This Row],[Mittelgruppe]]&amp;"/-"</f>
        <v>#N/A</v>
      </c>
      <c r="N54" t="e">
        <f ca="1">Tabelle7[[#This Row],[Hauptgruppe]]&amp;"/"&amp;Tabelle7[[#This Row],[Mittelgruppe]]&amp;"/"&amp;Tabelle7[[#This Row],[Untergruppe]]</f>
        <v>#N/A</v>
      </c>
      <c r="O54" t="e">
        <f>INDEX(Tabelle6[Aktor],MATCH(Tabelle7[[#This Row],[Gesamtcode]],Tabelle6[Gesamtcode],0))&amp;" "&amp;INDEX(Tabelle6[Aktorkanal],MATCH(Tabelle7[[#This Row],[Gesamtcode]],Tabelle6[Gesamtcode],0))</f>
        <v>#N/A</v>
      </c>
    </row>
    <row r="55" spans="2:15" x14ac:dyDescent="0.25">
      <c r="B55" t="s">
        <v>268</v>
      </c>
      <c r="C55" t="e">
        <f>INDEX(Tabelle132[Zone],MATCH(Tabelle7[[#This Row],[Gesamtcode]],Tabelle132[Gesamtcode],0))</f>
        <v>#N/A</v>
      </c>
      <c r="D55" t="e">
        <f>INDEX(Tabelle132[Raum],MATCH(Tabelle7[[#This Row],[Gesamtcode]],Tabelle132[Gesamtcode],0))</f>
        <v>#N/A</v>
      </c>
      <c r="E55" t="e">
        <f>INDEX(Tabelle132[Bezeichnung],MATCH(Tabelle7[[#This Row],[Gesamtcode]],Tabelle132[Gesamtcode],0))</f>
        <v>#N/A</v>
      </c>
      <c r="F55" t="e">
        <f>"_"&amp;INDEX(Tabelle132[Geräte/Gewerke],MATCH(Tabelle7[[#This Row],[Gesamtcode]],Tabelle132[Gesamtcode],0))</f>
        <v>#N/A</v>
      </c>
      <c r="G55" t="e">
        <f>INDEX(Tabelle13[Gewerknr.],MATCH(Tabelle7[[#This Row],[Gewerke]],Tabelle13[Hauptgruppe],0))</f>
        <v>#N/A</v>
      </c>
      <c r="H55" t="s">
        <v>275</v>
      </c>
      <c r="I55" t="e">
        <f ca="1">INDEX(Tabelle134[Funktionsbereichsnr.],MATCH(Tabelle7[[#This Row],[Funktionsbereiche]],INDIRECT("Tabelle134["&amp;Tabelle7[[#This Row],[Gewerke]]&amp;"]"),0))</f>
        <v>#N/A</v>
      </c>
      <c r="J55" t="e">
        <f>Tabelle7[[#This Row],[Gesamtcode]]&amp;"_"&amp;Tabelle7[[#This Row],[Zone]]&amp;"_"&amp;Tabelle7[[#This Row],[Raum]]&amp;"_"&amp;Tabelle7[[#This Row],[Bezeichnung]]</f>
        <v>#N/A</v>
      </c>
      <c r="K55">
        <v>4</v>
      </c>
      <c r="L55" t="e">
        <f>Tabelle7[[#This Row],[Hauptgruppe]]&amp;"/-/-"</f>
        <v>#N/A</v>
      </c>
      <c r="M55" t="e">
        <f ca="1">Tabelle7[[#This Row],[Hauptgruppe]]&amp;"/"&amp;Tabelle7[[#This Row],[Mittelgruppe]]&amp;"/-"</f>
        <v>#N/A</v>
      </c>
      <c r="N55" t="e">
        <f ca="1">Tabelle7[[#This Row],[Hauptgruppe]]&amp;"/"&amp;Tabelle7[[#This Row],[Mittelgruppe]]&amp;"/"&amp;Tabelle7[[#This Row],[Untergruppe]]</f>
        <v>#N/A</v>
      </c>
      <c r="O55" t="e">
        <f>INDEX(Tabelle6[Aktor],MATCH(Tabelle7[[#This Row],[Gesamtcode]],Tabelle6[Gesamtcode],0))&amp;" "&amp;INDEX(Tabelle6[Aktorkanal],MATCH(Tabelle7[[#This Row],[Gesamtcode]],Tabelle6[Gesamtcode],0))</f>
        <v>#N/A</v>
      </c>
    </row>
    <row r="56" spans="2:15" x14ac:dyDescent="0.25">
      <c r="B56" t="s">
        <v>269</v>
      </c>
      <c r="C56" t="e">
        <f>INDEX(Tabelle132[Zone],MATCH(Tabelle7[[#This Row],[Gesamtcode]],Tabelle132[Gesamtcode],0))</f>
        <v>#N/A</v>
      </c>
      <c r="D56" t="e">
        <f>INDEX(Tabelle132[Raum],MATCH(Tabelle7[[#This Row],[Gesamtcode]],Tabelle132[Gesamtcode],0))</f>
        <v>#N/A</v>
      </c>
      <c r="E56" t="e">
        <f>INDEX(Tabelle132[Bezeichnung],MATCH(Tabelle7[[#This Row],[Gesamtcode]],Tabelle132[Gesamtcode],0))</f>
        <v>#N/A</v>
      </c>
      <c r="F56" t="e">
        <f>"_"&amp;INDEX(Tabelle132[Geräte/Gewerke],MATCH(Tabelle7[[#This Row],[Gesamtcode]],Tabelle132[Gesamtcode],0))</f>
        <v>#N/A</v>
      </c>
      <c r="G56" t="e">
        <f>INDEX(Tabelle13[Gewerknr.],MATCH(Tabelle7[[#This Row],[Gewerke]],Tabelle13[Hauptgruppe],0))</f>
        <v>#N/A</v>
      </c>
      <c r="H56" t="s">
        <v>275</v>
      </c>
      <c r="I56" t="e">
        <f ca="1">INDEX(Tabelle134[Funktionsbereichsnr.],MATCH(Tabelle7[[#This Row],[Funktionsbereiche]],INDIRECT("Tabelle134["&amp;Tabelle7[[#This Row],[Gewerke]]&amp;"]"),0))</f>
        <v>#N/A</v>
      </c>
      <c r="J56" t="e">
        <f>Tabelle7[[#This Row],[Gesamtcode]]&amp;"_"&amp;Tabelle7[[#This Row],[Zone]]&amp;"_"&amp;Tabelle7[[#This Row],[Raum]]&amp;"_"&amp;Tabelle7[[#This Row],[Bezeichnung]]</f>
        <v>#N/A</v>
      </c>
      <c r="K56">
        <v>5</v>
      </c>
      <c r="L56" t="e">
        <f>Tabelle7[[#This Row],[Hauptgruppe]]&amp;"/-/-"</f>
        <v>#N/A</v>
      </c>
      <c r="M56" t="e">
        <f ca="1">Tabelle7[[#This Row],[Hauptgruppe]]&amp;"/"&amp;Tabelle7[[#This Row],[Mittelgruppe]]&amp;"/-"</f>
        <v>#N/A</v>
      </c>
      <c r="N56" t="e">
        <f ca="1">Tabelle7[[#This Row],[Hauptgruppe]]&amp;"/"&amp;Tabelle7[[#This Row],[Mittelgruppe]]&amp;"/"&amp;Tabelle7[[#This Row],[Untergruppe]]</f>
        <v>#N/A</v>
      </c>
      <c r="O56" t="e">
        <f>INDEX(Tabelle6[Aktor],MATCH(Tabelle7[[#This Row],[Gesamtcode]],Tabelle6[Gesamtcode],0))&amp;" "&amp;INDEX(Tabelle6[Aktorkanal],MATCH(Tabelle7[[#This Row],[Gesamtcode]],Tabelle6[Gesamtcode],0))</f>
        <v>#N/A</v>
      </c>
    </row>
    <row r="57" spans="2:15" x14ac:dyDescent="0.25">
      <c r="B57" t="s">
        <v>270</v>
      </c>
      <c r="C57" t="e">
        <f>INDEX(Tabelle132[Zone],MATCH(Tabelle7[[#This Row],[Gesamtcode]],Tabelle132[Gesamtcode],0))</f>
        <v>#N/A</v>
      </c>
      <c r="D57" t="e">
        <f>INDEX(Tabelle132[Raum],MATCH(Tabelle7[[#This Row],[Gesamtcode]],Tabelle132[Gesamtcode],0))</f>
        <v>#N/A</v>
      </c>
      <c r="E57" t="e">
        <f>INDEX(Tabelle132[Bezeichnung],MATCH(Tabelle7[[#This Row],[Gesamtcode]],Tabelle132[Gesamtcode],0))</f>
        <v>#N/A</v>
      </c>
      <c r="F57" t="e">
        <f>"_"&amp;INDEX(Tabelle132[Geräte/Gewerke],MATCH(Tabelle7[[#This Row],[Gesamtcode]],Tabelle132[Gesamtcode],0))</f>
        <v>#N/A</v>
      </c>
      <c r="G57" t="e">
        <f>INDEX(Tabelle13[Gewerknr.],MATCH(Tabelle7[[#This Row],[Gewerke]],Tabelle13[Hauptgruppe],0))</f>
        <v>#N/A</v>
      </c>
      <c r="H57" t="s">
        <v>275</v>
      </c>
      <c r="I57" t="e">
        <f ca="1">INDEX(Tabelle134[Funktionsbereichsnr.],MATCH(Tabelle7[[#This Row],[Funktionsbereiche]],INDIRECT("Tabelle134["&amp;Tabelle7[[#This Row],[Gewerke]]&amp;"]"),0))</f>
        <v>#N/A</v>
      </c>
      <c r="J57" t="e">
        <f>Tabelle7[[#This Row],[Gesamtcode]]&amp;"_"&amp;Tabelle7[[#This Row],[Zone]]&amp;"_"&amp;Tabelle7[[#This Row],[Raum]]&amp;"_"&amp;Tabelle7[[#This Row],[Bezeichnung]]</f>
        <v>#N/A</v>
      </c>
      <c r="K57">
        <v>6</v>
      </c>
      <c r="L57" t="e">
        <f>Tabelle7[[#This Row],[Hauptgruppe]]&amp;"/-/-"</f>
        <v>#N/A</v>
      </c>
      <c r="M57" t="e">
        <f ca="1">Tabelle7[[#This Row],[Hauptgruppe]]&amp;"/"&amp;Tabelle7[[#This Row],[Mittelgruppe]]&amp;"/-"</f>
        <v>#N/A</v>
      </c>
      <c r="N57" t="e">
        <f ca="1">Tabelle7[[#This Row],[Hauptgruppe]]&amp;"/"&amp;Tabelle7[[#This Row],[Mittelgruppe]]&amp;"/"&amp;Tabelle7[[#This Row],[Untergruppe]]</f>
        <v>#N/A</v>
      </c>
      <c r="O57" t="e">
        <f>INDEX(Tabelle6[Aktor],MATCH(Tabelle7[[#This Row],[Gesamtcode]],Tabelle6[Gesamtcode],0))&amp;" "&amp;INDEX(Tabelle6[Aktorkanal],MATCH(Tabelle7[[#This Row],[Gesamtcode]],Tabelle6[Gesamtcode],0))</f>
        <v>#N/A</v>
      </c>
    </row>
    <row r="58" spans="2:15" x14ac:dyDescent="0.25">
      <c r="B58" t="s">
        <v>271</v>
      </c>
      <c r="C58" t="e">
        <f>INDEX(Tabelle132[Zone],MATCH(Tabelle7[[#This Row],[Gesamtcode]],Tabelle132[Gesamtcode],0))</f>
        <v>#N/A</v>
      </c>
      <c r="D58" t="e">
        <f>INDEX(Tabelle132[Raum],MATCH(Tabelle7[[#This Row],[Gesamtcode]],Tabelle132[Gesamtcode],0))</f>
        <v>#N/A</v>
      </c>
      <c r="E58" t="e">
        <f>INDEX(Tabelle132[Bezeichnung],MATCH(Tabelle7[[#This Row],[Gesamtcode]],Tabelle132[Gesamtcode],0))</f>
        <v>#N/A</v>
      </c>
      <c r="F58" t="e">
        <f>"_"&amp;INDEX(Tabelle132[Geräte/Gewerke],MATCH(Tabelle7[[#This Row],[Gesamtcode]],Tabelle132[Gesamtcode],0))</f>
        <v>#N/A</v>
      </c>
      <c r="G58" t="e">
        <f>INDEX(Tabelle13[Gewerknr.],MATCH(Tabelle7[[#This Row],[Gewerke]],Tabelle13[Hauptgruppe],0))</f>
        <v>#N/A</v>
      </c>
      <c r="H58" t="s">
        <v>275</v>
      </c>
      <c r="I58" t="e">
        <f ca="1">INDEX(Tabelle134[Funktionsbereichsnr.],MATCH(Tabelle7[[#This Row],[Funktionsbereiche]],INDIRECT("Tabelle134["&amp;Tabelle7[[#This Row],[Gewerke]]&amp;"]"),0))</f>
        <v>#N/A</v>
      </c>
      <c r="J58" t="e">
        <f>Tabelle7[[#This Row],[Gesamtcode]]&amp;"_"&amp;Tabelle7[[#This Row],[Zone]]&amp;"_"&amp;Tabelle7[[#This Row],[Raum]]&amp;"_"&amp;Tabelle7[[#This Row],[Bezeichnung]]</f>
        <v>#N/A</v>
      </c>
      <c r="K58">
        <v>7</v>
      </c>
      <c r="L58" t="e">
        <f>Tabelle7[[#This Row],[Hauptgruppe]]&amp;"/-/-"</f>
        <v>#N/A</v>
      </c>
      <c r="M58" t="e">
        <f ca="1">Tabelle7[[#This Row],[Hauptgruppe]]&amp;"/"&amp;Tabelle7[[#This Row],[Mittelgruppe]]&amp;"/-"</f>
        <v>#N/A</v>
      </c>
      <c r="N58" t="e">
        <f ca="1">Tabelle7[[#This Row],[Hauptgruppe]]&amp;"/"&amp;Tabelle7[[#This Row],[Mittelgruppe]]&amp;"/"&amp;Tabelle7[[#This Row],[Untergruppe]]</f>
        <v>#N/A</v>
      </c>
      <c r="O58" t="e">
        <f>INDEX(Tabelle6[Aktor],MATCH(Tabelle7[[#This Row],[Gesamtcode]],Tabelle6[Gesamtcode],0))&amp;" "&amp;INDEX(Tabelle6[Aktorkanal],MATCH(Tabelle7[[#This Row],[Gesamtcode]],Tabelle6[Gesamtcode],0))</f>
        <v>#N/A</v>
      </c>
    </row>
    <row r="59" spans="2:15" x14ac:dyDescent="0.25">
      <c r="B59" t="s">
        <v>272</v>
      </c>
      <c r="C59" t="e">
        <f>INDEX(Tabelle132[Zone],MATCH(Tabelle7[[#This Row],[Gesamtcode]],Tabelle132[Gesamtcode],0))</f>
        <v>#N/A</v>
      </c>
      <c r="D59" t="e">
        <f>INDEX(Tabelle132[Raum],MATCH(Tabelle7[[#This Row],[Gesamtcode]],Tabelle132[Gesamtcode],0))</f>
        <v>#N/A</v>
      </c>
      <c r="E59" t="e">
        <f>INDEX(Tabelle132[Bezeichnung],MATCH(Tabelle7[[#This Row],[Gesamtcode]],Tabelle132[Gesamtcode],0))</f>
        <v>#N/A</v>
      </c>
      <c r="F59" t="e">
        <f>"_"&amp;INDEX(Tabelle132[Geräte/Gewerke],MATCH(Tabelle7[[#This Row],[Gesamtcode]],Tabelle132[Gesamtcode],0))</f>
        <v>#N/A</v>
      </c>
      <c r="G59" t="e">
        <f>INDEX(Tabelle13[Gewerknr.],MATCH(Tabelle7[[#This Row],[Gewerke]],Tabelle13[Hauptgruppe],0))</f>
        <v>#N/A</v>
      </c>
      <c r="H59" t="s">
        <v>275</v>
      </c>
      <c r="I59" t="e">
        <f ca="1">INDEX(Tabelle134[Funktionsbereichsnr.],MATCH(Tabelle7[[#This Row],[Funktionsbereiche]],INDIRECT("Tabelle134["&amp;Tabelle7[[#This Row],[Gewerke]]&amp;"]"),0))</f>
        <v>#N/A</v>
      </c>
      <c r="J59" t="e">
        <f>Tabelle7[[#This Row],[Gesamtcode]]&amp;"_"&amp;Tabelle7[[#This Row],[Zone]]&amp;"_"&amp;Tabelle7[[#This Row],[Raum]]&amp;"_"&amp;Tabelle7[[#This Row],[Bezeichnung]]</f>
        <v>#N/A</v>
      </c>
      <c r="K59">
        <v>8</v>
      </c>
      <c r="L59" t="e">
        <f>Tabelle7[[#This Row],[Hauptgruppe]]&amp;"/-/-"</f>
        <v>#N/A</v>
      </c>
      <c r="M59" t="e">
        <f ca="1">Tabelle7[[#This Row],[Hauptgruppe]]&amp;"/"&amp;Tabelle7[[#This Row],[Mittelgruppe]]&amp;"/-"</f>
        <v>#N/A</v>
      </c>
      <c r="N59" t="e">
        <f ca="1">Tabelle7[[#This Row],[Hauptgruppe]]&amp;"/"&amp;Tabelle7[[#This Row],[Mittelgruppe]]&amp;"/"&amp;Tabelle7[[#This Row],[Untergruppe]]</f>
        <v>#N/A</v>
      </c>
      <c r="O59" t="e">
        <f>INDEX(Tabelle6[Aktor],MATCH(Tabelle7[[#This Row],[Gesamtcode]],Tabelle6[Gesamtcode],0))&amp;" "&amp;INDEX(Tabelle6[Aktorkanal],MATCH(Tabelle7[[#This Row],[Gesamtcode]],Tabelle6[Gesamtcode],0))</f>
        <v>#N/A</v>
      </c>
    </row>
    <row r="60" spans="2:15" x14ac:dyDescent="0.25">
      <c r="B60" t="s">
        <v>273</v>
      </c>
      <c r="C60" t="e">
        <f>INDEX(Tabelle132[Zone],MATCH(Tabelle7[[#This Row],[Gesamtcode]],Tabelle132[Gesamtcode],0))</f>
        <v>#N/A</v>
      </c>
      <c r="D60" t="e">
        <f>INDEX(Tabelle132[Raum],MATCH(Tabelle7[[#This Row],[Gesamtcode]],Tabelle132[Gesamtcode],0))</f>
        <v>#N/A</v>
      </c>
      <c r="E60" t="e">
        <f>INDEX(Tabelle132[Bezeichnung],MATCH(Tabelle7[[#This Row],[Gesamtcode]],Tabelle132[Gesamtcode],0))</f>
        <v>#N/A</v>
      </c>
      <c r="F60" t="e">
        <f>"_"&amp;INDEX(Tabelle132[Geräte/Gewerke],MATCH(Tabelle7[[#This Row],[Gesamtcode]],Tabelle132[Gesamtcode],0))</f>
        <v>#N/A</v>
      </c>
      <c r="G60" t="e">
        <f>INDEX(Tabelle13[Gewerknr.],MATCH(Tabelle7[[#This Row],[Gewerke]],Tabelle13[Hauptgruppe],0))</f>
        <v>#N/A</v>
      </c>
      <c r="H60" t="s">
        <v>275</v>
      </c>
      <c r="I60" t="e">
        <f ca="1">INDEX(Tabelle134[Funktionsbereichsnr.],MATCH(Tabelle7[[#This Row],[Funktionsbereiche]],INDIRECT("Tabelle134["&amp;Tabelle7[[#This Row],[Gewerke]]&amp;"]"),0))</f>
        <v>#N/A</v>
      </c>
      <c r="J60" t="e">
        <f>Tabelle7[[#This Row],[Gesamtcode]]&amp;"_"&amp;Tabelle7[[#This Row],[Zone]]&amp;"_"&amp;Tabelle7[[#This Row],[Raum]]&amp;"_"&amp;Tabelle7[[#This Row],[Bezeichnung]]</f>
        <v>#N/A</v>
      </c>
      <c r="K60">
        <v>9</v>
      </c>
      <c r="L60" t="e">
        <f>Tabelle7[[#This Row],[Hauptgruppe]]&amp;"/-/-"</f>
        <v>#N/A</v>
      </c>
      <c r="M60" t="e">
        <f ca="1">Tabelle7[[#This Row],[Hauptgruppe]]&amp;"/"&amp;Tabelle7[[#This Row],[Mittelgruppe]]&amp;"/-"</f>
        <v>#N/A</v>
      </c>
      <c r="N60" t="e">
        <f ca="1">Tabelle7[[#This Row],[Hauptgruppe]]&amp;"/"&amp;Tabelle7[[#This Row],[Mittelgruppe]]&amp;"/"&amp;Tabelle7[[#This Row],[Untergruppe]]</f>
        <v>#N/A</v>
      </c>
      <c r="O60" t="e">
        <f>INDEX(Tabelle6[Aktor],MATCH(Tabelle7[[#This Row],[Gesamtcode]],Tabelle6[Gesamtcode],0))&amp;" "&amp;INDEX(Tabelle6[Aktorkanal],MATCH(Tabelle7[[#This Row],[Gesamtcode]],Tabelle6[Gesamtcode],0))</f>
        <v>#N/A</v>
      </c>
    </row>
    <row r="61" spans="2:15" x14ac:dyDescent="0.25">
      <c r="B61" t="s">
        <v>254</v>
      </c>
      <c r="C61" t="e">
        <f>INDEX(Tabelle132[Zone],MATCH(Tabelle7[[#This Row],[Gesamtcode]],Tabelle132[Gesamtcode],0))</f>
        <v>#N/A</v>
      </c>
      <c r="D61" t="e">
        <f>INDEX(Tabelle132[Raum],MATCH(Tabelle7[[#This Row],[Gesamtcode]],Tabelle132[Gesamtcode],0))</f>
        <v>#N/A</v>
      </c>
      <c r="E61" t="e">
        <f>INDEX(Tabelle132[Bezeichnung],MATCH(Tabelle7[[#This Row],[Gesamtcode]],Tabelle132[Gesamtcode],0))</f>
        <v>#N/A</v>
      </c>
      <c r="F61" t="e">
        <f>"_"&amp;INDEX(Tabelle132[Geräte/Gewerke],MATCH(Tabelle7[[#This Row],[Gesamtcode]],Tabelle132[Gesamtcode],0))</f>
        <v>#N/A</v>
      </c>
      <c r="G61" t="e">
        <f>INDEX(Tabelle13[Gewerknr.],MATCH(Tabelle7[[#This Row],[Gewerke]],Tabelle13[Hauptgruppe],0))</f>
        <v>#N/A</v>
      </c>
      <c r="H61" t="s">
        <v>276</v>
      </c>
      <c r="I61" t="e">
        <f ca="1">INDEX(Tabelle134[Funktionsbereichsnr.],MATCH(Tabelle7[[#This Row],[Funktionsbereiche]],INDIRECT("Tabelle134["&amp;Tabelle7[[#This Row],[Gewerke]]&amp;"]"),0))</f>
        <v>#N/A</v>
      </c>
      <c r="J61" t="e">
        <f>Tabelle7[[#This Row],[Gesamtcode]]&amp;"_"&amp;Tabelle7[[#This Row],[Zone]]&amp;"_"&amp;Tabelle7[[#This Row],[Raum]]&amp;"_"&amp;Tabelle7[[#This Row],[Bezeichnung]]</f>
        <v>#N/A</v>
      </c>
      <c r="K61">
        <v>0</v>
      </c>
      <c r="L61" t="e">
        <f>Tabelle7[[#This Row],[Hauptgruppe]]&amp;"/-/-"</f>
        <v>#N/A</v>
      </c>
      <c r="M61" t="e">
        <f ca="1">Tabelle7[[#This Row],[Hauptgruppe]]&amp;"/"&amp;Tabelle7[[#This Row],[Mittelgruppe]]&amp;"/-"</f>
        <v>#N/A</v>
      </c>
      <c r="N61" t="e">
        <f ca="1">Tabelle7[[#This Row],[Hauptgruppe]]&amp;"/"&amp;Tabelle7[[#This Row],[Mittelgruppe]]&amp;"/"&amp;Tabelle7[[#This Row],[Untergruppe]]</f>
        <v>#N/A</v>
      </c>
      <c r="O61" t="e">
        <f>INDEX(Tabelle6[Aktor],MATCH(Tabelle7[[#This Row],[Gesamtcode]],Tabelle6[Gesamtcode],0))&amp;" "&amp;INDEX(Tabelle6[Aktorkanal],MATCH(Tabelle7[[#This Row],[Gesamtcode]],Tabelle6[Gesamtcode],0))</f>
        <v>#N/A</v>
      </c>
    </row>
    <row r="62" spans="2:15" x14ac:dyDescent="0.25">
      <c r="B62" t="s">
        <v>256</v>
      </c>
      <c r="C62" t="e">
        <f>INDEX(Tabelle132[Zone],MATCH(Tabelle7[[#This Row],[Gesamtcode]],Tabelle132[Gesamtcode],0))</f>
        <v>#N/A</v>
      </c>
      <c r="D62" t="e">
        <f>INDEX(Tabelle132[Raum],MATCH(Tabelle7[[#This Row],[Gesamtcode]],Tabelle132[Gesamtcode],0))</f>
        <v>#N/A</v>
      </c>
      <c r="E62" t="e">
        <f>INDEX(Tabelle132[Bezeichnung],MATCH(Tabelle7[[#This Row],[Gesamtcode]],Tabelle132[Gesamtcode],0))</f>
        <v>#N/A</v>
      </c>
      <c r="F62" t="e">
        <f>"_"&amp;INDEX(Tabelle132[Geräte/Gewerke],MATCH(Tabelle7[[#This Row],[Gesamtcode]],Tabelle132[Gesamtcode],0))</f>
        <v>#N/A</v>
      </c>
      <c r="G62" t="e">
        <f>INDEX(Tabelle13[Gewerknr.],MATCH(Tabelle7[[#This Row],[Gewerke]],Tabelle13[Hauptgruppe],0))</f>
        <v>#N/A</v>
      </c>
      <c r="H62" t="s">
        <v>276</v>
      </c>
      <c r="I62" t="e">
        <f ca="1">INDEX(Tabelle134[Funktionsbereichsnr.],MATCH(Tabelle7[[#This Row],[Funktionsbereiche]],INDIRECT("Tabelle134["&amp;Tabelle7[[#This Row],[Gewerke]]&amp;"]"),0))</f>
        <v>#N/A</v>
      </c>
      <c r="J62" t="e">
        <f>Tabelle7[[#This Row],[Gesamtcode]]&amp;"_"&amp;Tabelle7[[#This Row],[Zone]]&amp;"_"&amp;Tabelle7[[#This Row],[Raum]]&amp;"_"&amp;Tabelle7[[#This Row],[Bezeichnung]]</f>
        <v>#N/A</v>
      </c>
      <c r="K62">
        <v>1</v>
      </c>
      <c r="L62" t="e">
        <f>Tabelle7[[#This Row],[Hauptgruppe]]&amp;"/-/-"</f>
        <v>#N/A</v>
      </c>
      <c r="M62" t="e">
        <f ca="1">Tabelle7[[#This Row],[Hauptgruppe]]&amp;"/"&amp;Tabelle7[[#This Row],[Mittelgruppe]]&amp;"/-"</f>
        <v>#N/A</v>
      </c>
      <c r="N62" t="e">
        <f ca="1">Tabelle7[[#This Row],[Hauptgruppe]]&amp;"/"&amp;Tabelle7[[#This Row],[Mittelgruppe]]&amp;"/"&amp;Tabelle7[[#This Row],[Untergruppe]]</f>
        <v>#N/A</v>
      </c>
      <c r="O62" t="e">
        <f>INDEX(Tabelle6[Aktor],MATCH(Tabelle7[[#This Row],[Gesamtcode]],Tabelle6[Gesamtcode],0))&amp;" "&amp;INDEX(Tabelle6[Aktorkanal],MATCH(Tabelle7[[#This Row],[Gesamtcode]],Tabelle6[Gesamtcode],0))</f>
        <v>#N/A</v>
      </c>
    </row>
    <row r="63" spans="2:15" x14ac:dyDescent="0.25">
      <c r="B63" t="s">
        <v>257</v>
      </c>
      <c r="C63" t="e">
        <f>INDEX(Tabelle132[Zone],MATCH(Tabelle7[[#This Row],[Gesamtcode]],Tabelle132[Gesamtcode],0))</f>
        <v>#N/A</v>
      </c>
      <c r="D63" t="e">
        <f>INDEX(Tabelle132[Raum],MATCH(Tabelle7[[#This Row],[Gesamtcode]],Tabelle132[Gesamtcode],0))</f>
        <v>#N/A</v>
      </c>
      <c r="E63" t="e">
        <f>INDEX(Tabelle132[Bezeichnung],MATCH(Tabelle7[[#This Row],[Gesamtcode]],Tabelle132[Gesamtcode],0))</f>
        <v>#N/A</v>
      </c>
      <c r="F63" t="e">
        <f>"_"&amp;INDEX(Tabelle132[Geräte/Gewerke],MATCH(Tabelle7[[#This Row],[Gesamtcode]],Tabelle132[Gesamtcode],0))</f>
        <v>#N/A</v>
      </c>
      <c r="G63" t="e">
        <f>INDEX(Tabelle13[Gewerknr.],MATCH(Tabelle7[[#This Row],[Gewerke]],Tabelle13[Hauptgruppe],0))</f>
        <v>#N/A</v>
      </c>
      <c r="H63" t="s">
        <v>276</v>
      </c>
      <c r="I63" t="e">
        <f ca="1">INDEX(Tabelle134[Funktionsbereichsnr.],MATCH(Tabelle7[[#This Row],[Funktionsbereiche]],INDIRECT("Tabelle134["&amp;Tabelle7[[#This Row],[Gewerke]]&amp;"]"),0))</f>
        <v>#N/A</v>
      </c>
      <c r="J63" t="e">
        <f>Tabelle7[[#This Row],[Gesamtcode]]&amp;"_"&amp;Tabelle7[[#This Row],[Zone]]&amp;"_"&amp;Tabelle7[[#This Row],[Raum]]&amp;"_"&amp;Tabelle7[[#This Row],[Bezeichnung]]</f>
        <v>#N/A</v>
      </c>
      <c r="K63">
        <v>10</v>
      </c>
      <c r="L63" t="e">
        <f>Tabelle7[[#This Row],[Hauptgruppe]]&amp;"/-/-"</f>
        <v>#N/A</v>
      </c>
      <c r="M63" t="e">
        <f ca="1">Tabelle7[[#This Row],[Hauptgruppe]]&amp;"/"&amp;Tabelle7[[#This Row],[Mittelgruppe]]&amp;"/-"</f>
        <v>#N/A</v>
      </c>
      <c r="N63" t="e">
        <f ca="1">Tabelle7[[#This Row],[Hauptgruppe]]&amp;"/"&amp;Tabelle7[[#This Row],[Mittelgruppe]]&amp;"/"&amp;Tabelle7[[#This Row],[Untergruppe]]</f>
        <v>#N/A</v>
      </c>
      <c r="O63" t="e">
        <f>INDEX(Tabelle6[Aktor],MATCH(Tabelle7[[#This Row],[Gesamtcode]],Tabelle6[Gesamtcode],0))&amp;" "&amp;INDEX(Tabelle6[Aktorkanal],MATCH(Tabelle7[[#This Row],[Gesamtcode]],Tabelle6[Gesamtcode],0))</f>
        <v>#N/A</v>
      </c>
    </row>
    <row r="64" spans="2:15" x14ac:dyDescent="0.25">
      <c r="B64" t="s">
        <v>258</v>
      </c>
      <c r="C64" t="e">
        <f>INDEX(Tabelle132[Zone],MATCH(Tabelle7[[#This Row],[Gesamtcode]],Tabelle132[Gesamtcode],0))</f>
        <v>#N/A</v>
      </c>
      <c r="D64" t="e">
        <f>INDEX(Tabelle132[Raum],MATCH(Tabelle7[[#This Row],[Gesamtcode]],Tabelle132[Gesamtcode],0))</f>
        <v>#N/A</v>
      </c>
      <c r="E64" t="e">
        <f>INDEX(Tabelle132[Bezeichnung],MATCH(Tabelle7[[#This Row],[Gesamtcode]],Tabelle132[Gesamtcode],0))</f>
        <v>#N/A</v>
      </c>
      <c r="F64" t="e">
        <f>"_"&amp;INDEX(Tabelle132[Geräte/Gewerke],MATCH(Tabelle7[[#This Row],[Gesamtcode]],Tabelle132[Gesamtcode],0))</f>
        <v>#N/A</v>
      </c>
      <c r="G64" t="e">
        <f>INDEX(Tabelle13[Gewerknr.],MATCH(Tabelle7[[#This Row],[Gewerke]],Tabelle13[Hauptgruppe],0))</f>
        <v>#N/A</v>
      </c>
      <c r="H64" t="s">
        <v>276</v>
      </c>
      <c r="I64" t="e">
        <f ca="1">INDEX(Tabelle134[Funktionsbereichsnr.],MATCH(Tabelle7[[#This Row],[Funktionsbereiche]],INDIRECT("Tabelle134["&amp;Tabelle7[[#This Row],[Gewerke]]&amp;"]"),0))</f>
        <v>#N/A</v>
      </c>
      <c r="J64" t="e">
        <f>Tabelle7[[#This Row],[Gesamtcode]]&amp;"_"&amp;Tabelle7[[#This Row],[Zone]]&amp;"_"&amp;Tabelle7[[#This Row],[Raum]]&amp;"_"&amp;Tabelle7[[#This Row],[Bezeichnung]]</f>
        <v>#N/A</v>
      </c>
      <c r="K64">
        <v>11</v>
      </c>
      <c r="L64" t="e">
        <f>Tabelle7[[#This Row],[Hauptgruppe]]&amp;"/-/-"</f>
        <v>#N/A</v>
      </c>
      <c r="M64" t="e">
        <f ca="1">Tabelle7[[#This Row],[Hauptgruppe]]&amp;"/"&amp;Tabelle7[[#This Row],[Mittelgruppe]]&amp;"/-"</f>
        <v>#N/A</v>
      </c>
      <c r="N64" t="e">
        <f ca="1">Tabelle7[[#This Row],[Hauptgruppe]]&amp;"/"&amp;Tabelle7[[#This Row],[Mittelgruppe]]&amp;"/"&amp;Tabelle7[[#This Row],[Untergruppe]]</f>
        <v>#N/A</v>
      </c>
      <c r="O64" t="e">
        <f>INDEX(Tabelle6[Aktor],MATCH(Tabelle7[[#This Row],[Gesamtcode]],Tabelle6[Gesamtcode],0))&amp;" "&amp;INDEX(Tabelle6[Aktorkanal],MATCH(Tabelle7[[#This Row],[Gesamtcode]],Tabelle6[Gesamtcode],0))</f>
        <v>#N/A</v>
      </c>
    </row>
    <row r="65" spans="2:15" x14ac:dyDescent="0.25">
      <c r="B65" t="s">
        <v>259</v>
      </c>
      <c r="C65" t="e">
        <f>INDEX(Tabelle132[Zone],MATCH(Tabelle7[[#This Row],[Gesamtcode]],Tabelle132[Gesamtcode],0))</f>
        <v>#N/A</v>
      </c>
      <c r="D65" t="e">
        <f>INDEX(Tabelle132[Raum],MATCH(Tabelle7[[#This Row],[Gesamtcode]],Tabelle132[Gesamtcode],0))</f>
        <v>#N/A</v>
      </c>
      <c r="E65" t="e">
        <f>INDEX(Tabelle132[Bezeichnung],MATCH(Tabelle7[[#This Row],[Gesamtcode]],Tabelle132[Gesamtcode],0))</f>
        <v>#N/A</v>
      </c>
      <c r="F65" t="e">
        <f>"_"&amp;INDEX(Tabelle132[Geräte/Gewerke],MATCH(Tabelle7[[#This Row],[Gesamtcode]],Tabelle132[Gesamtcode],0))</f>
        <v>#N/A</v>
      </c>
      <c r="G65" t="e">
        <f>INDEX(Tabelle13[Gewerknr.],MATCH(Tabelle7[[#This Row],[Gewerke]],Tabelle13[Hauptgruppe],0))</f>
        <v>#N/A</v>
      </c>
      <c r="H65" t="s">
        <v>276</v>
      </c>
      <c r="I65" t="e">
        <f ca="1">INDEX(Tabelle134[Funktionsbereichsnr.],MATCH(Tabelle7[[#This Row],[Funktionsbereiche]],INDIRECT("Tabelle134["&amp;Tabelle7[[#This Row],[Gewerke]]&amp;"]"),0))</f>
        <v>#N/A</v>
      </c>
      <c r="J65" t="e">
        <f>Tabelle7[[#This Row],[Gesamtcode]]&amp;"_"&amp;Tabelle7[[#This Row],[Zone]]&amp;"_"&amp;Tabelle7[[#This Row],[Raum]]&amp;"_"&amp;Tabelle7[[#This Row],[Bezeichnung]]</f>
        <v>#N/A</v>
      </c>
      <c r="K65">
        <v>12</v>
      </c>
      <c r="L65" t="e">
        <f>Tabelle7[[#This Row],[Hauptgruppe]]&amp;"/-/-"</f>
        <v>#N/A</v>
      </c>
      <c r="M65" t="e">
        <f ca="1">Tabelle7[[#This Row],[Hauptgruppe]]&amp;"/"&amp;Tabelle7[[#This Row],[Mittelgruppe]]&amp;"/-"</f>
        <v>#N/A</v>
      </c>
      <c r="N65" t="e">
        <f ca="1">Tabelle7[[#This Row],[Hauptgruppe]]&amp;"/"&amp;Tabelle7[[#This Row],[Mittelgruppe]]&amp;"/"&amp;Tabelle7[[#This Row],[Untergruppe]]</f>
        <v>#N/A</v>
      </c>
      <c r="O65" t="e">
        <f>INDEX(Tabelle6[Aktor],MATCH(Tabelle7[[#This Row],[Gesamtcode]],Tabelle6[Gesamtcode],0))&amp;" "&amp;INDEX(Tabelle6[Aktorkanal],MATCH(Tabelle7[[#This Row],[Gesamtcode]],Tabelle6[Gesamtcode],0))</f>
        <v>#N/A</v>
      </c>
    </row>
    <row r="66" spans="2:15" x14ac:dyDescent="0.25">
      <c r="B66" t="s">
        <v>260</v>
      </c>
      <c r="C66" t="e">
        <f>INDEX(Tabelle132[Zone],MATCH(Tabelle7[[#This Row],[Gesamtcode]],Tabelle132[Gesamtcode],0))</f>
        <v>#N/A</v>
      </c>
      <c r="D66" t="e">
        <f>INDEX(Tabelle132[Raum],MATCH(Tabelle7[[#This Row],[Gesamtcode]],Tabelle132[Gesamtcode],0))</f>
        <v>#N/A</v>
      </c>
      <c r="E66" t="e">
        <f>INDEX(Tabelle132[Bezeichnung],MATCH(Tabelle7[[#This Row],[Gesamtcode]],Tabelle132[Gesamtcode],0))</f>
        <v>#N/A</v>
      </c>
      <c r="F66" t="e">
        <f>"_"&amp;INDEX(Tabelle132[Geräte/Gewerke],MATCH(Tabelle7[[#This Row],[Gesamtcode]],Tabelle132[Gesamtcode],0))</f>
        <v>#N/A</v>
      </c>
      <c r="G66" t="e">
        <f>INDEX(Tabelle13[Gewerknr.],MATCH(Tabelle7[[#This Row],[Gewerke]],Tabelle13[Hauptgruppe],0))</f>
        <v>#N/A</v>
      </c>
      <c r="H66" t="s">
        <v>276</v>
      </c>
      <c r="I66" t="e">
        <f ca="1">INDEX(Tabelle134[Funktionsbereichsnr.],MATCH(Tabelle7[[#This Row],[Funktionsbereiche]],INDIRECT("Tabelle134["&amp;Tabelle7[[#This Row],[Gewerke]]&amp;"]"),0))</f>
        <v>#N/A</v>
      </c>
      <c r="J66" t="e">
        <f>Tabelle7[[#This Row],[Gesamtcode]]&amp;"_"&amp;Tabelle7[[#This Row],[Zone]]&amp;"_"&amp;Tabelle7[[#This Row],[Raum]]&amp;"_"&amp;Tabelle7[[#This Row],[Bezeichnung]]</f>
        <v>#N/A</v>
      </c>
      <c r="K66">
        <v>13</v>
      </c>
      <c r="L66" t="e">
        <f>Tabelle7[[#This Row],[Hauptgruppe]]&amp;"/-/-"</f>
        <v>#N/A</v>
      </c>
      <c r="M66" t="e">
        <f ca="1">Tabelle7[[#This Row],[Hauptgruppe]]&amp;"/"&amp;Tabelle7[[#This Row],[Mittelgruppe]]&amp;"/-"</f>
        <v>#N/A</v>
      </c>
      <c r="N66" t="e">
        <f ca="1">Tabelle7[[#This Row],[Hauptgruppe]]&amp;"/"&amp;Tabelle7[[#This Row],[Mittelgruppe]]&amp;"/"&amp;Tabelle7[[#This Row],[Untergruppe]]</f>
        <v>#N/A</v>
      </c>
      <c r="O66" t="e">
        <f>INDEX(Tabelle6[Aktor],MATCH(Tabelle7[[#This Row],[Gesamtcode]],Tabelle6[Gesamtcode],0))&amp;" "&amp;INDEX(Tabelle6[Aktorkanal],MATCH(Tabelle7[[#This Row],[Gesamtcode]],Tabelle6[Gesamtcode],0))</f>
        <v>#N/A</v>
      </c>
    </row>
    <row r="67" spans="2:15" x14ac:dyDescent="0.25">
      <c r="B67" t="s">
        <v>261</v>
      </c>
      <c r="C67" t="e">
        <f>INDEX(Tabelle132[Zone],MATCH(Tabelle7[[#This Row],[Gesamtcode]],Tabelle132[Gesamtcode],0))</f>
        <v>#N/A</v>
      </c>
      <c r="D67" t="e">
        <f>INDEX(Tabelle132[Raum],MATCH(Tabelle7[[#This Row],[Gesamtcode]],Tabelle132[Gesamtcode],0))</f>
        <v>#N/A</v>
      </c>
      <c r="E67" t="e">
        <f>INDEX(Tabelle132[Bezeichnung],MATCH(Tabelle7[[#This Row],[Gesamtcode]],Tabelle132[Gesamtcode],0))</f>
        <v>#N/A</v>
      </c>
      <c r="F67" t="e">
        <f>"_"&amp;INDEX(Tabelle132[Geräte/Gewerke],MATCH(Tabelle7[[#This Row],[Gesamtcode]],Tabelle132[Gesamtcode],0))</f>
        <v>#N/A</v>
      </c>
      <c r="G67" t="e">
        <f>INDEX(Tabelle13[Gewerknr.],MATCH(Tabelle7[[#This Row],[Gewerke]],Tabelle13[Hauptgruppe],0))</f>
        <v>#N/A</v>
      </c>
      <c r="H67" t="s">
        <v>276</v>
      </c>
      <c r="I67" t="e">
        <f ca="1">INDEX(Tabelle134[Funktionsbereichsnr.],MATCH(Tabelle7[[#This Row],[Funktionsbereiche]],INDIRECT("Tabelle134["&amp;Tabelle7[[#This Row],[Gewerke]]&amp;"]"),0))</f>
        <v>#N/A</v>
      </c>
      <c r="J67" t="e">
        <f>Tabelle7[[#This Row],[Gesamtcode]]&amp;"_"&amp;Tabelle7[[#This Row],[Zone]]&amp;"_"&amp;Tabelle7[[#This Row],[Raum]]&amp;"_"&amp;Tabelle7[[#This Row],[Bezeichnung]]</f>
        <v>#N/A</v>
      </c>
      <c r="K67">
        <v>14</v>
      </c>
      <c r="L67" t="e">
        <f>Tabelle7[[#This Row],[Hauptgruppe]]&amp;"/-/-"</f>
        <v>#N/A</v>
      </c>
      <c r="M67" t="e">
        <f ca="1">Tabelle7[[#This Row],[Hauptgruppe]]&amp;"/"&amp;Tabelle7[[#This Row],[Mittelgruppe]]&amp;"/-"</f>
        <v>#N/A</v>
      </c>
      <c r="N67" t="e">
        <f ca="1">Tabelle7[[#This Row],[Hauptgruppe]]&amp;"/"&amp;Tabelle7[[#This Row],[Mittelgruppe]]&amp;"/"&amp;Tabelle7[[#This Row],[Untergruppe]]</f>
        <v>#N/A</v>
      </c>
      <c r="O67" t="e">
        <f>INDEX(Tabelle6[Aktor],MATCH(Tabelle7[[#This Row],[Gesamtcode]],Tabelle6[Gesamtcode],0))&amp;" "&amp;INDEX(Tabelle6[Aktorkanal],MATCH(Tabelle7[[#This Row],[Gesamtcode]],Tabelle6[Gesamtcode],0))</f>
        <v>#N/A</v>
      </c>
    </row>
    <row r="68" spans="2:15" x14ac:dyDescent="0.25">
      <c r="B68" t="s">
        <v>262</v>
      </c>
      <c r="C68" t="e">
        <f>INDEX(Tabelle132[Zone],MATCH(Tabelle7[[#This Row],[Gesamtcode]],Tabelle132[Gesamtcode],0))</f>
        <v>#N/A</v>
      </c>
      <c r="D68" t="e">
        <f>INDEX(Tabelle132[Raum],MATCH(Tabelle7[[#This Row],[Gesamtcode]],Tabelle132[Gesamtcode],0))</f>
        <v>#N/A</v>
      </c>
      <c r="E68" t="e">
        <f>INDEX(Tabelle132[Bezeichnung],MATCH(Tabelle7[[#This Row],[Gesamtcode]],Tabelle132[Gesamtcode],0))</f>
        <v>#N/A</v>
      </c>
      <c r="F68" t="e">
        <f>"_"&amp;INDEX(Tabelle132[Geräte/Gewerke],MATCH(Tabelle7[[#This Row],[Gesamtcode]],Tabelle132[Gesamtcode],0))</f>
        <v>#N/A</v>
      </c>
      <c r="G68" t="e">
        <f>INDEX(Tabelle13[Gewerknr.],MATCH(Tabelle7[[#This Row],[Gewerke]],Tabelle13[Hauptgruppe],0))</f>
        <v>#N/A</v>
      </c>
      <c r="H68" t="s">
        <v>276</v>
      </c>
      <c r="I68" t="e">
        <f ca="1">INDEX(Tabelle134[Funktionsbereichsnr.],MATCH(Tabelle7[[#This Row],[Funktionsbereiche]],INDIRECT("Tabelle134["&amp;Tabelle7[[#This Row],[Gewerke]]&amp;"]"),0))</f>
        <v>#N/A</v>
      </c>
      <c r="J68" t="e">
        <f>Tabelle7[[#This Row],[Gesamtcode]]&amp;"_"&amp;Tabelle7[[#This Row],[Zone]]&amp;"_"&amp;Tabelle7[[#This Row],[Raum]]&amp;"_"&amp;Tabelle7[[#This Row],[Bezeichnung]]</f>
        <v>#N/A</v>
      </c>
      <c r="K68">
        <v>15</v>
      </c>
      <c r="L68" t="e">
        <f>Tabelle7[[#This Row],[Hauptgruppe]]&amp;"/-/-"</f>
        <v>#N/A</v>
      </c>
      <c r="M68" t="e">
        <f ca="1">Tabelle7[[#This Row],[Hauptgruppe]]&amp;"/"&amp;Tabelle7[[#This Row],[Mittelgruppe]]&amp;"/-"</f>
        <v>#N/A</v>
      </c>
      <c r="N68" t="e">
        <f ca="1">Tabelle7[[#This Row],[Hauptgruppe]]&amp;"/"&amp;Tabelle7[[#This Row],[Mittelgruppe]]&amp;"/"&amp;Tabelle7[[#This Row],[Untergruppe]]</f>
        <v>#N/A</v>
      </c>
      <c r="O68" t="e">
        <f>INDEX(Tabelle6[Aktor],MATCH(Tabelle7[[#This Row],[Gesamtcode]],Tabelle6[Gesamtcode],0))&amp;" "&amp;INDEX(Tabelle6[Aktorkanal],MATCH(Tabelle7[[#This Row],[Gesamtcode]],Tabelle6[Gesamtcode],0))</f>
        <v>#N/A</v>
      </c>
    </row>
    <row r="69" spans="2:15" x14ac:dyDescent="0.25">
      <c r="B69" t="s">
        <v>263</v>
      </c>
      <c r="C69" t="e">
        <f>INDEX(Tabelle132[Zone],MATCH(Tabelle7[[#This Row],[Gesamtcode]],Tabelle132[Gesamtcode],0))</f>
        <v>#N/A</v>
      </c>
      <c r="D69" t="e">
        <f>INDEX(Tabelle132[Raum],MATCH(Tabelle7[[#This Row],[Gesamtcode]],Tabelle132[Gesamtcode],0))</f>
        <v>#N/A</v>
      </c>
      <c r="E69" t="e">
        <f>INDEX(Tabelle132[Bezeichnung],MATCH(Tabelle7[[#This Row],[Gesamtcode]],Tabelle132[Gesamtcode],0))</f>
        <v>#N/A</v>
      </c>
      <c r="F69" t="e">
        <f>"_"&amp;INDEX(Tabelle132[Geräte/Gewerke],MATCH(Tabelle7[[#This Row],[Gesamtcode]],Tabelle132[Gesamtcode],0))</f>
        <v>#N/A</v>
      </c>
      <c r="G69" t="e">
        <f>INDEX(Tabelle13[Gewerknr.],MATCH(Tabelle7[[#This Row],[Gewerke]],Tabelle13[Hauptgruppe],0))</f>
        <v>#N/A</v>
      </c>
      <c r="H69" t="s">
        <v>276</v>
      </c>
      <c r="I69" t="e">
        <f ca="1">INDEX(Tabelle134[Funktionsbereichsnr.],MATCH(Tabelle7[[#This Row],[Funktionsbereiche]],INDIRECT("Tabelle134["&amp;Tabelle7[[#This Row],[Gewerke]]&amp;"]"),0))</f>
        <v>#N/A</v>
      </c>
      <c r="J69" t="e">
        <f>Tabelle7[[#This Row],[Gesamtcode]]&amp;"_"&amp;Tabelle7[[#This Row],[Zone]]&amp;"_"&amp;Tabelle7[[#This Row],[Raum]]&amp;"_"&amp;Tabelle7[[#This Row],[Bezeichnung]]</f>
        <v>#N/A</v>
      </c>
      <c r="K69">
        <v>16</v>
      </c>
      <c r="L69" t="e">
        <f>Tabelle7[[#This Row],[Hauptgruppe]]&amp;"/-/-"</f>
        <v>#N/A</v>
      </c>
      <c r="M69" t="e">
        <f ca="1">Tabelle7[[#This Row],[Hauptgruppe]]&amp;"/"&amp;Tabelle7[[#This Row],[Mittelgruppe]]&amp;"/-"</f>
        <v>#N/A</v>
      </c>
      <c r="N69" t="e">
        <f ca="1">Tabelle7[[#This Row],[Hauptgruppe]]&amp;"/"&amp;Tabelle7[[#This Row],[Mittelgruppe]]&amp;"/"&amp;Tabelle7[[#This Row],[Untergruppe]]</f>
        <v>#N/A</v>
      </c>
      <c r="O69" t="e">
        <f>INDEX(Tabelle6[Aktor],MATCH(Tabelle7[[#This Row],[Gesamtcode]],Tabelle6[Gesamtcode],0))&amp;" "&amp;INDEX(Tabelle6[Aktorkanal],MATCH(Tabelle7[[#This Row],[Gesamtcode]],Tabelle6[Gesamtcode],0))</f>
        <v>#N/A</v>
      </c>
    </row>
    <row r="70" spans="2:15" x14ac:dyDescent="0.25">
      <c r="B70" t="s">
        <v>264</v>
      </c>
      <c r="C70" t="e">
        <f>INDEX(Tabelle132[Zone],MATCH(Tabelle7[[#This Row],[Gesamtcode]],Tabelle132[Gesamtcode],0))</f>
        <v>#N/A</v>
      </c>
      <c r="D70" t="e">
        <f>INDEX(Tabelle132[Raum],MATCH(Tabelle7[[#This Row],[Gesamtcode]],Tabelle132[Gesamtcode],0))</f>
        <v>#N/A</v>
      </c>
      <c r="E70" t="e">
        <f>INDEX(Tabelle132[Bezeichnung],MATCH(Tabelle7[[#This Row],[Gesamtcode]],Tabelle132[Gesamtcode],0))</f>
        <v>#N/A</v>
      </c>
      <c r="F70" t="e">
        <f>"_"&amp;INDEX(Tabelle132[Geräte/Gewerke],MATCH(Tabelle7[[#This Row],[Gesamtcode]],Tabelle132[Gesamtcode],0))</f>
        <v>#N/A</v>
      </c>
      <c r="G70" t="e">
        <f>INDEX(Tabelle13[Gewerknr.],MATCH(Tabelle7[[#This Row],[Gewerke]],Tabelle13[Hauptgruppe],0))</f>
        <v>#N/A</v>
      </c>
      <c r="H70" t="s">
        <v>276</v>
      </c>
      <c r="I70" t="e">
        <f ca="1">INDEX(Tabelle134[Funktionsbereichsnr.],MATCH(Tabelle7[[#This Row],[Funktionsbereiche]],INDIRECT("Tabelle134["&amp;Tabelle7[[#This Row],[Gewerke]]&amp;"]"),0))</f>
        <v>#N/A</v>
      </c>
      <c r="J70" t="e">
        <f>Tabelle7[[#This Row],[Gesamtcode]]&amp;"_"&amp;Tabelle7[[#This Row],[Zone]]&amp;"_"&amp;Tabelle7[[#This Row],[Raum]]&amp;"_"&amp;Tabelle7[[#This Row],[Bezeichnung]]</f>
        <v>#N/A</v>
      </c>
      <c r="K70">
        <v>17</v>
      </c>
      <c r="L70" t="e">
        <f>Tabelle7[[#This Row],[Hauptgruppe]]&amp;"/-/-"</f>
        <v>#N/A</v>
      </c>
      <c r="M70" t="e">
        <f ca="1">Tabelle7[[#This Row],[Hauptgruppe]]&amp;"/"&amp;Tabelle7[[#This Row],[Mittelgruppe]]&amp;"/-"</f>
        <v>#N/A</v>
      </c>
      <c r="N70" t="e">
        <f ca="1">Tabelle7[[#This Row],[Hauptgruppe]]&amp;"/"&amp;Tabelle7[[#This Row],[Mittelgruppe]]&amp;"/"&amp;Tabelle7[[#This Row],[Untergruppe]]</f>
        <v>#N/A</v>
      </c>
      <c r="O70" t="e">
        <f>INDEX(Tabelle6[Aktor],MATCH(Tabelle7[[#This Row],[Gesamtcode]],Tabelle6[Gesamtcode],0))&amp;" "&amp;INDEX(Tabelle6[Aktorkanal],MATCH(Tabelle7[[#This Row],[Gesamtcode]],Tabelle6[Gesamtcode],0))</f>
        <v>#N/A</v>
      </c>
    </row>
    <row r="71" spans="2:15" x14ac:dyDescent="0.25">
      <c r="B71" t="s">
        <v>265</v>
      </c>
      <c r="C71" t="e">
        <f>INDEX(Tabelle132[Zone],MATCH(Tabelle7[[#This Row],[Gesamtcode]],Tabelle132[Gesamtcode],0))</f>
        <v>#N/A</v>
      </c>
      <c r="D71" t="e">
        <f>INDEX(Tabelle132[Raum],MATCH(Tabelle7[[#This Row],[Gesamtcode]],Tabelle132[Gesamtcode],0))</f>
        <v>#N/A</v>
      </c>
      <c r="E71" t="e">
        <f>INDEX(Tabelle132[Bezeichnung],MATCH(Tabelle7[[#This Row],[Gesamtcode]],Tabelle132[Gesamtcode],0))</f>
        <v>#N/A</v>
      </c>
      <c r="F71" t="e">
        <f>"_"&amp;INDEX(Tabelle132[Geräte/Gewerke],MATCH(Tabelle7[[#This Row],[Gesamtcode]],Tabelle132[Gesamtcode],0))</f>
        <v>#N/A</v>
      </c>
      <c r="G71" t="e">
        <f>INDEX(Tabelle13[Gewerknr.],MATCH(Tabelle7[[#This Row],[Gewerke]],Tabelle13[Hauptgruppe],0))</f>
        <v>#N/A</v>
      </c>
      <c r="H71" t="s">
        <v>276</v>
      </c>
      <c r="I71" t="e">
        <f ca="1">INDEX(Tabelle134[Funktionsbereichsnr.],MATCH(Tabelle7[[#This Row],[Funktionsbereiche]],INDIRECT("Tabelle134["&amp;Tabelle7[[#This Row],[Gewerke]]&amp;"]"),0))</f>
        <v>#N/A</v>
      </c>
      <c r="J71" t="e">
        <f>Tabelle7[[#This Row],[Gesamtcode]]&amp;"_"&amp;Tabelle7[[#This Row],[Zone]]&amp;"_"&amp;Tabelle7[[#This Row],[Raum]]&amp;"_"&amp;Tabelle7[[#This Row],[Bezeichnung]]</f>
        <v>#N/A</v>
      </c>
      <c r="K71">
        <v>18</v>
      </c>
      <c r="L71" t="e">
        <f>Tabelle7[[#This Row],[Hauptgruppe]]&amp;"/-/-"</f>
        <v>#N/A</v>
      </c>
      <c r="M71" t="e">
        <f ca="1">Tabelle7[[#This Row],[Hauptgruppe]]&amp;"/"&amp;Tabelle7[[#This Row],[Mittelgruppe]]&amp;"/-"</f>
        <v>#N/A</v>
      </c>
      <c r="N71" t="e">
        <f ca="1">Tabelle7[[#This Row],[Hauptgruppe]]&amp;"/"&amp;Tabelle7[[#This Row],[Mittelgruppe]]&amp;"/"&amp;Tabelle7[[#This Row],[Untergruppe]]</f>
        <v>#N/A</v>
      </c>
      <c r="O71" t="e">
        <f>INDEX(Tabelle6[Aktor],MATCH(Tabelle7[[#This Row],[Gesamtcode]],Tabelle6[Gesamtcode],0))&amp;" "&amp;INDEX(Tabelle6[Aktorkanal],MATCH(Tabelle7[[#This Row],[Gesamtcode]],Tabelle6[Gesamtcode],0))</f>
        <v>#N/A</v>
      </c>
    </row>
    <row r="72" spans="2:15" x14ac:dyDescent="0.25">
      <c r="B72" t="s">
        <v>266</v>
      </c>
      <c r="C72" t="e">
        <f>INDEX(Tabelle132[Zone],MATCH(Tabelle7[[#This Row],[Gesamtcode]],Tabelle132[Gesamtcode],0))</f>
        <v>#N/A</v>
      </c>
      <c r="D72" t="e">
        <f>INDEX(Tabelle132[Raum],MATCH(Tabelle7[[#This Row],[Gesamtcode]],Tabelle132[Gesamtcode],0))</f>
        <v>#N/A</v>
      </c>
      <c r="E72" t="e">
        <f>INDEX(Tabelle132[Bezeichnung],MATCH(Tabelle7[[#This Row],[Gesamtcode]],Tabelle132[Gesamtcode],0))</f>
        <v>#N/A</v>
      </c>
      <c r="F72" t="e">
        <f>"_"&amp;INDEX(Tabelle132[Geräte/Gewerke],MATCH(Tabelle7[[#This Row],[Gesamtcode]],Tabelle132[Gesamtcode],0))</f>
        <v>#N/A</v>
      </c>
      <c r="G72" t="e">
        <f>INDEX(Tabelle13[Gewerknr.],MATCH(Tabelle7[[#This Row],[Gewerke]],Tabelle13[Hauptgruppe],0))</f>
        <v>#N/A</v>
      </c>
      <c r="H72" t="s">
        <v>276</v>
      </c>
      <c r="I72" t="e">
        <f ca="1">INDEX(Tabelle134[Funktionsbereichsnr.],MATCH(Tabelle7[[#This Row],[Funktionsbereiche]],INDIRECT("Tabelle134["&amp;Tabelle7[[#This Row],[Gewerke]]&amp;"]"),0))</f>
        <v>#N/A</v>
      </c>
      <c r="J72" t="e">
        <f>Tabelle7[[#This Row],[Gesamtcode]]&amp;"_"&amp;Tabelle7[[#This Row],[Zone]]&amp;"_"&amp;Tabelle7[[#This Row],[Raum]]&amp;"_"&amp;Tabelle7[[#This Row],[Bezeichnung]]</f>
        <v>#N/A</v>
      </c>
      <c r="K72">
        <v>2</v>
      </c>
      <c r="L72" t="e">
        <f>Tabelle7[[#This Row],[Hauptgruppe]]&amp;"/-/-"</f>
        <v>#N/A</v>
      </c>
      <c r="M72" t="e">
        <f ca="1">Tabelle7[[#This Row],[Hauptgruppe]]&amp;"/"&amp;Tabelle7[[#This Row],[Mittelgruppe]]&amp;"/-"</f>
        <v>#N/A</v>
      </c>
      <c r="N72" t="e">
        <f ca="1">Tabelle7[[#This Row],[Hauptgruppe]]&amp;"/"&amp;Tabelle7[[#This Row],[Mittelgruppe]]&amp;"/"&amp;Tabelle7[[#This Row],[Untergruppe]]</f>
        <v>#N/A</v>
      </c>
      <c r="O72" t="e">
        <f>INDEX(Tabelle6[Aktor],MATCH(Tabelle7[[#This Row],[Gesamtcode]],Tabelle6[Gesamtcode],0))&amp;" "&amp;INDEX(Tabelle6[Aktorkanal],MATCH(Tabelle7[[#This Row],[Gesamtcode]],Tabelle6[Gesamtcode],0))</f>
        <v>#N/A</v>
      </c>
    </row>
    <row r="73" spans="2:15" x14ac:dyDescent="0.25">
      <c r="B73" t="s">
        <v>267</v>
      </c>
      <c r="C73" t="e">
        <f>INDEX(Tabelle132[Zone],MATCH(Tabelle7[[#This Row],[Gesamtcode]],Tabelle132[Gesamtcode],0))</f>
        <v>#N/A</v>
      </c>
      <c r="D73" t="e">
        <f>INDEX(Tabelle132[Raum],MATCH(Tabelle7[[#This Row],[Gesamtcode]],Tabelle132[Gesamtcode],0))</f>
        <v>#N/A</v>
      </c>
      <c r="E73" t="e">
        <f>INDEX(Tabelle132[Bezeichnung],MATCH(Tabelle7[[#This Row],[Gesamtcode]],Tabelle132[Gesamtcode],0))</f>
        <v>#N/A</v>
      </c>
      <c r="F73" t="e">
        <f>"_"&amp;INDEX(Tabelle132[Geräte/Gewerke],MATCH(Tabelle7[[#This Row],[Gesamtcode]],Tabelle132[Gesamtcode],0))</f>
        <v>#N/A</v>
      </c>
      <c r="G73" t="e">
        <f>INDEX(Tabelle13[Gewerknr.],MATCH(Tabelle7[[#This Row],[Gewerke]],Tabelle13[Hauptgruppe],0))</f>
        <v>#N/A</v>
      </c>
      <c r="H73" t="s">
        <v>276</v>
      </c>
      <c r="I73" t="e">
        <f ca="1">INDEX(Tabelle134[Funktionsbereichsnr.],MATCH(Tabelle7[[#This Row],[Funktionsbereiche]],INDIRECT("Tabelle134["&amp;Tabelle7[[#This Row],[Gewerke]]&amp;"]"),0))</f>
        <v>#N/A</v>
      </c>
      <c r="J73" t="e">
        <f>Tabelle7[[#This Row],[Gesamtcode]]&amp;"_"&amp;Tabelle7[[#This Row],[Zone]]&amp;"_"&amp;Tabelle7[[#This Row],[Raum]]&amp;"_"&amp;Tabelle7[[#This Row],[Bezeichnung]]</f>
        <v>#N/A</v>
      </c>
      <c r="K73">
        <v>3</v>
      </c>
      <c r="L73" t="e">
        <f>Tabelle7[[#This Row],[Hauptgruppe]]&amp;"/-/-"</f>
        <v>#N/A</v>
      </c>
      <c r="M73" t="e">
        <f ca="1">Tabelle7[[#This Row],[Hauptgruppe]]&amp;"/"&amp;Tabelle7[[#This Row],[Mittelgruppe]]&amp;"/-"</f>
        <v>#N/A</v>
      </c>
      <c r="N73" t="e">
        <f ca="1">Tabelle7[[#This Row],[Hauptgruppe]]&amp;"/"&amp;Tabelle7[[#This Row],[Mittelgruppe]]&amp;"/"&amp;Tabelle7[[#This Row],[Untergruppe]]</f>
        <v>#N/A</v>
      </c>
      <c r="O73" t="e">
        <f>INDEX(Tabelle6[Aktor],MATCH(Tabelle7[[#This Row],[Gesamtcode]],Tabelle6[Gesamtcode],0))&amp;" "&amp;INDEX(Tabelle6[Aktorkanal],MATCH(Tabelle7[[#This Row],[Gesamtcode]],Tabelle6[Gesamtcode],0))</f>
        <v>#N/A</v>
      </c>
    </row>
    <row r="74" spans="2:15" x14ac:dyDescent="0.25">
      <c r="B74" t="s">
        <v>268</v>
      </c>
      <c r="C74" t="e">
        <f>INDEX(Tabelle132[Zone],MATCH(Tabelle7[[#This Row],[Gesamtcode]],Tabelle132[Gesamtcode],0))</f>
        <v>#N/A</v>
      </c>
      <c r="D74" t="e">
        <f>INDEX(Tabelle132[Raum],MATCH(Tabelle7[[#This Row],[Gesamtcode]],Tabelle132[Gesamtcode],0))</f>
        <v>#N/A</v>
      </c>
      <c r="E74" t="e">
        <f>INDEX(Tabelle132[Bezeichnung],MATCH(Tabelle7[[#This Row],[Gesamtcode]],Tabelle132[Gesamtcode],0))</f>
        <v>#N/A</v>
      </c>
      <c r="F74" t="e">
        <f>"_"&amp;INDEX(Tabelle132[Geräte/Gewerke],MATCH(Tabelle7[[#This Row],[Gesamtcode]],Tabelle132[Gesamtcode],0))</f>
        <v>#N/A</v>
      </c>
      <c r="G74" t="e">
        <f>INDEX(Tabelle13[Gewerknr.],MATCH(Tabelle7[[#This Row],[Gewerke]],Tabelle13[Hauptgruppe],0))</f>
        <v>#N/A</v>
      </c>
      <c r="H74" t="s">
        <v>276</v>
      </c>
      <c r="I74" t="e">
        <f ca="1">INDEX(Tabelle134[Funktionsbereichsnr.],MATCH(Tabelle7[[#This Row],[Funktionsbereiche]],INDIRECT("Tabelle134["&amp;Tabelle7[[#This Row],[Gewerke]]&amp;"]"),0))</f>
        <v>#N/A</v>
      </c>
      <c r="J74" t="e">
        <f>Tabelle7[[#This Row],[Gesamtcode]]&amp;"_"&amp;Tabelle7[[#This Row],[Zone]]&amp;"_"&amp;Tabelle7[[#This Row],[Raum]]&amp;"_"&amp;Tabelle7[[#This Row],[Bezeichnung]]</f>
        <v>#N/A</v>
      </c>
      <c r="K74">
        <v>4</v>
      </c>
      <c r="L74" t="e">
        <f>Tabelle7[[#This Row],[Hauptgruppe]]&amp;"/-/-"</f>
        <v>#N/A</v>
      </c>
      <c r="M74" t="e">
        <f ca="1">Tabelle7[[#This Row],[Hauptgruppe]]&amp;"/"&amp;Tabelle7[[#This Row],[Mittelgruppe]]&amp;"/-"</f>
        <v>#N/A</v>
      </c>
      <c r="N74" t="e">
        <f ca="1">Tabelle7[[#This Row],[Hauptgruppe]]&amp;"/"&amp;Tabelle7[[#This Row],[Mittelgruppe]]&amp;"/"&amp;Tabelle7[[#This Row],[Untergruppe]]</f>
        <v>#N/A</v>
      </c>
      <c r="O74" t="e">
        <f>INDEX(Tabelle6[Aktor],MATCH(Tabelle7[[#This Row],[Gesamtcode]],Tabelle6[Gesamtcode],0))&amp;" "&amp;INDEX(Tabelle6[Aktorkanal],MATCH(Tabelle7[[#This Row],[Gesamtcode]],Tabelle6[Gesamtcode],0))</f>
        <v>#N/A</v>
      </c>
    </row>
    <row r="75" spans="2:15" x14ac:dyDescent="0.25">
      <c r="B75" t="s">
        <v>269</v>
      </c>
      <c r="C75" t="e">
        <f>INDEX(Tabelle132[Zone],MATCH(Tabelle7[[#This Row],[Gesamtcode]],Tabelle132[Gesamtcode],0))</f>
        <v>#N/A</v>
      </c>
      <c r="D75" t="e">
        <f>INDEX(Tabelle132[Raum],MATCH(Tabelle7[[#This Row],[Gesamtcode]],Tabelle132[Gesamtcode],0))</f>
        <v>#N/A</v>
      </c>
      <c r="E75" t="e">
        <f>INDEX(Tabelle132[Bezeichnung],MATCH(Tabelle7[[#This Row],[Gesamtcode]],Tabelle132[Gesamtcode],0))</f>
        <v>#N/A</v>
      </c>
      <c r="F75" t="e">
        <f>"_"&amp;INDEX(Tabelle132[Geräte/Gewerke],MATCH(Tabelle7[[#This Row],[Gesamtcode]],Tabelle132[Gesamtcode],0))</f>
        <v>#N/A</v>
      </c>
      <c r="G75" t="e">
        <f>INDEX(Tabelle13[Gewerknr.],MATCH(Tabelle7[[#This Row],[Gewerke]],Tabelle13[Hauptgruppe],0))</f>
        <v>#N/A</v>
      </c>
      <c r="H75" t="s">
        <v>276</v>
      </c>
      <c r="I75" t="e">
        <f ca="1">INDEX(Tabelle134[Funktionsbereichsnr.],MATCH(Tabelle7[[#This Row],[Funktionsbereiche]],INDIRECT("Tabelle134["&amp;Tabelle7[[#This Row],[Gewerke]]&amp;"]"),0))</f>
        <v>#N/A</v>
      </c>
      <c r="J75" t="e">
        <f>Tabelle7[[#This Row],[Gesamtcode]]&amp;"_"&amp;Tabelle7[[#This Row],[Zone]]&amp;"_"&amp;Tabelle7[[#This Row],[Raum]]&amp;"_"&amp;Tabelle7[[#This Row],[Bezeichnung]]</f>
        <v>#N/A</v>
      </c>
      <c r="K75">
        <v>5</v>
      </c>
      <c r="L75" t="e">
        <f>Tabelle7[[#This Row],[Hauptgruppe]]&amp;"/-/-"</f>
        <v>#N/A</v>
      </c>
      <c r="M75" t="e">
        <f ca="1">Tabelle7[[#This Row],[Hauptgruppe]]&amp;"/"&amp;Tabelle7[[#This Row],[Mittelgruppe]]&amp;"/-"</f>
        <v>#N/A</v>
      </c>
      <c r="N75" t="e">
        <f ca="1">Tabelle7[[#This Row],[Hauptgruppe]]&amp;"/"&amp;Tabelle7[[#This Row],[Mittelgruppe]]&amp;"/"&amp;Tabelle7[[#This Row],[Untergruppe]]</f>
        <v>#N/A</v>
      </c>
      <c r="O75" t="e">
        <f>INDEX(Tabelle6[Aktor],MATCH(Tabelle7[[#This Row],[Gesamtcode]],Tabelle6[Gesamtcode],0))&amp;" "&amp;INDEX(Tabelle6[Aktorkanal],MATCH(Tabelle7[[#This Row],[Gesamtcode]],Tabelle6[Gesamtcode],0))</f>
        <v>#N/A</v>
      </c>
    </row>
    <row r="76" spans="2:15" x14ac:dyDescent="0.25">
      <c r="B76" t="s">
        <v>270</v>
      </c>
      <c r="C76" t="e">
        <f>INDEX(Tabelle132[Zone],MATCH(Tabelle7[[#This Row],[Gesamtcode]],Tabelle132[Gesamtcode],0))</f>
        <v>#N/A</v>
      </c>
      <c r="D76" t="e">
        <f>INDEX(Tabelle132[Raum],MATCH(Tabelle7[[#This Row],[Gesamtcode]],Tabelle132[Gesamtcode],0))</f>
        <v>#N/A</v>
      </c>
      <c r="E76" t="e">
        <f>INDEX(Tabelle132[Bezeichnung],MATCH(Tabelle7[[#This Row],[Gesamtcode]],Tabelle132[Gesamtcode],0))</f>
        <v>#N/A</v>
      </c>
      <c r="F76" t="e">
        <f>"_"&amp;INDEX(Tabelle132[Geräte/Gewerke],MATCH(Tabelle7[[#This Row],[Gesamtcode]],Tabelle132[Gesamtcode],0))</f>
        <v>#N/A</v>
      </c>
      <c r="G76" t="e">
        <f>INDEX(Tabelle13[Gewerknr.],MATCH(Tabelle7[[#This Row],[Gewerke]],Tabelle13[Hauptgruppe],0))</f>
        <v>#N/A</v>
      </c>
      <c r="H76" t="s">
        <v>276</v>
      </c>
      <c r="I76" t="e">
        <f ca="1">INDEX(Tabelle134[Funktionsbereichsnr.],MATCH(Tabelle7[[#This Row],[Funktionsbereiche]],INDIRECT("Tabelle134["&amp;Tabelle7[[#This Row],[Gewerke]]&amp;"]"),0))</f>
        <v>#N/A</v>
      </c>
      <c r="J76" t="e">
        <f>Tabelle7[[#This Row],[Gesamtcode]]&amp;"_"&amp;Tabelle7[[#This Row],[Zone]]&amp;"_"&amp;Tabelle7[[#This Row],[Raum]]&amp;"_"&amp;Tabelle7[[#This Row],[Bezeichnung]]</f>
        <v>#N/A</v>
      </c>
      <c r="K76">
        <v>6</v>
      </c>
      <c r="L76" t="e">
        <f>Tabelle7[[#This Row],[Hauptgruppe]]&amp;"/-/-"</f>
        <v>#N/A</v>
      </c>
      <c r="M76" t="e">
        <f ca="1">Tabelle7[[#This Row],[Hauptgruppe]]&amp;"/"&amp;Tabelle7[[#This Row],[Mittelgruppe]]&amp;"/-"</f>
        <v>#N/A</v>
      </c>
      <c r="N76" t="e">
        <f ca="1">Tabelle7[[#This Row],[Hauptgruppe]]&amp;"/"&amp;Tabelle7[[#This Row],[Mittelgruppe]]&amp;"/"&amp;Tabelle7[[#This Row],[Untergruppe]]</f>
        <v>#N/A</v>
      </c>
      <c r="O76" t="e">
        <f>INDEX(Tabelle6[Aktor],MATCH(Tabelle7[[#This Row],[Gesamtcode]],Tabelle6[Gesamtcode],0))&amp;" "&amp;INDEX(Tabelle6[Aktorkanal],MATCH(Tabelle7[[#This Row],[Gesamtcode]],Tabelle6[Gesamtcode],0))</f>
        <v>#N/A</v>
      </c>
    </row>
    <row r="77" spans="2:15" x14ac:dyDescent="0.25">
      <c r="B77" t="s">
        <v>271</v>
      </c>
      <c r="C77" t="e">
        <f>INDEX(Tabelle132[Zone],MATCH(Tabelle7[[#This Row],[Gesamtcode]],Tabelle132[Gesamtcode],0))</f>
        <v>#N/A</v>
      </c>
      <c r="D77" t="e">
        <f>INDEX(Tabelle132[Raum],MATCH(Tabelle7[[#This Row],[Gesamtcode]],Tabelle132[Gesamtcode],0))</f>
        <v>#N/A</v>
      </c>
      <c r="E77" t="e">
        <f>INDEX(Tabelle132[Bezeichnung],MATCH(Tabelle7[[#This Row],[Gesamtcode]],Tabelle132[Gesamtcode],0))</f>
        <v>#N/A</v>
      </c>
      <c r="F77" t="e">
        <f>"_"&amp;INDEX(Tabelle132[Geräte/Gewerke],MATCH(Tabelle7[[#This Row],[Gesamtcode]],Tabelle132[Gesamtcode],0))</f>
        <v>#N/A</v>
      </c>
      <c r="G77" t="e">
        <f>INDEX(Tabelle13[Gewerknr.],MATCH(Tabelle7[[#This Row],[Gewerke]],Tabelle13[Hauptgruppe],0))</f>
        <v>#N/A</v>
      </c>
      <c r="H77" t="s">
        <v>276</v>
      </c>
      <c r="I77" t="e">
        <f ca="1">INDEX(Tabelle134[Funktionsbereichsnr.],MATCH(Tabelle7[[#This Row],[Funktionsbereiche]],INDIRECT("Tabelle134["&amp;Tabelle7[[#This Row],[Gewerke]]&amp;"]"),0))</f>
        <v>#N/A</v>
      </c>
      <c r="J77" t="e">
        <f>Tabelle7[[#This Row],[Gesamtcode]]&amp;"_"&amp;Tabelle7[[#This Row],[Zone]]&amp;"_"&amp;Tabelle7[[#This Row],[Raum]]&amp;"_"&amp;Tabelle7[[#This Row],[Bezeichnung]]</f>
        <v>#N/A</v>
      </c>
      <c r="K77">
        <v>7</v>
      </c>
      <c r="L77" t="e">
        <f>Tabelle7[[#This Row],[Hauptgruppe]]&amp;"/-/-"</f>
        <v>#N/A</v>
      </c>
      <c r="M77" t="e">
        <f ca="1">Tabelle7[[#This Row],[Hauptgruppe]]&amp;"/"&amp;Tabelle7[[#This Row],[Mittelgruppe]]&amp;"/-"</f>
        <v>#N/A</v>
      </c>
      <c r="N77" t="e">
        <f ca="1">Tabelle7[[#This Row],[Hauptgruppe]]&amp;"/"&amp;Tabelle7[[#This Row],[Mittelgruppe]]&amp;"/"&amp;Tabelle7[[#This Row],[Untergruppe]]</f>
        <v>#N/A</v>
      </c>
      <c r="O77" t="e">
        <f>INDEX(Tabelle6[Aktor],MATCH(Tabelle7[[#This Row],[Gesamtcode]],Tabelle6[Gesamtcode],0))&amp;" "&amp;INDEX(Tabelle6[Aktorkanal],MATCH(Tabelle7[[#This Row],[Gesamtcode]],Tabelle6[Gesamtcode],0))</f>
        <v>#N/A</v>
      </c>
    </row>
    <row r="78" spans="2:15" x14ac:dyDescent="0.25">
      <c r="B78" t="s">
        <v>272</v>
      </c>
      <c r="C78" t="e">
        <f>INDEX(Tabelle132[Zone],MATCH(Tabelle7[[#This Row],[Gesamtcode]],Tabelle132[Gesamtcode],0))</f>
        <v>#N/A</v>
      </c>
      <c r="D78" t="e">
        <f>INDEX(Tabelle132[Raum],MATCH(Tabelle7[[#This Row],[Gesamtcode]],Tabelle132[Gesamtcode],0))</f>
        <v>#N/A</v>
      </c>
      <c r="E78" t="e">
        <f>INDEX(Tabelle132[Bezeichnung],MATCH(Tabelle7[[#This Row],[Gesamtcode]],Tabelle132[Gesamtcode],0))</f>
        <v>#N/A</v>
      </c>
      <c r="F78" t="e">
        <f>"_"&amp;INDEX(Tabelle132[Geräte/Gewerke],MATCH(Tabelle7[[#This Row],[Gesamtcode]],Tabelle132[Gesamtcode],0))</f>
        <v>#N/A</v>
      </c>
      <c r="G78" t="e">
        <f>INDEX(Tabelle13[Gewerknr.],MATCH(Tabelle7[[#This Row],[Gewerke]],Tabelle13[Hauptgruppe],0))</f>
        <v>#N/A</v>
      </c>
      <c r="H78" t="s">
        <v>276</v>
      </c>
      <c r="I78" t="e">
        <f ca="1">INDEX(Tabelle134[Funktionsbereichsnr.],MATCH(Tabelle7[[#This Row],[Funktionsbereiche]],INDIRECT("Tabelle134["&amp;Tabelle7[[#This Row],[Gewerke]]&amp;"]"),0))</f>
        <v>#N/A</v>
      </c>
      <c r="J78" t="e">
        <f>Tabelle7[[#This Row],[Gesamtcode]]&amp;"_"&amp;Tabelle7[[#This Row],[Zone]]&amp;"_"&amp;Tabelle7[[#This Row],[Raum]]&amp;"_"&amp;Tabelle7[[#This Row],[Bezeichnung]]</f>
        <v>#N/A</v>
      </c>
      <c r="K78">
        <v>8</v>
      </c>
      <c r="L78" t="e">
        <f>Tabelle7[[#This Row],[Hauptgruppe]]&amp;"/-/-"</f>
        <v>#N/A</v>
      </c>
      <c r="M78" t="e">
        <f ca="1">Tabelle7[[#This Row],[Hauptgruppe]]&amp;"/"&amp;Tabelle7[[#This Row],[Mittelgruppe]]&amp;"/-"</f>
        <v>#N/A</v>
      </c>
      <c r="N78" t="e">
        <f ca="1">Tabelle7[[#This Row],[Hauptgruppe]]&amp;"/"&amp;Tabelle7[[#This Row],[Mittelgruppe]]&amp;"/"&amp;Tabelle7[[#This Row],[Untergruppe]]</f>
        <v>#N/A</v>
      </c>
      <c r="O78" t="e">
        <f>INDEX(Tabelle6[Aktor],MATCH(Tabelle7[[#This Row],[Gesamtcode]],Tabelle6[Gesamtcode],0))&amp;" "&amp;INDEX(Tabelle6[Aktorkanal],MATCH(Tabelle7[[#This Row],[Gesamtcode]],Tabelle6[Gesamtcode],0))</f>
        <v>#N/A</v>
      </c>
    </row>
    <row r="79" spans="2:15" x14ac:dyDescent="0.25">
      <c r="B79" t="s">
        <v>273</v>
      </c>
      <c r="C79" t="e">
        <f>INDEX(Tabelle132[Zone],MATCH(Tabelle7[[#This Row],[Gesamtcode]],Tabelle132[Gesamtcode],0))</f>
        <v>#N/A</v>
      </c>
      <c r="D79" t="e">
        <f>INDEX(Tabelle132[Raum],MATCH(Tabelle7[[#This Row],[Gesamtcode]],Tabelle132[Gesamtcode],0))</f>
        <v>#N/A</v>
      </c>
      <c r="E79" t="e">
        <f>INDEX(Tabelle132[Bezeichnung],MATCH(Tabelle7[[#This Row],[Gesamtcode]],Tabelle132[Gesamtcode],0))</f>
        <v>#N/A</v>
      </c>
      <c r="F79" t="e">
        <f>"_"&amp;INDEX(Tabelle132[Geräte/Gewerke],MATCH(Tabelle7[[#This Row],[Gesamtcode]],Tabelle132[Gesamtcode],0))</f>
        <v>#N/A</v>
      </c>
      <c r="G79" t="e">
        <f>INDEX(Tabelle13[Gewerknr.],MATCH(Tabelle7[[#This Row],[Gewerke]],Tabelle13[Hauptgruppe],0))</f>
        <v>#N/A</v>
      </c>
      <c r="H79" t="s">
        <v>276</v>
      </c>
      <c r="I79" t="e">
        <f ca="1">INDEX(Tabelle134[Funktionsbereichsnr.],MATCH(Tabelle7[[#This Row],[Funktionsbereiche]],INDIRECT("Tabelle134["&amp;Tabelle7[[#This Row],[Gewerke]]&amp;"]"),0))</f>
        <v>#N/A</v>
      </c>
      <c r="J79" t="e">
        <f>Tabelle7[[#This Row],[Gesamtcode]]&amp;"_"&amp;Tabelle7[[#This Row],[Zone]]&amp;"_"&amp;Tabelle7[[#This Row],[Raum]]&amp;"_"&amp;Tabelle7[[#This Row],[Bezeichnung]]</f>
        <v>#N/A</v>
      </c>
      <c r="K79">
        <v>9</v>
      </c>
      <c r="L79" t="e">
        <f>Tabelle7[[#This Row],[Hauptgruppe]]&amp;"/-/-"</f>
        <v>#N/A</v>
      </c>
      <c r="M79" t="e">
        <f ca="1">Tabelle7[[#This Row],[Hauptgruppe]]&amp;"/"&amp;Tabelle7[[#This Row],[Mittelgruppe]]&amp;"/-"</f>
        <v>#N/A</v>
      </c>
      <c r="N79" t="e">
        <f ca="1">Tabelle7[[#This Row],[Hauptgruppe]]&amp;"/"&amp;Tabelle7[[#This Row],[Mittelgruppe]]&amp;"/"&amp;Tabelle7[[#This Row],[Untergruppe]]</f>
        <v>#N/A</v>
      </c>
      <c r="O79" t="e">
        <f>INDEX(Tabelle6[Aktor],MATCH(Tabelle7[[#This Row],[Gesamtcode]],Tabelle6[Gesamtcode],0))&amp;" "&amp;INDEX(Tabelle6[Aktorkanal],MATCH(Tabelle7[[#This Row],[Gesamtcode]],Tabelle6[Gesamtcode],0))</f>
        <v>#N/A</v>
      </c>
    </row>
    <row r="80" spans="2:15" x14ac:dyDescent="0.25">
      <c r="B80" t="s">
        <v>254</v>
      </c>
      <c r="C80" t="e">
        <f>INDEX(Tabelle132[Zone],MATCH(Tabelle7[[#This Row],[Gesamtcode]],Tabelle132[Gesamtcode],0))</f>
        <v>#N/A</v>
      </c>
      <c r="D80" t="e">
        <f>INDEX(Tabelle132[Raum],MATCH(Tabelle7[[#This Row],[Gesamtcode]],Tabelle132[Gesamtcode],0))</f>
        <v>#N/A</v>
      </c>
      <c r="E80" t="e">
        <f>INDEX(Tabelle132[Bezeichnung],MATCH(Tabelle7[[#This Row],[Gesamtcode]],Tabelle132[Gesamtcode],0))</f>
        <v>#N/A</v>
      </c>
      <c r="F80" t="e">
        <f>"_"&amp;INDEX(Tabelle132[Geräte/Gewerke],MATCH(Tabelle7[[#This Row],[Gesamtcode]],Tabelle132[Gesamtcode],0))</f>
        <v>#N/A</v>
      </c>
      <c r="G80" t="e">
        <f>INDEX(Tabelle13[Gewerknr.],MATCH(Tabelle7[[#This Row],[Gewerke]],Tabelle13[Hauptgruppe],0))</f>
        <v>#N/A</v>
      </c>
      <c r="H80" t="s">
        <v>277</v>
      </c>
      <c r="I80" t="e">
        <f ca="1">INDEX(Tabelle134[Funktionsbereichsnr.],MATCH(Tabelle7[[#This Row],[Funktionsbereiche]],INDIRECT("Tabelle134["&amp;Tabelle7[[#This Row],[Gewerke]]&amp;"]"),0))</f>
        <v>#N/A</v>
      </c>
      <c r="J80" t="e">
        <f>Tabelle7[[#This Row],[Gesamtcode]]&amp;"_"&amp;Tabelle7[[#This Row],[Zone]]&amp;"_"&amp;Tabelle7[[#This Row],[Raum]]&amp;"_"&amp;Tabelle7[[#This Row],[Bezeichnung]]</f>
        <v>#N/A</v>
      </c>
      <c r="K80">
        <v>0</v>
      </c>
      <c r="L80" t="e">
        <f>Tabelle7[[#This Row],[Hauptgruppe]]&amp;"/-/-"</f>
        <v>#N/A</v>
      </c>
      <c r="M80" t="e">
        <f ca="1">Tabelle7[[#This Row],[Hauptgruppe]]&amp;"/"&amp;Tabelle7[[#This Row],[Mittelgruppe]]&amp;"/-"</f>
        <v>#N/A</v>
      </c>
      <c r="N80" t="e">
        <f ca="1">Tabelle7[[#This Row],[Hauptgruppe]]&amp;"/"&amp;Tabelle7[[#This Row],[Mittelgruppe]]&amp;"/"&amp;Tabelle7[[#This Row],[Untergruppe]]</f>
        <v>#N/A</v>
      </c>
      <c r="O80" t="e">
        <f>INDEX(Tabelle6[Aktor],MATCH(Tabelle7[[#This Row],[Gesamtcode]],Tabelle6[Gesamtcode],0))&amp;" "&amp;INDEX(Tabelle6[Aktorkanal],MATCH(Tabelle7[[#This Row],[Gesamtcode]],Tabelle6[Gesamtcode],0))</f>
        <v>#N/A</v>
      </c>
    </row>
    <row r="81" spans="2:15" x14ac:dyDescent="0.25">
      <c r="B81" t="s">
        <v>256</v>
      </c>
      <c r="C81" t="e">
        <f>INDEX(Tabelle132[Zone],MATCH(Tabelle7[[#This Row],[Gesamtcode]],Tabelle132[Gesamtcode],0))</f>
        <v>#N/A</v>
      </c>
      <c r="D81" t="e">
        <f>INDEX(Tabelle132[Raum],MATCH(Tabelle7[[#This Row],[Gesamtcode]],Tabelle132[Gesamtcode],0))</f>
        <v>#N/A</v>
      </c>
      <c r="E81" t="e">
        <f>INDEX(Tabelle132[Bezeichnung],MATCH(Tabelle7[[#This Row],[Gesamtcode]],Tabelle132[Gesamtcode],0))</f>
        <v>#N/A</v>
      </c>
      <c r="F81" t="e">
        <f>"_"&amp;INDEX(Tabelle132[Geräte/Gewerke],MATCH(Tabelle7[[#This Row],[Gesamtcode]],Tabelle132[Gesamtcode],0))</f>
        <v>#N/A</v>
      </c>
      <c r="G81" t="e">
        <f>INDEX(Tabelle13[Gewerknr.],MATCH(Tabelle7[[#This Row],[Gewerke]],Tabelle13[Hauptgruppe],0))</f>
        <v>#N/A</v>
      </c>
      <c r="H81" t="s">
        <v>277</v>
      </c>
      <c r="I81" t="e">
        <f ca="1">INDEX(Tabelle134[Funktionsbereichsnr.],MATCH(Tabelle7[[#This Row],[Funktionsbereiche]],INDIRECT("Tabelle134["&amp;Tabelle7[[#This Row],[Gewerke]]&amp;"]"),0))</f>
        <v>#N/A</v>
      </c>
      <c r="J81" t="e">
        <f>Tabelle7[[#This Row],[Gesamtcode]]&amp;"_"&amp;Tabelle7[[#This Row],[Zone]]&amp;"_"&amp;Tabelle7[[#This Row],[Raum]]&amp;"_"&amp;Tabelle7[[#This Row],[Bezeichnung]]</f>
        <v>#N/A</v>
      </c>
      <c r="K81">
        <v>1</v>
      </c>
      <c r="L81" t="e">
        <f>Tabelle7[[#This Row],[Hauptgruppe]]&amp;"/-/-"</f>
        <v>#N/A</v>
      </c>
      <c r="M81" t="e">
        <f ca="1">Tabelle7[[#This Row],[Hauptgruppe]]&amp;"/"&amp;Tabelle7[[#This Row],[Mittelgruppe]]&amp;"/-"</f>
        <v>#N/A</v>
      </c>
      <c r="N81" t="e">
        <f ca="1">Tabelle7[[#This Row],[Hauptgruppe]]&amp;"/"&amp;Tabelle7[[#This Row],[Mittelgruppe]]&amp;"/"&amp;Tabelle7[[#This Row],[Untergruppe]]</f>
        <v>#N/A</v>
      </c>
      <c r="O81" t="e">
        <f>INDEX(Tabelle6[Aktor],MATCH(Tabelle7[[#This Row],[Gesamtcode]],Tabelle6[Gesamtcode],0))&amp;" "&amp;INDEX(Tabelle6[Aktorkanal],MATCH(Tabelle7[[#This Row],[Gesamtcode]],Tabelle6[Gesamtcode],0))</f>
        <v>#N/A</v>
      </c>
    </row>
    <row r="82" spans="2:15" x14ac:dyDescent="0.25">
      <c r="B82" t="s">
        <v>257</v>
      </c>
      <c r="C82" t="e">
        <f>INDEX(Tabelle132[Zone],MATCH(Tabelle7[[#This Row],[Gesamtcode]],Tabelle132[Gesamtcode],0))</f>
        <v>#N/A</v>
      </c>
      <c r="D82" t="e">
        <f>INDEX(Tabelle132[Raum],MATCH(Tabelle7[[#This Row],[Gesamtcode]],Tabelle132[Gesamtcode],0))</f>
        <v>#N/A</v>
      </c>
      <c r="E82" t="e">
        <f>INDEX(Tabelle132[Bezeichnung],MATCH(Tabelle7[[#This Row],[Gesamtcode]],Tabelle132[Gesamtcode],0))</f>
        <v>#N/A</v>
      </c>
      <c r="F82" t="e">
        <f>"_"&amp;INDEX(Tabelle132[Geräte/Gewerke],MATCH(Tabelle7[[#This Row],[Gesamtcode]],Tabelle132[Gesamtcode],0))</f>
        <v>#N/A</v>
      </c>
      <c r="G82" t="e">
        <f>INDEX(Tabelle13[Gewerknr.],MATCH(Tabelle7[[#This Row],[Gewerke]],Tabelle13[Hauptgruppe],0))</f>
        <v>#N/A</v>
      </c>
      <c r="H82" t="s">
        <v>277</v>
      </c>
      <c r="I82" t="e">
        <f ca="1">INDEX(Tabelle134[Funktionsbereichsnr.],MATCH(Tabelle7[[#This Row],[Funktionsbereiche]],INDIRECT("Tabelle134["&amp;Tabelle7[[#This Row],[Gewerke]]&amp;"]"),0))</f>
        <v>#N/A</v>
      </c>
      <c r="J82" t="e">
        <f>Tabelle7[[#This Row],[Gesamtcode]]&amp;"_"&amp;Tabelle7[[#This Row],[Zone]]&amp;"_"&amp;Tabelle7[[#This Row],[Raum]]&amp;"_"&amp;Tabelle7[[#This Row],[Bezeichnung]]</f>
        <v>#N/A</v>
      </c>
      <c r="K82">
        <v>10</v>
      </c>
      <c r="L82" t="e">
        <f>Tabelle7[[#This Row],[Hauptgruppe]]&amp;"/-/-"</f>
        <v>#N/A</v>
      </c>
      <c r="M82" t="e">
        <f ca="1">Tabelle7[[#This Row],[Hauptgruppe]]&amp;"/"&amp;Tabelle7[[#This Row],[Mittelgruppe]]&amp;"/-"</f>
        <v>#N/A</v>
      </c>
      <c r="N82" t="e">
        <f ca="1">Tabelle7[[#This Row],[Hauptgruppe]]&amp;"/"&amp;Tabelle7[[#This Row],[Mittelgruppe]]&amp;"/"&amp;Tabelle7[[#This Row],[Untergruppe]]</f>
        <v>#N/A</v>
      </c>
      <c r="O82" t="e">
        <f>INDEX(Tabelle6[Aktor],MATCH(Tabelle7[[#This Row],[Gesamtcode]],Tabelle6[Gesamtcode],0))&amp;" "&amp;INDEX(Tabelle6[Aktorkanal],MATCH(Tabelle7[[#This Row],[Gesamtcode]],Tabelle6[Gesamtcode],0))</f>
        <v>#N/A</v>
      </c>
    </row>
    <row r="83" spans="2:15" x14ac:dyDescent="0.25">
      <c r="B83" t="s">
        <v>258</v>
      </c>
      <c r="C83" t="e">
        <f>INDEX(Tabelle132[Zone],MATCH(Tabelle7[[#This Row],[Gesamtcode]],Tabelle132[Gesamtcode],0))</f>
        <v>#N/A</v>
      </c>
      <c r="D83" t="e">
        <f>INDEX(Tabelle132[Raum],MATCH(Tabelle7[[#This Row],[Gesamtcode]],Tabelle132[Gesamtcode],0))</f>
        <v>#N/A</v>
      </c>
      <c r="E83" t="e">
        <f>INDEX(Tabelle132[Bezeichnung],MATCH(Tabelle7[[#This Row],[Gesamtcode]],Tabelle132[Gesamtcode],0))</f>
        <v>#N/A</v>
      </c>
      <c r="F83" t="e">
        <f>"_"&amp;INDEX(Tabelle132[Geräte/Gewerke],MATCH(Tabelle7[[#This Row],[Gesamtcode]],Tabelle132[Gesamtcode],0))</f>
        <v>#N/A</v>
      </c>
      <c r="G83" t="e">
        <f>INDEX(Tabelle13[Gewerknr.],MATCH(Tabelle7[[#This Row],[Gewerke]],Tabelle13[Hauptgruppe],0))</f>
        <v>#N/A</v>
      </c>
      <c r="H83" t="s">
        <v>277</v>
      </c>
      <c r="I83" t="e">
        <f ca="1">INDEX(Tabelle134[Funktionsbereichsnr.],MATCH(Tabelle7[[#This Row],[Funktionsbereiche]],INDIRECT("Tabelle134["&amp;Tabelle7[[#This Row],[Gewerke]]&amp;"]"),0))</f>
        <v>#N/A</v>
      </c>
      <c r="J83" t="e">
        <f>Tabelle7[[#This Row],[Gesamtcode]]&amp;"_"&amp;Tabelle7[[#This Row],[Zone]]&amp;"_"&amp;Tabelle7[[#This Row],[Raum]]&amp;"_"&amp;Tabelle7[[#This Row],[Bezeichnung]]</f>
        <v>#N/A</v>
      </c>
      <c r="K83">
        <v>11</v>
      </c>
      <c r="L83" t="e">
        <f>Tabelle7[[#This Row],[Hauptgruppe]]&amp;"/-/-"</f>
        <v>#N/A</v>
      </c>
      <c r="M83" t="e">
        <f ca="1">Tabelle7[[#This Row],[Hauptgruppe]]&amp;"/"&amp;Tabelle7[[#This Row],[Mittelgruppe]]&amp;"/-"</f>
        <v>#N/A</v>
      </c>
      <c r="N83" t="e">
        <f ca="1">Tabelle7[[#This Row],[Hauptgruppe]]&amp;"/"&amp;Tabelle7[[#This Row],[Mittelgruppe]]&amp;"/"&amp;Tabelle7[[#This Row],[Untergruppe]]</f>
        <v>#N/A</v>
      </c>
      <c r="O83" t="e">
        <f>INDEX(Tabelle6[Aktor],MATCH(Tabelle7[[#This Row],[Gesamtcode]],Tabelle6[Gesamtcode],0))&amp;" "&amp;INDEX(Tabelle6[Aktorkanal],MATCH(Tabelle7[[#This Row],[Gesamtcode]],Tabelle6[Gesamtcode],0))</f>
        <v>#N/A</v>
      </c>
    </row>
    <row r="84" spans="2:15" x14ac:dyDescent="0.25">
      <c r="B84" t="s">
        <v>259</v>
      </c>
      <c r="C84" t="e">
        <f>INDEX(Tabelle132[Zone],MATCH(Tabelle7[[#This Row],[Gesamtcode]],Tabelle132[Gesamtcode],0))</f>
        <v>#N/A</v>
      </c>
      <c r="D84" t="e">
        <f>INDEX(Tabelle132[Raum],MATCH(Tabelle7[[#This Row],[Gesamtcode]],Tabelle132[Gesamtcode],0))</f>
        <v>#N/A</v>
      </c>
      <c r="E84" t="e">
        <f>INDEX(Tabelle132[Bezeichnung],MATCH(Tabelle7[[#This Row],[Gesamtcode]],Tabelle132[Gesamtcode],0))</f>
        <v>#N/A</v>
      </c>
      <c r="F84" t="e">
        <f>"_"&amp;INDEX(Tabelle132[Geräte/Gewerke],MATCH(Tabelle7[[#This Row],[Gesamtcode]],Tabelle132[Gesamtcode],0))</f>
        <v>#N/A</v>
      </c>
      <c r="G84" t="e">
        <f>INDEX(Tabelle13[Gewerknr.],MATCH(Tabelle7[[#This Row],[Gewerke]],Tabelle13[Hauptgruppe],0))</f>
        <v>#N/A</v>
      </c>
      <c r="H84" t="s">
        <v>277</v>
      </c>
      <c r="I84" t="e">
        <f ca="1">INDEX(Tabelle134[Funktionsbereichsnr.],MATCH(Tabelle7[[#This Row],[Funktionsbereiche]],INDIRECT("Tabelle134["&amp;Tabelle7[[#This Row],[Gewerke]]&amp;"]"),0))</f>
        <v>#N/A</v>
      </c>
      <c r="J84" t="e">
        <f>Tabelle7[[#This Row],[Gesamtcode]]&amp;"_"&amp;Tabelle7[[#This Row],[Zone]]&amp;"_"&amp;Tabelle7[[#This Row],[Raum]]&amp;"_"&amp;Tabelle7[[#This Row],[Bezeichnung]]</f>
        <v>#N/A</v>
      </c>
      <c r="K84">
        <v>12</v>
      </c>
      <c r="L84" t="e">
        <f>Tabelle7[[#This Row],[Hauptgruppe]]&amp;"/-/-"</f>
        <v>#N/A</v>
      </c>
      <c r="M84" t="e">
        <f ca="1">Tabelle7[[#This Row],[Hauptgruppe]]&amp;"/"&amp;Tabelle7[[#This Row],[Mittelgruppe]]&amp;"/-"</f>
        <v>#N/A</v>
      </c>
      <c r="N84" t="e">
        <f ca="1">Tabelle7[[#This Row],[Hauptgruppe]]&amp;"/"&amp;Tabelle7[[#This Row],[Mittelgruppe]]&amp;"/"&amp;Tabelle7[[#This Row],[Untergruppe]]</f>
        <v>#N/A</v>
      </c>
      <c r="O84" t="e">
        <f>INDEX(Tabelle6[Aktor],MATCH(Tabelle7[[#This Row],[Gesamtcode]],Tabelle6[Gesamtcode],0))&amp;" "&amp;INDEX(Tabelle6[Aktorkanal],MATCH(Tabelle7[[#This Row],[Gesamtcode]],Tabelle6[Gesamtcode],0))</f>
        <v>#N/A</v>
      </c>
    </row>
    <row r="85" spans="2:15" x14ac:dyDescent="0.25">
      <c r="B85" t="s">
        <v>260</v>
      </c>
      <c r="C85" t="e">
        <f>INDEX(Tabelle132[Zone],MATCH(Tabelle7[[#This Row],[Gesamtcode]],Tabelle132[Gesamtcode],0))</f>
        <v>#N/A</v>
      </c>
      <c r="D85" t="e">
        <f>INDEX(Tabelle132[Raum],MATCH(Tabelle7[[#This Row],[Gesamtcode]],Tabelle132[Gesamtcode],0))</f>
        <v>#N/A</v>
      </c>
      <c r="E85" t="e">
        <f>INDEX(Tabelle132[Bezeichnung],MATCH(Tabelle7[[#This Row],[Gesamtcode]],Tabelle132[Gesamtcode],0))</f>
        <v>#N/A</v>
      </c>
      <c r="F85" t="e">
        <f>"_"&amp;INDEX(Tabelle132[Geräte/Gewerke],MATCH(Tabelle7[[#This Row],[Gesamtcode]],Tabelle132[Gesamtcode],0))</f>
        <v>#N/A</v>
      </c>
      <c r="G85" t="e">
        <f>INDEX(Tabelle13[Gewerknr.],MATCH(Tabelle7[[#This Row],[Gewerke]],Tabelle13[Hauptgruppe],0))</f>
        <v>#N/A</v>
      </c>
      <c r="H85" t="s">
        <v>277</v>
      </c>
      <c r="I85" t="e">
        <f ca="1">INDEX(Tabelle134[Funktionsbereichsnr.],MATCH(Tabelle7[[#This Row],[Funktionsbereiche]],INDIRECT("Tabelle134["&amp;Tabelle7[[#This Row],[Gewerke]]&amp;"]"),0))</f>
        <v>#N/A</v>
      </c>
      <c r="J85" t="e">
        <f>Tabelle7[[#This Row],[Gesamtcode]]&amp;"_"&amp;Tabelle7[[#This Row],[Zone]]&amp;"_"&amp;Tabelle7[[#This Row],[Raum]]&amp;"_"&amp;Tabelle7[[#This Row],[Bezeichnung]]</f>
        <v>#N/A</v>
      </c>
      <c r="K85">
        <v>13</v>
      </c>
      <c r="L85" t="e">
        <f>Tabelle7[[#This Row],[Hauptgruppe]]&amp;"/-/-"</f>
        <v>#N/A</v>
      </c>
      <c r="M85" t="e">
        <f ca="1">Tabelle7[[#This Row],[Hauptgruppe]]&amp;"/"&amp;Tabelle7[[#This Row],[Mittelgruppe]]&amp;"/-"</f>
        <v>#N/A</v>
      </c>
      <c r="N85" t="e">
        <f ca="1">Tabelle7[[#This Row],[Hauptgruppe]]&amp;"/"&amp;Tabelle7[[#This Row],[Mittelgruppe]]&amp;"/"&amp;Tabelle7[[#This Row],[Untergruppe]]</f>
        <v>#N/A</v>
      </c>
      <c r="O85" t="e">
        <f>INDEX(Tabelle6[Aktor],MATCH(Tabelle7[[#This Row],[Gesamtcode]],Tabelle6[Gesamtcode],0))&amp;" "&amp;INDEX(Tabelle6[Aktorkanal],MATCH(Tabelle7[[#This Row],[Gesamtcode]],Tabelle6[Gesamtcode],0))</f>
        <v>#N/A</v>
      </c>
    </row>
    <row r="86" spans="2:15" x14ac:dyDescent="0.25">
      <c r="B86" t="s">
        <v>261</v>
      </c>
      <c r="C86" t="e">
        <f>INDEX(Tabelle132[Zone],MATCH(Tabelle7[[#This Row],[Gesamtcode]],Tabelle132[Gesamtcode],0))</f>
        <v>#N/A</v>
      </c>
      <c r="D86" t="e">
        <f>INDEX(Tabelle132[Raum],MATCH(Tabelle7[[#This Row],[Gesamtcode]],Tabelle132[Gesamtcode],0))</f>
        <v>#N/A</v>
      </c>
      <c r="E86" t="e">
        <f>INDEX(Tabelle132[Bezeichnung],MATCH(Tabelle7[[#This Row],[Gesamtcode]],Tabelle132[Gesamtcode],0))</f>
        <v>#N/A</v>
      </c>
      <c r="F86" t="e">
        <f>"_"&amp;INDEX(Tabelle132[Geräte/Gewerke],MATCH(Tabelle7[[#This Row],[Gesamtcode]],Tabelle132[Gesamtcode],0))</f>
        <v>#N/A</v>
      </c>
      <c r="G86" t="e">
        <f>INDEX(Tabelle13[Gewerknr.],MATCH(Tabelle7[[#This Row],[Gewerke]],Tabelle13[Hauptgruppe],0))</f>
        <v>#N/A</v>
      </c>
      <c r="H86" t="s">
        <v>277</v>
      </c>
      <c r="I86" t="e">
        <f ca="1">INDEX(Tabelle134[Funktionsbereichsnr.],MATCH(Tabelle7[[#This Row],[Funktionsbereiche]],INDIRECT("Tabelle134["&amp;Tabelle7[[#This Row],[Gewerke]]&amp;"]"),0))</f>
        <v>#N/A</v>
      </c>
      <c r="J86" t="e">
        <f>Tabelle7[[#This Row],[Gesamtcode]]&amp;"_"&amp;Tabelle7[[#This Row],[Zone]]&amp;"_"&amp;Tabelle7[[#This Row],[Raum]]&amp;"_"&amp;Tabelle7[[#This Row],[Bezeichnung]]</f>
        <v>#N/A</v>
      </c>
      <c r="K86">
        <v>14</v>
      </c>
      <c r="L86" t="e">
        <f>Tabelle7[[#This Row],[Hauptgruppe]]&amp;"/-/-"</f>
        <v>#N/A</v>
      </c>
      <c r="M86" t="e">
        <f ca="1">Tabelle7[[#This Row],[Hauptgruppe]]&amp;"/"&amp;Tabelle7[[#This Row],[Mittelgruppe]]&amp;"/-"</f>
        <v>#N/A</v>
      </c>
      <c r="N86" t="e">
        <f ca="1">Tabelle7[[#This Row],[Hauptgruppe]]&amp;"/"&amp;Tabelle7[[#This Row],[Mittelgruppe]]&amp;"/"&amp;Tabelle7[[#This Row],[Untergruppe]]</f>
        <v>#N/A</v>
      </c>
      <c r="O86" t="e">
        <f>INDEX(Tabelle6[Aktor],MATCH(Tabelle7[[#This Row],[Gesamtcode]],Tabelle6[Gesamtcode],0))&amp;" "&amp;INDEX(Tabelle6[Aktorkanal],MATCH(Tabelle7[[#This Row],[Gesamtcode]],Tabelle6[Gesamtcode],0))</f>
        <v>#N/A</v>
      </c>
    </row>
    <row r="87" spans="2:15" x14ac:dyDescent="0.25">
      <c r="B87" t="s">
        <v>262</v>
      </c>
      <c r="C87" t="e">
        <f>INDEX(Tabelle132[Zone],MATCH(Tabelle7[[#This Row],[Gesamtcode]],Tabelle132[Gesamtcode],0))</f>
        <v>#N/A</v>
      </c>
      <c r="D87" t="e">
        <f>INDEX(Tabelle132[Raum],MATCH(Tabelle7[[#This Row],[Gesamtcode]],Tabelle132[Gesamtcode],0))</f>
        <v>#N/A</v>
      </c>
      <c r="E87" t="e">
        <f>INDEX(Tabelle132[Bezeichnung],MATCH(Tabelle7[[#This Row],[Gesamtcode]],Tabelle132[Gesamtcode],0))</f>
        <v>#N/A</v>
      </c>
      <c r="F87" t="e">
        <f>"_"&amp;INDEX(Tabelle132[Geräte/Gewerke],MATCH(Tabelle7[[#This Row],[Gesamtcode]],Tabelle132[Gesamtcode],0))</f>
        <v>#N/A</v>
      </c>
      <c r="G87" t="e">
        <f>INDEX(Tabelle13[Gewerknr.],MATCH(Tabelle7[[#This Row],[Gewerke]],Tabelle13[Hauptgruppe],0))</f>
        <v>#N/A</v>
      </c>
      <c r="H87" t="s">
        <v>277</v>
      </c>
      <c r="I87" t="e">
        <f ca="1">INDEX(Tabelle134[Funktionsbereichsnr.],MATCH(Tabelle7[[#This Row],[Funktionsbereiche]],INDIRECT("Tabelle134["&amp;Tabelle7[[#This Row],[Gewerke]]&amp;"]"),0))</f>
        <v>#N/A</v>
      </c>
      <c r="J87" t="e">
        <f>Tabelle7[[#This Row],[Gesamtcode]]&amp;"_"&amp;Tabelle7[[#This Row],[Zone]]&amp;"_"&amp;Tabelle7[[#This Row],[Raum]]&amp;"_"&amp;Tabelle7[[#This Row],[Bezeichnung]]</f>
        <v>#N/A</v>
      </c>
      <c r="K87">
        <v>15</v>
      </c>
      <c r="L87" t="e">
        <f>Tabelle7[[#This Row],[Hauptgruppe]]&amp;"/-/-"</f>
        <v>#N/A</v>
      </c>
      <c r="M87" t="e">
        <f ca="1">Tabelle7[[#This Row],[Hauptgruppe]]&amp;"/"&amp;Tabelle7[[#This Row],[Mittelgruppe]]&amp;"/-"</f>
        <v>#N/A</v>
      </c>
      <c r="N87" t="e">
        <f ca="1">Tabelle7[[#This Row],[Hauptgruppe]]&amp;"/"&amp;Tabelle7[[#This Row],[Mittelgruppe]]&amp;"/"&amp;Tabelle7[[#This Row],[Untergruppe]]</f>
        <v>#N/A</v>
      </c>
      <c r="O87" t="e">
        <f>INDEX(Tabelle6[Aktor],MATCH(Tabelle7[[#This Row],[Gesamtcode]],Tabelle6[Gesamtcode],0))&amp;" "&amp;INDEX(Tabelle6[Aktorkanal],MATCH(Tabelle7[[#This Row],[Gesamtcode]],Tabelle6[Gesamtcode],0))</f>
        <v>#N/A</v>
      </c>
    </row>
    <row r="88" spans="2:15" x14ac:dyDescent="0.25">
      <c r="B88" t="s">
        <v>263</v>
      </c>
      <c r="C88" t="e">
        <f>INDEX(Tabelle132[Zone],MATCH(Tabelle7[[#This Row],[Gesamtcode]],Tabelle132[Gesamtcode],0))</f>
        <v>#N/A</v>
      </c>
      <c r="D88" t="e">
        <f>INDEX(Tabelle132[Raum],MATCH(Tabelle7[[#This Row],[Gesamtcode]],Tabelle132[Gesamtcode],0))</f>
        <v>#N/A</v>
      </c>
      <c r="E88" t="e">
        <f>INDEX(Tabelle132[Bezeichnung],MATCH(Tabelle7[[#This Row],[Gesamtcode]],Tabelle132[Gesamtcode],0))</f>
        <v>#N/A</v>
      </c>
      <c r="F88" t="e">
        <f>"_"&amp;INDEX(Tabelle132[Geräte/Gewerke],MATCH(Tabelle7[[#This Row],[Gesamtcode]],Tabelle132[Gesamtcode],0))</f>
        <v>#N/A</v>
      </c>
      <c r="G88" t="e">
        <f>INDEX(Tabelle13[Gewerknr.],MATCH(Tabelle7[[#This Row],[Gewerke]],Tabelle13[Hauptgruppe],0))</f>
        <v>#N/A</v>
      </c>
      <c r="H88" t="s">
        <v>277</v>
      </c>
      <c r="I88" t="e">
        <f ca="1">INDEX(Tabelle134[Funktionsbereichsnr.],MATCH(Tabelle7[[#This Row],[Funktionsbereiche]],INDIRECT("Tabelle134["&amp;Tabelle7[[#This Row],[Gewerke]]&amp;"]"),0))</f>
        <v>#N/A</v>
      </c>
      <c r="J88" t="e">
        <f>Tabelle7[[#This Row],[Gesamtcode]]&amp;"_"&amp;Tabelle7[[#This Row],[Zone]]&amp;"_"&amp;Tabelle7[[#This Row],[Raum]]&amp;"_"&amp;Tabelle7[[#This Row],[Bezeichnung]]</f>
        <v>#N/A</v>
      </c>
      <c r="K88">
        <v>16</v>
      </c>
      <c r="L88" t="e">
        <f>Tabelle7[[#This Row],[Hauptgruppe]]&amp;"/-/-"</f>
        <v>#N/A</v>
      </c>
      <c r="M88" t="e">
        <f ca="1">Tabelle7[[#This Row],[Hauptgruppe]]&amp;"/"&amp;Tabelle7[[#This Row],[Mittelgruppe]]&amp;"/-"</f>
        <v>#N/A</v>
      </c>
      <c r="N88" t="e">
        <f ca="1">Tabelle7[[#This Row],[Hauptgruppe]]&amp;"/"&amp;Tabelle7[[#This Row],[Mittelgruppe]]&amp;"/"&amp;Tabelle7[[#This Row],[Untergruppe]]</f>
        <v>#N/A</v>
      </c>
      <c r="O88" t="e">
        <f>INDEX(Tabelle6[Aktor],MATCH(Tabelle7[[#This Row],[Gesamtcode]],Tabelle6[Gesamtcode],0))&amp;" "&amp;INDEX(Tabelle6[Aktorkanal],MATCH(Tabelle7[[#This Row],[Gesamtcode]],Tabelle6[Gesamtcode],0))</f>
        <v>#N/A</v>
      </c>
    </row>
    <row r="89" spans="2:15" x14ac:dyDescent="0.25">
      <c r="B89" t="s">
        <v>264</v>
      </c>
      <c r="C89" t="e">
        <f>INDEX(Tabelle132[Zone],MATCH(Tabelle7[[#This Row],[Gesamtcode]],Tabelle132[Gesamtcode],0))</f>
        <v>#N/A</v>
      </c>
      <c r="D89" t="e">
        <f>INDEX(Tabelle132[Raum],MATCH(Tabelle7[[#This Row],[Gesamtcode]],Tabelle132[Gesamtcode],0))</f>
        <v>#N/A</v>
      </c>
      <c r="E89" t="e">
        <f>INDEX(Tabelle132[Bezeichnung],MATCH(Tabelle7[[#This Row],[Gesamtcode]],Tabelle132[Gesamtcode],0))</f>
        <v>#N/A</v>
      </c>
      <c r="F89" t="e">
        <f>"_"&amp;INDEX(Tabelle132[Geräte/Gewerke],MATCH(Tabelle7[[#This Row],[Gesamtcode]],Tabelle132[Gesamtcode],0))</f>
        <v>#N/A</v>
      </c>
      <c r="G89" t="e">
        <f>INDEX(Tabelle13[Gewerknr.],MATCH(Tabelle7[[#This Row],[Gewerke]],Tabelle13[Hauptgruppe],0))</f>
        <v>#N/A</v>
      </c>
      <c r="H89" t="s">
        <v>277</v>
      </c>
      <c r="I89" t="e">
        <f ca="1">INDEX(Tabelle134[Funktionsbereichsnr.],MATCH(Tabelle7[[#This Row],[Funktionsbereiche]],INDIRECT("Tabelle134["&amp;Tabelle7[[#This Row],[Gewerke]]&amp;"]"),0))</f>
        <v>#N/A</v>
      </c>
      <c r="J89" t="e">
        <f>Tabelle7[[#This Row],[Gesamtcode]]&amp;"_"&amp;Tabelle7[[#This Row],[Zone]]&amp;"_"&amp;Tabelle7[[#This Row],[Raum]]&amp;"_"&amp;Tabelle7[[#This Row],[Bezeichnung]]</f>
        <v>#N/A</v>
      </c>
      <c r="K89">
        <v>17</v>
      </c>
      <c r="L89" t="e">
        <f>Tabelle7[[#This Row],[Hauptgruppe]]&amp;"/-/-"</f>
        <v>#N/A</v>
      </c>
      <c r="M89" t="e">
        <f ca="1">Tabelle7[[#This Row],[Hauptgruppe]]&amp;"/"&amp;Tabelle7[[#This Row],[Mittelgruppe]]&amp;"/-"</f>
        <v>#N/A</v>
      </c>
      <c r="N89" t="e">
        <f ca="1">Tabelle7[[#This Row],[Hauptgruppe]]&amp;"/"&amp;Tabelle7[[#This Row],[Mittelgruppe]]&amp;"/"&amp;Tabelle7[[#This Row],[Untergruppe]]</f>
        <v>#N/A</v>
      </c>
      <c r="O89" t="e">
        <f>INDEX(Tabelle6[Aktor],MATCH(Tabelle7[[#This Row],[Gesamtcode]],Tabelle6[Gesamtcode],0))&amp;" "&amp;INDEX(Tabelle6[Aktorkanal],MATCH(Tabelle7[[#This Row],[Gesamtcode]],Tabelle6[Gesamtcode],0))</f>
        <v>#N/A</v>
      </c>
    </row>
    <row r="90" spans="2:15" x14ac:dyDescent="0.25">
      <c r="B90" t="s">
        <v>265</v>
      </c>
      <c r="C90" t="e">
        <f>INDEX(Tabelle132[Zone],MATCH(Tabelle7[[#This Row],[Gesamtcode]],Tabelle132[Gesamtcode],0))</f>
        <v>#N/A</v>
      </c>
      <c r="D90" t="e">
        <f>INDEX(Tabelle132[Raum],MATCH(Tabelle7[[#This Row],[Gesamtcode]],Tabelle132[Gesamtcode],0))</f>
        <v>#N/A</v>
      </c>
      <c r="E90" t="e">
        <f>INDEX(Tabelle132[Bezeichnung],MATCH(Tabelle7[[#This Row],[Gesamtcode]],Tabelle132[Gesamtcode],0))</f>
        <v>#N/A</v>
      </c>
      <c r="F90" t="e">
        <f>"_"&amp;INDEX(Tabelle132[Geräte/Gewerke],MATCH(Tabelle7[[#This Row],[Gesamtcode]],Tabelle132[Gesamtcode],0))</f>
        <v>#N/A</v>
      </c>
      <c r="G90" t="e">
        <f>INDEX(Tabelle13[Gewerknr.],MATCH(Tabelle7[[#This Row],[Gewerke]],Tabelle13[Hauptgruppe],0))</f>
        <v>#N/A</v>
      </c>
      <c r="H90" t="s">
        <v>277</v>
      </c>
      <c r="I90" t="e">
        <f ca="1">INDEX(Tabelle134[Funktionsbereichsnr.],MATCH(Tabelle7[[#This Row],[Funktionsbereiche]],INDIRECT("Tabelle134["&amp;Tabelle7[[#This Row],[Gewerke]]&amp;"]"),0))</f>
        <v>#N/A</v>
      </c>
      <c r="J90" t="e">
        <f>Tabelle7[[#This Row],[Gesamtcode]]&amp;"_"&amp;Tabelle7[[#This Row],[Zone]]&amp;"_"&amp;Tabelle7[[#This Row],[Raum]]&amp;"_"&amp;Tabelle7[[#This Row],[Bezeichnung]]</f>
        <v>#N/A</v>
      </c>
      <c r="K90">
        <v>18</v>
      </c>
      <c r="L90" t="e">
        <f>Tabelle7[[#This Row],[Hauptgruppe]]&amp;"/-/-"</f>
        <v>#N/A</v>
      </c>
      <c r="M90" t="e">
        <f ca="1">Tabelle7[[#This Row],[Hauptgruppe]]&amp;"/"&amp;Tabelle7[[#This Row],[Mittelgruppe]]&amp;"/-"</f>
        <v>#N/A</v>
      </c>
      <c r="N90" t="e">
        <f ca="1">Tabelle7[[#This Row],[Hauptgruppe]]&amp;"/"&amp;Tabelle7[[#This Row],[Mittelgruppe]]&amp;"/"&amp;Tabelle7[[#This Row],[Untergruppe]]</f>
        <v>#N/A</v>
      </c>
      <c r="O90" t="e">
        <f>INDEX(Tabelle6[Aktor],MATCH(Tabelle7[[#This Row],[Gesamtcode]],Tabelle6[Gesamtcode],0))&amp;" "&amp;INDEX(Tabelle6[Aktorkanal],MATCH(Tabelle7[[#This Row],[Gesamtcode]],Tabelle6[Gesamtcode],0))</f>
        <v>#N/A</v>
      </c>
    </row>
    <row r="91" spans="2:15" x14ac:dyDescent="0.25">
      <c r="B91" t="s">
        <v>266</v>
      </c>
      <c r="C91" t="e">
        <f>INDEX(Tabelle132[Zone],MATCH(Tabelle7[[#This Row],[Gesamtcode]],Tabelle132[Gesamtcode],0))</f>
        <v>#N/A</v>
      </c>
      <c r="D91" t="e">
        <f>INDEX(Tabelle132[Raum],MATCH(Tabelle7[[#This Row],[Gesamtcode]],Tabelle132[Gesamtcode],0))</f>
        <v>#N/A</v>
      </c>
      <c r="E91" t="e">
        <f>INDEX(Tabelle132[Bezeichnung],MATCH(Tabelle7[[#This Row],[Gesamtcode]],Tabelle132[Gesamtcode],0))</f>
        <v>#N/A</v>
      </c>
      <c r="F91" t="e">
        <f>"_"&amp;INDEX(Tabelle132[Geräte/Gewerke],MATCH(Tabelle7[[#This Row],[Gesamtcode]],Tabelle132[Gesamtcode],0))</f>
        <v>#N/A</v>
      </c>
      <c r="G91" t="e">
        <f>INDEX(Tabelle13[Gewerknr.],MATCH(Tabelle7[[#This Row],[Gewerke]],Tabelle13[Hauptgruppe],0))</f>
        <v>#N/A</v>
      </c>
      <c r="H91" t="s">
        <v>277</v>
      </c>
      <c r="I91" t="e">
        <f ca="1">INDEX(Tabelle134[Funktionsbereichsnr.],MATCH(Tabelle7[[#This Row],[Funktionsbereiche]],INDIRECT("Tabelle134["&amp;Tabelle7[[#This Row],[Gewerke]]&amp;"]"),0))</f>
        <v>#N/A</v>
      </c>
      <c r="J91" t="e">
        <f>Tabelle7[[#This Row],[Gesamtcode]]&amp;"_"&amp;Tabelle7[[#This Row],[Zone]]&amp;"_"&amp;Tabelle7[[#This Row],[Raum]]&amp;"_"&amp;Tabelle7[[#This Row],[Bezeichnung]]</f>
        <v>#N/A</v>
      </c>
      <c r="K91">
        <v>2</v>
      </c>
      <c r="L91" t="e">
        <f>Tabelle7[[#This Row],[Hauptgruppe]]&amp;"/-/-"</f>
        <v>#N/A</v>
      </c>
      <c r="M91" t="e">
        <f ca="1">Tabelle7[[#This Row],[Hauptgruppe]]&amp;"/"&amp;Tabelle7[[#This Row],[Mittelgruppe]]&amp;"/-"</f>
        <v>#N/A</v>
      </c>
      <c r="N91" t="e">
        <f ca="1">Tabelle7[[#This Row],[Hauptgruppe]]&amp;"/"&amp;Tabelle7[[#This Row],[Mittelgruppe]]&amp;"/"&amp;Tabelle7[[#This Row],[Untergruppe]]</f>
        <v>#N/A</v>
      </c>
      <c r="O91" t="e">
        <f>INDEX(Tabelle6[Aktor],MATCH(Tabelle7[[#This Row],[Gesamtcode]],Tabelle6[Gesamtcode],0))&amp;" "&amp;INDEX(Tabelle6[Aktorkanal],MATCH(Tabelle7[[#This Row],[Gesamtcode]],Tabelle6[Gesamtcode],0))</f>
        <v>#N/A</v>
      </c>
    </row>
    <row r="92" spans="2:15" x14ac:dyDescent="0.25">
      <c r="B92" t="s">
        <v>267</v>
      </c>
      <c r="C92" t="e">
        <f>INDEX(Tabelle132[Zone],MATCH(Tabelle7[[#This Row],[Gesamtcode]],Tabelle132[Gesamtcode],0))</f>
        <v>#N/A</v>
      </c>
      <c r="D92" t="e">
        <f>INDEX(Tabelle132[Raum],MATCH(Tabelle7[[#This Row],[Gesamtcode]],Tabelle132[Gesamtcode],0))</f>
        <v>#N/A</v>
      </c>
      <c r="E92" t="e">
        <f>INDEX(Tabelle132[Bezeichnung],MATCH(Tabelle7[[#This Row],[Gesamtcode]],Tabelle132[Gesamtcode],0))</f>
        <v>#N/A</v>
      </c>
      <c r="F92" t="e">
        <f>"_"&amp;INDEX(Tabelle132[Geräte/Gewerke],MATCH(Tabelle7[[#This Row],[Gesamtcode]],Tabelle132[Gesamtcode],0))</f>
        <v>#N/A</v>
      </c>
      <c r="G92" t="e">
        <f>INDEX(Tabelle13[Gewerknr.],MATCH(Tabelle7[[#This Row],[Gewerke]],Tabelle13[Hauptgruppe],0))</f>
        <v>#N/A</v>
      </c>
      <c r="H92" t="s">
        <v>277</v>
      </c>
      <c r="I92" t="e">
        <f ca="1">INDEX(Tabelle134[Funktionsbereichsnr.],MATCH(Tabelle7[[#This Row],[Funktionsbereiche]],INDIRECT("Tabelle134["&amp;Tabelle7[[#This Row],[Gewerke]]&amp;"]"),0))</f>
        <v>#N/A</v>
      </c>
      <c r="J92" t="e">
        <f>Tabelle7[[#This Row],[Gesamtcode]]&amp;"_"&amp;Tabelle7[[#This Row],[Zone]]&amp;"_"&amp;Tabelle7[[#This Row],[Raum]]&amp;"_"&amp;Tabelle7[[#This Row],[Bezeichnung]]</f>
        <v>#N/A</v>
      </c>
      <c r="K92">
        <v>3</v>
      </c>
      <c r="L92" t="e">
        <f>Tabelle7[[#This Row],[Hauptgruppe]]&amp;"/-/-"</f>
        <v>#N/A</v>
      </c>
      <c r="M92" t="e">
        <f ca="1">Tabelle7[[#This Row],[Hauptgruppe]]&amp;"/"&amp;Tabelle7[[#This Row],[Mittelgruppe]]&amp;"/-"</f>
        <v>#N/A</v>
      </c>
      <c r="N92" t="e">
        <f ca="1">Tabelle7[[#This Row],[Hauptgruppe]]&amp;"/"&amp;Tabelle7[[#This Row],[Mittelgruppe]]&amp;"/"&amp;Tabelle7[[#This Row],[Untergruppe]]</f>
        <v>#N/A</v>
      </c>
      <c r="O92" t="e">
        <f>INDEX(Tabelle6[Aktor],MATCH(Tabelle7[[#This Row],[Gesamtcode]],Tabelle6[Gesamtcode],0))&amp;" "&amp;INDEX(Tabelle6[Aktorkanal],MATCH(Tabelle7[[#This Row],[Gesamtcode]],Tabelle6[Gesamtcode],0))</f>
        <v>#N/A</v>
      </c>
    </row>
    <row r="93" spans="2:15" x14ac:dyDescent="0.25">
      <c r="B93" t="s">
        <v>268</v>
      </c>
      <c r="C93" t="e">
        <f>INDEX(Tabelle132[Zone],MATCH(Tabelle7[[#This Row],[Gesamtcode]],Tabelle132[Gesamtcode],0))</f>
        <v>#N/A</v>
      </c>
      <c r="D93" t="e">
        <f>INDEX(Tabelle132[Raum],MATCH(Tabelle7[[#This Row],[Gesamtcode]],Tabelle132[Gesamtcode],0))</f>
        <v>#N/A</v>
      </c>
      <c r="E93" t="e">
        <f>INDEX(Tabelle132[Bezeichnung],MATCH(Tabelle7[[#This Row],[Gesamtcode]],Tabelle132[Gesamtcode],0))</f>
        <v>#N/A</v>
      </c>
      <c r="F93" t="e">
        <f>"_"&amp;INDEX(Tabelle132[Geräte/Gewerke],MATCH(Tabelle7[[#This Row],[Gesamtcode]],Tabelle132[Gesamtcode],0))</f>
        <v>#N/A</v>
      </c>
      <c r="G93" t="e">
        <f>INDEX(Tabelle13[Gewerknr.],MATCH(Tabelle7[[#This Row],[Gewerke]],Tabelle13[Hauptgruppe],0))</f>
        <v>#N/A</v>
      </c>
      <c r="H93" t="s">
        <v>277</v>
      </c>
      <c r="I93" t="e">
        <f ca="1">INDEX(Tabelle134[Funktionsbereichsnr.],MATCH(Tabelle7[[#This Row],[Funktionsbereiche]],INDIRECT("Tabelle134["&amp;Tabelle7[[#This Row],[Gewerke]]&amp;"]"),0))</f>
        <v>#N/A</v>
      </c>
      <c r="J93" t="e">
        <f>Tabelle7[[#This Row],[Gesamtcode]]&amp;"_"&amp;Tabelle7[[#This Row],[Zone]]&amp;"_"&amp;Tabelle7[[#This Row],[Raum]]&amp;"_"&amp;Tabelle7[[#This Row],[Bezeichnung]]</f>
        <v>#N/A</v>
      </c>
      <c r="K93">
        <v>4</v>
      </c>
      <c r="L93" t="e">
        <f>Tabelle7[[#This Row],[Hauptgruppe]]&amp;"/-/-"</f>
        <v>#N/A</v>
      </c>
      <c r="M93" t="e">
        <f ca="1">Tabelle7[[#This Row],[Hauptgruppe]]&amp;"/"&amp;Tabelle7[[#This Row],[Mittelgruppe]]&amp;"/-"</f>
        <v>#N/A</v>
      </c>
      <c r="N93" t="e">
        <f ca="1">Tabelle7[[#This Row],[Hauptgruppe]]&amp;"/"&amp;Tabelle7[[#This Row],[Mittelgruppe]]&amp;"/"&amp;Tabelle7[[#This Row],[Untergruppe]]</f>
        <v>#N/A</v>
      </c>
      <c r="O93" t="e">
        <f>INDEX(Tabelle6[Aktor],MATCH(Tabelle7[[#This Row],[Gesamtcode]],Tabelle6[Gesamtcode],0))&amp;" "&amp;INDEX(Tabelle6[Aktorkanal],MATCH(Tabelle7[[#This Row],[Gesamtcode]],Tabelle6[Gesamtcode],0))</f>
        <v>#N/A</v>
      </c>
    </row>
    <row r="94" spans="2:15" x14ac:dyDescent="0.25">
      <c r="B94" t="s">
        <v>269</v>
      </c>
      <c r="C94" t="e">
        <f>INDEX(Tabelle132[Zone],MATCH(Tabelle7[[#This Row],[Gesamtcode]],Tabelle132[Gesamtcode],0))</f>
        <v>#N/A</v>
      </c>
      <c r="D94" t="e">
        <f>INDEX(Tabelle132[Raum],MATCH(Tabelle7[[#This Row],[Gesamtcode]],Tabelle132[Gesamtcode],0))</f>
        <v>#N/A</v>
      </c>
      <c r="E94" t="e">
        <f>INDEX(Tabelle132[Bezeichnung],MATCH(Tabelle7[[#This Row],[Gesamtcode]],Tabelle132[Gesamtcode],0))</f>
        <v>#N/A</v>
      </c>
      <c r="F94" t="e">
        <f>"_"&amp;INDEX(Tabelle132[Geräte/Gewerke],MATCH(Tabelle7[[#This Row],[Gesamtcode]],Tabelle132[Gesamtcode],0))</f>
        <v>#N/A</v>
      </c>
      <c r="G94" t="e">
        <f>INDEX(Tabelle13[Gewerknr.],MATCH(Tabelle7[[#This Row],[Gewerke]],Tabelle13[Hauptgruppe],0))</f>
        <v>#N/A</v>
      </c>
      <c r="H94" t="s">
        <v>277</v>
      </c>
      <c r="I94" t="e">
        <f ca="1">INDEX(Tabelle134[Funktionsbereichsnr.],MATCH(Tabelle7[[#This Row],[Funktionsbereiche]],INDIRECT("Tabelle134["&amp;Tabelle7[[#This Row],[Gewerke]]&amp;"]"),0))</f>
        <v>#N/A</v>
      </c>
      <c r="J94" t="e">
        <f>Tabelle7[[#This Row],[Gesamtcode]]&amp;"_"&amp;Tabelle7[[#This Row],[Zone]]&amp;"_"&amp;Tabelle7[[#This Row],[Raum]]&amp;"_"&amp;Tabelle7[[#This Row],[Bezeichnung]]</f>
        <v>#N/A</v>
      </c>
      <c r="K94">
        <v>5</v>
      </c>
      <c r="L94" t="e">
        <f>Tabelle7[[#This Row],[Hauptgruppe]]&amp;"/-/-"</f>
        <v>#N/A</v>
      </c>
      <c r="M94" t="e">
        <f ca="1">Tabelle7[[#This Row],[Hauptgruppe]]&amp;"/"&amp;Tabelle7[[#This Row],[Mittelgruppe]]&amp;"/-"</f>
        <v>#N/A</v>
      </c>
      <c r="N94" t="e">
        <f ca="1">Tabelle7[[#This Row],[Hauptgruppe]]&amp;"/"&amp;Tabelle7[[#This Row],[Mittelgruppe]]&amp;"/"&amp;Tabelle7[[#This Row],[Untergruppe]]</f>
        <v>#N/A</v>
      </c>
      <c r="O94" t="e">
        <f>INDEX(Tabelle6[Aktor],MATCH(Tabelle7[[#This Row],[Gesamtcode]],Tabelle6[Gesamtcode],0))&amp;" "&amp;INDEX(Tabelle6[Aktorkanal],MATCH(Tabelle7[[#This Row],[Gesamtcode]],Tabelle6[Gesamtcode],0))</f>
        <v>#N/A</v>
      </c>
    </row>
    <row r="95" spans="2:15" x14ac:dyDescent="0.25">
      <c r="B95" t="s">
        <v>270</v>
      </c>
      <c r="C95" t="e">
        <f>INDEX(Tabelle132[Zone],MATCH(Tabelle7[[#This Row],[Gesamtcode]],Tabelle132[Gesamtcode],0))</f>
        <v>#N/A</v>
      </c>
      <c r="D95" t="e">
        <f>INDEX(Tabelle132[Raum],MATCH(Tabelle7[[#This Row],[Gesamtcode]],Tabelle132[Gesamtcode],0))</f>
        <v>#N/A</v>
      </c>
      <c r="E95" t="e">
        <f>INDEX(Tabelle132[Bezeichnung],MATCH(Tabelle7[[#This Row],[Gesamtcode]],Tabelle132[Gesamtcode],0))</f>
        <v>#N/A</v>
      </c>
      <c r="F95" t="e">
        <f>"_"&amp;INDEX(Tabelle132[Geräte/Gewerke],MATCH(Tabelle7[[#This Row],[Gesamtcode]],Tabelle132[Gesamtcode],0))</f>
        <v>#N/A</v>
      </c>
      <c r="G95" t="e">
        <f>INDEX(Tabelle13[Gewerknr.],MATCH(Tabelle7[[#This Row],[Gewerke]],Tabelle13[Hauptgruppe],0))</f>
        <v>#N/A</v>
      </c>
      <c r="H95" t="s">
        <v>277</v>
      </c>
      <c r="I95" t="e">
        <f ca="1">INDEX(Tabelle134[Funktionsbereichsnr.],MATCH(Tabelle7[[#This Row],[Funktionsbereiche]],INDIRECT("Tabelle134["&amp;Tabelle7[[#This Row],[Gewerke]]&amp;"]"),0))</f>
        <v>#N/A</v>
      </c>
      <c r="J95" t="e">
        <f>Tabelle7[[#This Row],[Gesamtcode]]&amp;"_"&amp;Tabelle7[[#This Row],[Zone]]&amp;"_"&amp;Tabelle7[[#This Row],[Raum]]&amp;"_"&amp;Tabelle7[[#This Row],[Bezeichnung]]</f>
        <v>#N/A</v>
      </c>
      <c r="K95">
        <v>6</v>
      </c>
      <c r="L95" t="e">
        <f>Tabelle7[[#This Row],[Hauptgruppe]]&amp;"/-/-"</f>
        <v>#N/A</v>
      </c>
      <c r="M95" t="e">
        <f ca="1">Tabelle7[[#This Row],[Hauptgruppe]]&amp;"/"&amp;Tabelle7[[#This Row],[Mittelgruppe]]&amp;"/-"</f>
        <v>#N/A</v>
      </c>
      <c r="N95" t="e">
        <f ca="1">Tabelle7[[#This Row],[Hauptgruppe]]&amp;"/"&amp;Tabelle7[[#This Row],[Mittelgruppe]]&amp;"/"&amp;Tabelle7[[#This Row],[Untergruppe]]</f>
        <v>#N/A</v>
      </c>
      <c r="O95" t="e">
        <f>INDEX(Tabelle6[Aktor],MATCH(Tabelle7[[#This Row],[Gesamtcode]],Tabelle6[Gesamtcode],0))&amp;" "&amp;INDEX(Tabelle6[Aktorkanal],MATCH(Tabelle7[[#This Row],[Gesamtcode]],Tabelle6[Gesamtcode],0))</f>
        <v>#N/A</v>
      </c>
    </row>
    <row r="96" spans="2:15" x14ac:dyDescent="0.25">
      <c r="B96" t="s">
        <v>271</v>
      </c>
      <c r="C96" t="e">
        <f>INDEX(Tabelle132[Zone],MATCH(Tabelle7[[#This Row],[Gesamtcode]],Tabelle132[Gesamtcode],0))</f>
        <v>#N/A</v>
      </c>
      <c r="D96" t="e">
        <f>INDEX(Tabelle132[Raum],MATCH(Tabelle7[[#This Row],[Gesamtcode]],Tabelle132[Gesamtcode],0))</f>
        <v>#N/A</v>
      </c>
      <c r="E96" t="e">
        <f>INDEX(Tabelle132[Bezeichnung],MATCH(Tabelle7[[#This Row],[Gesamtcode]],Tabelle132[Gesamtcode],0))</f>
        <v>#N/A</v>
      </c>
      <c r="F96" t="e">
        <f>"_"&amp;INDEX(Tabelle132[Geräte/Gewerke],MATCH(Tabelle7[[#This Row],[Gesamtcode]],Tabelle132[Gesamtcode],0))</f>
        <v>#N/A</v>
      </c>
      <c r="G96" t="e">
        <f>INDEX(Tabelle13[Gewerknr.],MATCH(Tabelle7[[#This Row],[Gewerke]],Tabelle13[Hauptgruppe],0))</f>
        <v>#N/A</v>
      </c>
      <c r="H96" t="s">
        <v>277</v>
      </c>
      <c r="I96" t="e">
        <f ca="1">INDEX(Tabelle134[Funktionsbereichsnr.],MATCH(Tabelle7[[#This Row],[Funktionsbereiche]],INDIRECT("Tabelle134["&amp;Tabelle7[[#This Row],[Gewerke]]&amp;"]"),0))</f>
        <v>#N/A</v>
      </c>
      <c r="J96" t="e">
        <f>Tabelle7[[#This Row],[Gesamtcode]]&amp;"_"&amp;Tabelle7[[#This Row],[Zone]]&amp;"_"&amp;Tabelle7[[#This Row],[Raum]]&amp;"_"&amp;Tabelle7[[#This Row],[Bezeichnung]]</f>
        <v>#N/A</v>
      </c>
      <c r="K96">
        <v>7</v>
      </c>
      <c r="L96" t="e">
        <f>Tabelle7[[#This Row],[Hauptgruppe]]&amp;"/-/-"</f>
        <v>#N/A</v>
      </c>
      <c r="M96" t="e">
        <f ca="1">Tabelle7[[#This Row],[Hauptgruppe]]&amp;"/"&amp;Tabelle7[[#This Row],[Mittelgruppe]]&amp;"/-"</f>
        <v>#N/A</v>
      </c>
      <c r="N96" t="e">
        <f ca="1">Tabelle7[[#This Row],[Hauptgruppe]]&amp;"/"&amp;Tabelle7[[#This Row],[Mittelgruppe]]&amp;"/"&amp;Tabelle7[[#This Row],[Untergruppe]]</f>
        <v>#N/A</v>
      </c>
      <c r="O96" t="e">
        <f>INDEX(Tabelle6[Aktor],MATCH(Tabelle7[[#This Row],[Gesamtcode]],Tabelle6[Gesamtcode],0))&amp;" "&amp;INDEX(Tabelle6[Aktorkanal],MATCH(Tabelle7[[#This Row],[Gesamtcode]],Tabelle6[Gesamtcode],0))</f>
        <v>#N/A</v>
      </c>
    </row>
    <row r="97" spans="2:15" x14ac:dyDescent="0.25">
      <c r="B97" t="s">
        <v>272</v>
      </c>
      <c r="C97" t="e">
        <f>INDEX(Tabelle132[Zone],MATCH(Tabelle7[[#This Row],[Gesamtcode]],Tabelle132[Gesamtcode],0))</f>
        <v>#N/A</v>
      </c>
      <c r="D97" t="e">
        <f>INDEX(Tabelle132[Raum],MATCH(Tabelle7[[#This Row],[Gesamtcode]],Tabelle132[Gesamtcode],0))</f>
        <v>#N/A</v>
      </c>
      <c r="E97" t="e">
        <f>INDEX(Tabelle132[Bezeichnung],MATCH(Tabelle7[[#This Row],[Gesamtcode]],Tabelle132[Gesamtcode],0))</f>
        <v>#N/A</v>
      </c>
      <c r="F97" t="e">
        <f>"_"&amp;INDEX(Tabelle132[Geräte/Gewerke],MATCH(Tabelle7[[#This Row],[Gesamtcode]],Tabelle132[Gesamtcode],0))</f>
        <v>#N/A</v>
      </c>
      <c r="G97" t="e">
        <f>INDEX(Tabelle13[Gewerknr.],MATCH(Tabelle7[[#This Row],[Gewerke]],Tabelle13[Hauptgruppe],0))</f>
        <v>#N/A</v>
      </c>
      <c r="H97" t="s">
        <v>277</v>
      </c>
      <c r="I97" t="e">
        <f ca="1">INDEX(Tabelle134[Funktionsbereichsnr.],MATCH(Tabelle7[[#This Row],[Funktionsbereiche]],INDIRECT("Tabelle134["&amp;Tabelle7[[#This Row],[Gewerke]]&amp;"]"),0))</f>
        <v>#N/A</v>
      </c>
      <c r="J97" t="e">
        <f>Tabelle7[[#This Row],[Gesamtcode]]&amp;"_"&amp;Tabelle7[[#This Row],[Zone]]&amp;"_"&amp;Tabelle7[[#This Row],[Raum]]&amp;"_"&amp;Tabelle7[[#This Row],[Bezeichnung]]</f>
        <v>#N/A</v>
      </c>
      <c r="K97">
        <v>8</v>
      </c>
      <c r="L97" t="e">
        <f>Tabelle7[[#This Row],[Hauptgruppe]]&amp;"/-/-"</f>
        <v>#N/A</v>
      </c>
      <c r="M97" t="e">
        <f ca="1">Tabelle7[[#This Row],[Hauptgruppe]]&amp;"/"&amp;Tabelle7[[#This Row],[Mittelgruppe]]&amp;"/-"</f>
        <v>#N/A</v>
      </c>
      <c r="N97" t="e">
        <f ca="1">Tabelle7[[#This Row],[Hauptgruppe]]&amp;"/"&amp;Tabelle7[[#This Row],[Mittelgruppe]]&amp;"/"&amp;Tabelle7[[#This Row],[Untergruppe]]</f>
        <v>#N/A</v>
      </c>
      <c r="O97" t="e">
        <f>INDEX(Tabelle6[Aktor],MATCH(Tabelle7[[#This Row],[Gesamtcode]],Tabelle6[Gesamtcode],0))&amp;" "&amp;INDEX(Tabelle6[Aktorkanal],MATCH(Tabelle7[[#This Row],[Gesamtcode]],Tabelle6[Gesamtcode],0))</f>
        <v>#N/A</v>
      </c>
    </row>
    <row r="98" spans="2:15" x14ac:dyDescent="0.25">
      <c r="B98" t="s">
        <v>273</v>
      </c>
      <c r="C98" t="e">
        <f>INDEX(Tabelle132[Zone],MATCH(Tabelle7[[#This Row],[Gesamtcode]],Tabelle132[Gesamtcode],0))</f>
        <v>#N/A</v>
      </c>
      <c r="D98" t="e">
        <f>INDEX(Tabelle132[Raum],MATCH(Tabelle7[[#This Row],[Gesamtcode]],Tabelle132[Gesamtcode],0))</f>
        <v>#N/A</v>
      </c>
      <c r="E98" t="e">
        <f>INDEX(Tabelle132[Bezeichnung],MATCH(Tabelle7[[#This Row],[Gesamtcode]],Tabelle132[Gesamtcode],0))</f>
        <v>#N/A</v>
      </c>
      <c r="F98" t="e">
        <f>"_"&amp;INDEX(Tabelle132[Geräte/Gewerke],MATCH(Tabelle7[[#This Row],[Gesamtcode]],Tabelle132[Gesamtcode],0))</f>
        <v>#N/A</v>
      </c>
      <c r="G98" t="e">
        <f>INDEX(Tabelle13[Gewerknr.],MATCH(Tabelle7[[#This Row],[Gewerke]],Tabelle13[Hauptgruppe],0))</f>
        <v>#N/A</v>
      </c>
      <c r="H98" t="s">
        <v>277</v>
      </c>
      <c r="I98" t="e">
        <f ca="1">INDEX(Tabelle134[Funktionsbereichsnr.],MATCH(Tabelle7[[#This Row],[Funktionsbereiche]],INDIRECT("Tabelle134["&amp;Tabelle7[[#This Row],[Gewerke]]&amp;"]"),0))</f>
        <v>#N/A</v>
      </c>
      <c r="J98" t="e">
        <f>Tabelle7[[#This Row],[Gesamtcode]]&amp;"_"&amp;Tabelle7[[#This Row],[Zone]]&amp;"_"&amp;Tabelle7[[#This Row],[Raum]]&amp;"_"&amp;Tabelle7[[#This Row],[Bezeichnung]]</f>
        <v>#N/A</v>
      </c>
      <c r="K98">
        <v>9</v>
      </c>
      <c r="L98" t="e">
        <f>Tabelle7[[#This Row],[Hauptgruppe]]&amp;"/-/-"</f>
        <v>#N/A</v>
      </c>
      <c r="M98" t="e">
        <f ca="1">Tabelle7[[#This Row],[Hauptgruppe]]&amp;"/"&amp;Tabelle7[[#This Row],[Mittelgruppe]]&amp;"/-"</f>
        <v>#N/A</v>
      </c>
      <c r="N98" t="e">
        <f ca="1">Tabelle7[[#This Row],[Hauptgruppe]]&amp;"/"&amp;Tabelle7[[#This Row],[Mittelgruppe]]&amp;"/"&amp;Tabelle7[[#This Row],[Untergruppe]]</f>
        <v>#N/A</v>
      </c>
      <c r="O98" t="e">
        <f>INDEX(Tabelle6[Aktor],MATCH(Tabelle7[[#This Row],[Gesamtcode]],Tabelle6[Gesamtcode],0))&amp;" "&amp;INDEX(Tabelle6[Aktorkanal],MATCH(Tabelle7[[#This Row],[Gesamtcode]],Tabelle6[Gesamtcode],0))</f>
        <v>#N/A</v>
      </c>
    </row>
    <row r="99" spans="2:15" x14ac:dyDescent="0.25">
      <c r="B99" t="s">
        <v>254</v>
      </c>
      <c r="C99" t="e">
        <f>INDEX(Tabelle132[Zone],MATCH(Tabelle7[[#This Row],[Gesamtcode]],Tabelle132[Gesamtcode],0))</f>
        <v>#N/A</v>
      </c>
      <c r="D99" t="e">
        <f>INDEX(Tabelle132[Raum],MATCH(Tabelle7[[#This Row],[Gesamtcode]],Tabelle132[Gesamtcode],0))</f>
        <v>#N/A</v>
      </c>
      <c r="E99" t="e">
        <f>INDEX(Tabelle132[Bezeichnung],MATCH(Tabelle7[[#This Row],[Gesamtcode]],Tabelle132[Gesamtcode],0))</f>
        <v>#N/A</v>
      </c>
      <c r="F99" t="e">
        <f>"_"&amp;INDEX(Tabelle132[Geräte/Gewerke],MATCH(Tabelle7[[#This Row],[Gesamtcode]],Tabelle132[Gesamtcode],0))</f>
        <v>#N/A</v>
      </c>
      <c r="G99" t="e">
        <f>INDEX(Tabelle13[Gewerknr.],MATCH(Tabelle7[[#This Row],[Gewerke]],Tabelle13[Hauptgruppe],0))</f>
        <v>#N/A</v>
      </c>
      <c r="H99" t="s">
        <v>278</v>
      </c>
      <c r="I99" t="e">
        <f ca="1">INDEX(Tabelle134[Funktionsbereichsnr.],MATCH(Tabelle7[[#This Row],[Funktionsbereiche]],INDIRECT("Tabelle134["&amp;Tabelle7[[#This Row],[Gewerke]]&amp;"]"),0))</f>
        <v>#N/A</v>
      </c>
      <c r="J99" t="e">
        <f>Tabelle7[[#This Row],[Gesamtcode]]&amp;"_"&amp;Tabelle7[[#This Row],[Zone]]&amp;"_"&amp;Tabelle7[[#This Row],[Raum]]&amp;"_"&amp;Tabelle7[[#This Row],[Bezeichnung]]</f>
        <v>#N/A</v>
      </c>
      <c r="K99">
        <v>0</v>
      </c>
      <c r="L99" t="e">
        <f>Tabelle7[[#This Row],[Hauptgruppe]]&amp;"/-/-"</f>
        <v>#N/A</v>
      </c>
      <c r="M99" t="e">
        <f ca="1">Tabelle7[[#This Row],[Hauptgruppe]]&amp;"/"&amp;Tabelle7[[#This Row],[Mittelgruppe]]&amp;"/-"</f>
        <v>#N/A</v>
      </c>
      <c r="N99" t="e">
        <f ca="1">Tabelle7[[#This Row],[Hauptgruppe]]&amp;"/"&amp;Tabelle7[[#This Row],[Mittelgruppe]]&amp;"/"&amp;Tabelle7[[#This Row],[Untergruppe]]</f>
        <v>#N/A</v>
      </c>
      <c r="O99" t="e">
        <f>INDEX(Tabelle6[Aktor],MATCH(Tabelle7[[#This Row],[Gesamtcode]],Tabelle6[Gesamtcode],0))&amp;" "&amp;INDEX(Tabelle6[Aktorkanal],MATCH(Tabelle7[[#This Row],[Gesamtcode]],Tabelle6[Gesamtcode],0))</f>
        <v>#N/A</v>
      </c>
    </row>
    <row r="100" spans="2:15" x14ac:dyDescent="0.25">
      <c r="B100" t="s">
        <v>256</v>
      </c>
      <c r="C100" t="e">
        <f>INDEX(Tabelle132[Zone],MATCH(Tabelle7[[#This Row],[Gesamtcode]],Tabelle132[Gesamtcode],0))</f>
        <v>#N/A</v>
      </c>
      <c r="D100" t="e">
        <f>INDEX(Tabelle132[Raum],MATCH(Tabelle7[[#This Row],[Gesamtcode]],Tabelle132[Gesamtcode],0))</f>
        <v>#N/A</v>
      </c>
      <c r="E100" t="e">
        <f>INDEX(Tabelle132[Bezeichnung],MATCH(Tabelle7[[#This Row],[Gesamtcode]],Tabelle132[Gesamtcode],0))</f>
        <v>#N/A</v>
      </c>
      <c r="F100" t="e">
        <f>"_"&amp;INDEX(Tabelle132[Geräte/Gewerke],MATCH(Tabelle7[[#This Row],[Gesamtcode]],Tabelle132[Gesamtcode],0))</f>
        <v>#N/A</v>
      </c>
      <c r="G100" t="e">
        <f>INDEX(Tabelle13[Gewerknr.],MATCH(Tabelle7[[#This Row],[Gewerke]],Tabelle13[Hauptgruppe],0))</f>
        <v>#N/A</v>
      </c>
      <c r="H100" t="s">
        <v>278</v>
      </c>
      <c r="I100" t="e">
        <f ca="1">INDEX(Tabelle134[Funktionsbereichsnr.],MATCH(Tabelle7[[#This Row],[Funktionsbereiche]],INDIRECT("Tabelle134["&amp;Tabelle7[[#This Row],[Gewerke]]&amp;"]"),0))</f>
        <v>#N/A</v>
      </c>
      <c r="J100" t="e">
        <f>Tabelle7[[#This Row],[Gesamtcode]]&amp;"_"&amp;Tabelle7[[#This Row],[Zone]]&amp;"_"&amp;Tabelle7[[#This Row],[Raum]]&amp;"_"&amp;Tabelle7[[#This Row],[Bezeichnung]]</f>
        <v>#N/A</v>
      </c>
      <c r="K100">
        <v>1</v>
      </c>
      <c r="L100" t="e">
        <f>Tabelle7[[#This Row],[Hauptgruppe]]&amp;"/-/-"</f>
        <v>#N/A</v>
      </c>
      <c r="M100" t="e">
        <f ca="1">Tabelle7[[#This Row],[Hauptgruppe]]&amp;"/"&amp;Tabelle7[[#This Row],[Mittelgruppe]]&amp;"/-"</f>
        <v>#N/A</v>
      </c>
      <c r="N100" t="e">
        <f ca="1">Tabelle7[[#This Row],[Hauptgruppe]]&amp;"/"&amp;Tabelle7[[#This Row],[Mittelgruppe]]&amp;"/"&amp;Tabelle7[[#This Row],[Untergruppe]]</f>
        <v>#N/A</v>
      </c>
      <c r="O100" t="e">
        <f>INDEX(Tabelle6[Aktor],MATCH(Tabelle7[[#This Row],[Gesamtcode]],Tabelle6[Gesamtcode],0))&amp;" "&amp;INDEX(Tabelle6[Aktorkanal],MATCH(Tabelle7[[#This Row],[Gesamtcode]],Tabelle6[Gesamtcode],0))</f>
        <v>#N/A</v>
      </c>
    </row>
    <row r="101" spans="2:15" x14ac:dyDescent="0.25">
      <c r="B101" t="s">
        <v>257</v>
      </c>
      <c r="C101" t="e">
        <f>INDEX(Tabelle132[Zone],MATCH(Tabelle7[[#This Row],[Gesamtcode]],Tabelle132[Gesamtcode],0))</f>
        <v>#N/A</v>
      </c>
      <c r="D101" t="e">
        <f>INDEX(Tabelle132[Raum],MATCH(Tabelle7[[#This Row],[Gesamtcode]],Tabelle132[Gesamtcode],0))</f>
        <v>#N/A</v>
      </c>
      <c r="E101" t="e">
        <f>INDEX(Tabelle132[Bezeichnung],MATCH(Tabelle7[[#This Row],[Gesamtcode]],Tabelle132[Gesamtcode],0))</f>
        <v>#N/A</v>
      </c>
      <c r="F101" t="e">
        <f>"_"&amp;INDEX(Tabelle132[Geräte/Gewerke],MATCH(Tabelle7[[#This Row],[Gesamtcode]],Tabelle132[Gesamtcode],0))</f>
        <v>#N/A</v>
      </c>
      <c r="G101" t="e">
        <f>INDEX(Tabelle13[Gewerknr.],MATCH(Tabelle7[[#This Row],[Gewerke]],Tabelle13[Hauptgruppe],0))</f>
        <v>#N/A</v>
      </c>
      <c r="H101" t="s">
        <v>278</v>
      </c>
      <c r="I101" t="e">
        <f ca="1">INDEX(Tabelle134[Funktionsbereichsnr.],MATCH(Tabelle7[[#This Row],[Funktionsbereiche]],INDIRECT("Tabelle134["&amp;Tabelle7[[#This Row],[Gewerke]]&amp;"]"),0))</f>
        <v>#N/A</v>
      </c>
      <c r="J101" t="e">
        <f>Tabelle7[[#This Row],[Gesamtcode]]&amp;"_"&amp;Tabelle7[[#This Row],[Zone]]&amp;"_"&amp;Tabelle7[[#This Row],[Raum]]&amp;"_"&amp;Tabelle7[[#This Row],[Bezeichnung]]</f>
        <v>#N/A</v>
      </c>
      <c r="K101">
        <v>10</v>
      </c>
      <c r="L101" t="e">
        <f>Tabelle7[[#This Row],[Hauptgruppe]]&amp;"/-/-"</f>
        <v>#N/A</v>
      </c>
      <c r="M101" t="e">
        <f ca="1">Tabelle7[[#This Row],[Hauptgruppe]]&amp;"/"&amp;Tabelle7[[#This Row],[Mittelgruppe]]&amp;"/-"</f>
        <v>#N/A</v>
      </c>
      <c r="N101" t="e">
        <f ca="1">Tabelle7[[#This Row],[Hauptgruppe]]&amp;"/"&amp;Tabelle7[[#This Row],[Mittelgruppe]]&amp;"/"&amp;Tabelle7[[#This Row],[Untergruppe]]</f>
        <v>#N/A</v>
      </c>
      <c r="O101" t="e">
        <f>INDEX(Tabelle6[Aktor],MATCH(Tabelle7[[#This Row],[Gesamtcode]],Tabelle6[Gesamtcode],0))&amp;" "&amp;INDEX(Tabelle6[Aktorkanal],MATCH(Tabelle7[[#This Row],[Gesamtcode]],Tabelle6[Gesamtcode],0))</f>
        <v>#N/A</v>
      </c>
    </row>
    <row r="102" spans="2:15" x14ac:dyDescent="0.25">
      <c r="B102" t="s">
        <v>258</v>
      </c>
      <c r="C102" t="e">
        <f>INDEX(Tabelle132[Zone],MATCH(Tabelle7[[#This Row],[Gesamtcode]],Tabelle132[Gesamtcode],0))</f>
        <v>#N/A</v>
      </c>
      <c r="D102" t="e">
        <f>INDEX(Tabelle132[Raum],MATCH(Tabelle7[[#This Row],[Gesamtcode]],Tabelle132[Gesamtcode],0))</f>
        <v>#N/A</v>
      </c>
      <c r="E102" t="e">
        <f>INDEX(Tabelle132[Bezeichnung],MATCH(Tabelle7[[#This Row],[Gesamtcode]],Tabelle132[Gesamtcode],0))</f>
        <v>#N/A</v>
      </c>
      <c r="F102" t="e">
        <f>"_"&amp;INDEX(Tabelle132[Geräte/Gewerke],MATCH(Tabelle7[[#This Row],[Gesamtcode]],Tabelle132[Gesamtcode],0))</f>
        <v>#N/A</v>
      </c>
      <c r="G102" t="e">
        <f>INDEX(Tabelle13[Gewerknr.],MATCH(Tabelle7[[#This Row],[Gewerke]],Tabelle13[Hauptgruppe],0))</f>
        <v>#N/A</v>
      </c>
      <c r="H102" t="s">
        <v>278</v>
      </c>
      <c r="I102" t="e">
        <f ca="1">INDEX(Tabelle134[Funktionsbereichsnr.],MATCH(Tabelle7[[#This Row],[Funktionsbereiche]],INDIRECT("Tabelle134["&amp;Tabelle7[[#This Row],[Gewerke]]&amp;"]"),0))</f>
        <v>#N/A</v>
      </c>
      <c r="J102" t="e">
        <f>Tabelle7[[#This Row],[Gesamtcode]]&amp;"_"&amp;Tabelle7[[#This Row],[Zone]]&amp;"_"&amp;Tabelle7[[#This Row],[Raum]]&amp;"_"&amp;Tabelle7[[#This Row],[Bezeichnung]]</f>
        <v>#N/A</v>
      </c>
      <c r="K102">
        <v>11</v>
      </c>
      <c r="L102" t="e">
        <f>Tabelle7[[#This Row],[Hauptgruppe]]&amp;"/-/-"</f>
        <v>#N/A</v>
      </c>
      <c r="M102" t="e">
        <f ca="1">Tabelle7[[#This Row],[Hauptgruppe]]&amp;"/"&amp;Tabelle7[[#This Row],[Mittelgruppe]]&amp;"/-"</f>
        <v>#N/A</v>
      </c>
      <c r="N102" t="e">
        <f ca="1">Tabelle7[[#This Row],[Hauptgruppe]]&amp;"/"&amp;Tabelle7[[#This Row],[Mittelgruppe]]&amp;"/"&amp;Tabelle7[[#This Row],[Untergruppe]]</f>
        <v>#N/A</v>
      </c>
      <c r="O102" t="e">
        <f>INDEX(Tabelle6[Aktor],MATCH(Tabelle7[[#This Row],[Gesamtcode]],Tabelle6[Gesamtcode],0))&amp;" "&amp;INDEX(Tabelle6[Aktorkanal],MATCH(Tabelle7[[#This Row],[Gesamtcode]],Tabelle6[Gesamtcode],0))</f>
        <v>#N/A</v>
      </c>
    </row>
    <row r="103" spans="2:15" x14ac:dyDescent="0.25">
      <c r="B103" t="s">
        <v>259</v>
      </c>
      <c r="C103" t="e">
        <f>INDEX(Tabelle132[Zone],MATCH(Tabelle7[[#This Row],[Gesamtcode]],Tabelle132[Gesamtcode],0))</f>
        <v>#N/A</v>
      </c>
      <c r="D103" t="e">
        <f>INDEX(Tabelle132[Raum],MATCH(Tabelle7[[#This Row],[Gesamtcode]],Tabelle132[Gesamtcode],0))</f>
        <v>#N/A</v>
      </c>
      <c r="E103" t="e">
        <f>INDEX(Tabelle132[Bezeichnung],MATCH(Tabelle7[[#This Row],[Gesamtcode]],Tabelle132[Gesamtcode],0))</f>
        <v>#N/A</v>
      </c>
      <c r="F103" t="e">
        <f>"_"&amp;INDEX(Tabelle132[Geräte/Gewerke],MATCH(Tabelle7[[#This Row],[Gesamtcode]],Tabelle132[Gesamtcode],0))</f>
        <v>#N/A</v>
      </c>
      <c r="G103" t="e">
        <f>INDEX(Tabelle13[Gewerknr.],MATCH(Tabelle7[[#This Row],[Gewerke]],Tabelle13[Hauptgruppe],0))</f>
        <v>#N/A</v>
      </c>
      <c r="H103" t="s">
        <v>278</v>
      </c>
      <c r="I103" t="e">
        <f ca="1">INDEX(Tabelle134[Funktionsbereichsnr.],MATCH(Tabelle7[[#This Row],[Funktionsbereiche]],INDIRECT("Tabelle134["&amp;Tabelle7[[#This Row],[Gewerke]]&amp;"]"),0))</f>
        <v>#N/A</v>
      </c>
      <c r="J103" t="e">
        <f>Tabelle7[[#This Row],[Gesamtcode]]&amp;"_"&amp;Tabelle7[[#This Row],[Zone]]&amp;"_"&amp;Tabelle7[[#This Row],[Raum]]&amp;"_"&amp;Tabelle7[[#This Row],[Bezeichnung]]</f>
        <v>#N/A</v>
      </c>
      <c r="K103">
        <v>12</v>
      </c>
      <c r="L103" t="e">
        <f>Tabelle7[[#This Row],[Hauptgruppe]]&amp;"/-/-"</f>
        <v>#N/A</v>
      </c>
      <c r="M103" t="e">
        <f ca="1">Tabelle7[[#This Row],[Hauptgruppe]]&amp;"/"&amp;Tabelle7[[#This Row],[Mittelgruppe]]&amp;"/-"</f>
        <v>#N/A</v>
      </c>
      <c r="N103" t="e">
        <f ca="1">Tabelle7[[#This Row],[Hauptgruppe]]&amp;"/"&amp;Tabelle7[[#This Row],[Mittelgruppe]]&amp;"/"&amp;Tabelle7[[#This Row],[Untergruppe]]</f>
        <v>#N/A</v>
      </c>
      <c r="O103" t="e">
        <f>INDEX(Tabelle6[Aktor],MATCH(Tabelle7[[#This Row],[Gesamtcode]],Tabelle6[Gesamtcode],0))&amp;" "&amp;INDEX(Tabelle6[Aktorkanal],MATCH(Tabelle7[[#This Row],[Gesamtcode]],Tabelle6[Gesamtcode],0))</f>
        <v>#N/A</v>
      </c>
    </row>
    <row r="104" spans="2:15" x14ac:dyDescent="0.25">
      <c r="B104" t="s">
        <v>260</v>
      </c>
      <c r="C104" t="e">
        <f>INDEX(Tabelle132[Zone],MATCH(Tabelle7[[#This Row],[Gesamtcode]],Tabelle132[Gesamtcode],0))</f>
        <v>#N/A</v>
      </c>
      <c r="D104" t="e">
        <f>INDEX(Tabelle132[Raum],MATCH(Tabelle7[[#This Row],[Gesamtcode]],Tabelle132[Gesamtcode],0))</f>
        <v>#N/A</v>
      </c>
      <c r="E104" t="e">
        <f>INDEX(Tabelle132[Bezeichnung],MATCH(Tabelle7[[#This Row],[Gesamtcode]],Tabelle132[Gesamtcode],0))</f>
        <v>#N/A</v>
      </c>
      <c r="F104" t="e">
        <f>"_"&amp;INDEX(Tabelle132[Geräte/Gewerke],MATCH(Tabelle7[[#This Row],[Gesamtcode]],Tabelle132[Gesamtcode],0))</f>
        <v>#N/A</v>
      </c>
      <c r="G104" t="e">
        <f>INDEX(Tabelle13[Gewerknr.],MATCH(Tabelle7[[#This Row],[Gewerke]],Tabelle13[Hauptgruppe],0))</f>
        <v>#N/A</v>
      </c>
      <c r="H104" t="s">
        <v>278</v>
      </c>
      <c r="I104" t="e">
        <f ca="1">INDEX(Tabelle134[Funktionsbereichsnr.],MATCH(Tabelle7[[#This Row],[Funktionsbereiche]],INDIRECT("Tabelle134["&amp;Tabelle7[[#This Row],[Gewerke]]&amp;"]"),0))</f>
        <v>#N/A</v>
      </c>
      <c r="J104" t="e">
        <f>Tabelle7[[#This Row],[Gesamtcode]]&amp;"_"&amp;Tabelle7[[#This Row],[Zone]]&amp;"_"&amp;Tabelle7[[#This Row],[Raum]]&amp;"_"&amp;Tabelle7[[#This Row],[Bezeichnung]]</f>
        <v>#N/A</v>
      </c>
      <c r="K104">
        <v>13</v>
      </c>
      <c r="L104" t="e">
        <f>Tabelle7[[#This Row],[Hauptgruppe]]&amp;"/-/-"</f>
        <v>#N/A</v>
      </c>
      <c r="M104" t="e">
        <f ca="1">Tabelle7[[#This Row],[Hauptgruppe]]&amp;"/"&amp;Tabelle7[[#This Row],[Mittelgruppe]]&amp;"/-"</f>
        <v>#N/A</v>
      </c>
      <c r="N104" t="e">
        <f ca="1">Tabelle7[[#This Row],[Hauptgruppe]]&amp;"/"&amp;Tabelle7[[#This Row],[Mittelgruppe]]&amp;"/"&amp;Tabelle7[[#This Row],[Untergruppe]]</f>
        <v>#N/A</v>
      </c>
      <c r="O104" t="e">
        <f>INDEX(Tabelle6[Aktor],MATCH(Tabelle7[[#This Row],[Gesamtcode]],Tabelle6[Gesamtcode],0))&amp;" "&amp;INDEX(Tabelle6[Aktorkanal],MATCH(Tabelle7[[#This Row],[Gesamtcode]],Tabelle6[Gesamtcode],0))</f>
        <v>#N/A</v>
      </c>
    </row>
    <row r="105" spans="2:15" x14ac:dyDescent="0.25">
      <c r="B105" t="s">
        <v>261</v>
      </c>
      <c r="C105" t="e">
        <f>INDEX(Tabelle132[Zone],MATCH(Tabelle7[[#This Row],[Gesamtcode]],Tabelle132[Gesamtcode],0))</f>
        <v>#N/A</v>
      </c>
      <c r="D105" t="e">
        <f>INDEX(Tabelle132[Raum],MATCH(Tabelle7[[#This Row],[Gesamtcode]],Tabelle132[Gesamtcode],0))</f>
        <v>#N/A</v>
      </c>
      <c r="E105" t="e">
        <f>INDEX(Tabelle132[Bezeichnung],MATCH(Tabelle7[[#This Row],[Gesamtcode]],Tabelle132[Gesamtcode],0))</f>
        <v>#N/A</v>
      </c>
      <c r="F105" t="e">
        <f>"_"&amp;INDEX(Tabelle132[Geräte/Gewerke],MATCH(Tabelle7[[#This Row],[Gesamtcode]],Tabelle132[Gesamtcode],0))</f>
        <v>#N/A</v>
      </c>
      <c r="G105" t="e">
        <f>INDEX(Tabelle13[Gewerknr.],MATCH(Tabelle7[[#This Row],[Gewerke]],Tabelle13[Hauptgruppe],0))</f>
        <v>#N/A</v>
      </c>
      <c r="H105" t="s">
        <v>278</v>
      </c>
      <c r="I105" t="e">
        <f ca="1">INDEX(Tabelle134[Funktionsbereichsnr.],MATCH(Tabelle7[[#This Row],[Funktionsbereiche]],INDIRECT("Tabelle134["&amp;Tabelle7[[#This Row],[Gewerke]]&amp;"]"),0))</f>
        <v>#N/A</v>
      </c>
      <c r="J105" t="e">
        <f>Tabelle7[[#This Row],[Gesamtcode]]&amp;"_"&amp;Tabelle7[[#This Row],[Zone]]&amp;"_"&amp;Tabelle7[[#This Row],[Raum]]&amp;"_"&amp;Tabelle7[[#This Row],[Bezeichnung]]</f>
        <v>#N/A</v>
      </c>
      <c r="K105">
        <v>14</v>
      </c>
      <c r="L105" t="e">
        <f>Tabelle7[[#This Row],[Hauptgruppe]]&amp;"/-/-"</f>
        <v>#N/A</v>
      </c>
      <c r="M105" t="e">
        <f ca="1">Tabelle7[[#This Row],[Hauptgruppe]]&amp;"/"&amp;Tabelle7[[#This Row],[Mittelgruppe]]&amp;"/-"</f>
        <v>#N/A</v>
      </c>
      <c r="N105" t="e">
        <f ca="1">Tabelle7[[#This Row],[Hauptgruppe]]&amp;"/"&amp;Tabelle7[[#This Row],[Mittelgruppe]]&amp;"/"&amp;Tabelle7[[#This Row],[Untergruppe]]</f>
        <v>#N/A</v>
      </c>
      <c r="O105" t="e">
        <f>INDEX(Tabelle6[Aktor],MATCH(Tabelle7[[#This Row],[Gesamtcode]],Tabelle6[Gesamtcode],0))&amp;" "&amp;INDEX(Tabelle6[Aktorkanal],MATCH(Tabelle7[[#This Row],[Gesamtcode]],Tabelle6[Gesamtcode],0))</f>
        <v>#N/A</v>
      </c>
    </row>
    <row r="106" spans="2:15" x14ac:dyDescent="0.25">
      <c r="B106" t="s">
        <v>262</v>
      </c>
      <c r="C106" t="e">
        <f>INDEX(Tabelle132[Zone],MATCH(Tabelle7[[#This Row],[Gesamtcode]],Tabelle132[Gesamtcode],0))</f>
        <v>#N/A</v>
      </c>
      <c r="D106" t="e">
        <f>INDEX(Tabelle132[Raum],MATCH(Tabelle7[[#This Row],[Gesamtcode]],Tabelle132[Gesamtcode],0))</f>
        <v>#N/A</v>
      </c>
      <c r="E106" t="e">
        <f>INDEX(Tabelle132[Bezeichnung],MATCH(Tabelle7[[#This Row],[Gesamtcode]],Tabelle132[Gesamtcode],0))</f>
        <v>#N/A</v>
      </c>
      <c r="F106" t="e">
        <f>"_"&amp;INDEX(Tabelle132[Geräte/Gewerke],MATCH(Tabelle7[[#This Row],[Gesamtcode]],Tabelle132[Gesamtcode],0))</f>
        <v>#N/A</v>
      </c>
      <c r="G106" t="e">
        <f>INDEX(Tabelle13[Gewerknr.],MATCH(Tabelle7[[#This Row],[Gewerke]],Tabelle13[Hauptgruppe],0))</f>
        <v>#N/A</v>
      </c>
      <c r="H106" t="s">
        <v>278</v>
      </c>
      <c r="I106" t="e">
        <f ca="1">INDEX(Tabelle134[Funktionsbereichsnr.],MATCH(Tabelle7[[#This Row],[Funktionsbereiche]],INDIRECT("Tabelle134["&amp;Tabelle7[[#This Row],[Gewerke]]&amp;"]"),0))</f>
        <v>#N/A</v>
      </c>
      <c r="J106" t="e">
        <f>Tabelle7[[#This Row],[Gesamtcode]]&amp;"_"&amp;Tabelle7[[#This Row],[Zone]]&amp;"_"&amp;Tabelle7[[#This Row],[Raum]]&amp;"_"&amp;Tabelle7[[#This Row],[Bezeichnung]]</f>
        <v>#N/A</v>
      </c>
      <c r="K106">
        <v>15</v>
      </c>
      <c r="L106" t="e">
        <f>Tabelle7[[#This Row],[Hauptgruppe]]&amp;"/-/-"</f>
        <v>#N/A</v>
      </c>
      <c r="M106" t="e">
        <f ca="1">Tabelle7[[#This Row],[Hauptgruppe]]&amp;"/"&amp;Tabelle7[[#This Row],[Mittelgruppe]]&amp;"/-"</f>
        <v>#N/A</v>
      </c>
      <c r="N106" t="e">
        <f ca="1">Tabelle7[[#This Row],[Hauptgruppe]]&amp;"/"&amp;Tabelle7[[#This Row],[Mittelgruppe]]&amp;"/"&amp;Tabelle7[[#This Row],[Untergruppe]]</f>
        <v>#N/A</v>
      </c>
      <c r="O106" t="e">
        <f>INDEX(Tabelle6[Aktor],MATCH(Tabelle7[[#This Row],[Gesamtcode]],Tabelle6[Gesamtcode],0))&amp;" "&amp;INDEX(Tabelle6[Aktorkanal],MATCH(Tabelle7[[#This Row],[Gesamtcode]],Tabelle6[Gesamtcode],0))</f>
        <v>#N/A</v>
      </c>
    </row>
    <row r="107" spans="2:15" x14ac:dyDescent="0.25">
      <c r="B107" t="s">
        <v>263</v>
      </c>
      <c r="C107" t="e">
        <f>INDEX(Tabelle132[Zone],MATCH(Tabelle7[[#This Row],[Gesamtcode]],Tabelle132[Gesamtcode],0))</f>
        <v>#N/A</v>
      </c>
      <c r="D107" t="e">
        <f>INDEX(Tabelle132[Raum],MATCH(Tabelle7[[#This Row],[Gesamtcode]],Tabelle132[Gesamtcode],0))</f>
        <v>#N/A</v>
      </c>
      <c r="E107" t="e">
        <f>INDEX(Tabelle132[Bezeichnung],MATCH(Tabelle7[[#This Row],[Gesamtcode]],Tabelle132[Gesamtcode],0))</f>
        <v>#N/A</v>
      </c>
      <c r="F107" t="e">
        <f>"_"&amp;INDEX(Tabelle132[Geräte/Gewerke],MATCH(Tabelle7[[#This Row],[Gesamtcode]],Tabelle132[Gesamtcode],0))</f>
        <v>#N/A</v>
      </c>
      <c r="G107" t="e">
        <f>INDEX(Tabelle13[Gewerknr.],MATCH(Tabelle7[[#This Row],[Gewerke]],Tabelle13[Hauptgruppe],0))</f>
        <v>#N/A</v>
      </c>
      <c r="H107" t="s">
        <v>278</v>
      </c>
      <c r="I107" t="e">
        <f ca="1">INDEX(Tabelle134[Funktionsbereichsnr.],MATCH(Tabelle7[[#This Row],[Funktionsbereiche]],INDIRECT("Tabelle134["&amp;Tabelle7[[#This Row],[Gewerke]]&amp;"]"),0))</f>
        <v>#N/A</v>
      </c>
      <c r="J107" t="e">
        <f>Tabelle7[[#This Row],[Gesamtcode]]&amp;"_"&amp;Tabelle7[[#This Row],[Zone]]&amp;"_"&amp;Tabelle7[[#This Row],[Raum]]&amp;"_"&amp;Tabelle7[[#This Row],[Bezeichnung]]</f>
        <v>#N/A</v>
      </c>
      <c r="K107">
        <v>16</v>
      </c>
      <c r="L107" t="e">
        <f>Tabelle7[[#This Row],[Hauptgruppe]]&amp;"/-/-"</f>
        <v>#N/A</v>
      </c>
      <c r="M107" t="e">
        <f ca="1">Tabelle7[[#This Row],[Hauptgruppe]]&amp;"/"&amp;Tabelle7[[#This Row],[Mittelgruppe]]&amp;"/-"</f>
        <v>#N/A</v>
      </c>
      <c r="N107" t="e">
        <f ca="1">Tabelle7[[#This Row],[Hauptgruppe]]&amp;"/"&amp;Tabelle7[[#This Row],[Mittelgruppe]]&amp;"/"&amp;Tabelle7[[#This Row],[Untergruppe]]</f>
        <v>#N/A</v>
      </c>
      <c r="O107" t="e">
        <f>INDEX(Tabelle6[Aktor],MATCH(Tabelle7[[#This Row],[Gesamtcode]],Tabelle6[Gesamtcode],0))&amp;" "&amp;INDEX(Tabelle6[Aktorkanal],MATCH(Tabelle7[[#This Row],[Gesamtcode]],Tabelle6[Gesamtcode],0))</f>
        <v>#N/A</v>
      </c>
    </row>
    <row r="108" spans="2:15" x14ac:dyDescent="0.25">
      <c r="B108" t="s">
        <v>264</v>
      </c>
      <c r="C108" t="e">
        <f>INDEX(Tabelle132[Zone],MATCH(Tabelle7[[#This Row],[Gesamtcode]],Tabelle132[Gesamtcode],0))</f>
        <v>#N/A</v>
      </c>
      <c r="D108" t="e">
        <f>INDEX(Tabelle132[Raum],MATCH(Tabelle7[[#This Row],[Gesamtcode]],Tabelle132[Gesamtcode],0))</f>
        <v>#N/A</v>
      </c>
      <c r="E108" t="e">
        <f>INDEX(Tabelle132[Bezeichnung],MATCH(Tabelle7[[#This Row],[Gesamtcode]],Tabelle132[Gesamtcode],0))</f>
        <v>#N/A</v>
      </c>
      <c r="F108" t="e">
        <f>"_"&amp;INDEX(Tabelle132[Geräte/Gewerke],MATCH(Tabelle7[[#This Row],[Gesamtcode]],Tabelle132[Gesamtcode],0))</f>
        <v>#N/A</v>
      </c>
      <c r="G108" t="e">
        <f>INDEX(Tabelle13[Gewerknr.],MATCH(Tabelle7[[#This Row],[Gewerke]],Tabelle13[Hauptgruppe],0))</f>
        <v>#N/A</v>
      </c>
      <c r="H108" t="s">
        <v>278</v>
      </c>
      <c r="I108" t="e">
        <f ca="1">INDEX(Tabelle134[Funktionsbereichsnr.],MATCH(Tabelle7[[#This Row],[Funktionsbereiche]],INDIRECT("Tabelle134["&amp;Tabelle7[[#This Row],[Gewerke]]&amp;"]"),0))</f>
        <v>#N/A</v>
      </c>
      <c r="J108" t="e">
        <f>Tabelle7[[#This Row],[Gesamtcode]]&amp;"_"&amp;Tabelle7[[#This Row],[Zone]]&amp;"_"&amp;Tabelle7[[#This Row],[Raum]]&amp;"_"&amp;Tabelle7[[#This Row],[Bezeichnung]]</f>
        <v>#N/A</v>
      </c>
      <c r="K108">
        <v>17</v>
      </c>
      <c r="L108" t="e">
        <f>Tabelle7[[#This Row],[Hauptgruppe]]&amp;"/-/-"</f>
        <v>#N/A</v>
      </c>
      <c r="M108" t="e">
        <f ca="1">Tabelle7[[#This Row],[Hauptgruppe]]&amp;"/"&amp;Tabelle7[[#This Row],[Mittelgruppe]]&amp;"/-"</f>
        <v>#N/A</v>
      </c>
      <c r="N108" t="e">
        <f ca="1">Tabelle7[[#This Row],[Hauptgruppe]]&amp;"/"&amp;Tabelle7[[#This Row],[Mittelgruppe]]&amp;"/"&amp;Tabelle7[[#This Row],[Untergruppe]]</f>
        <v>#N/A</v>
      </c>
      <c r="O108" t="e">
        <f>INDEX(Tabelle6[Aktor],MATCH(Tabelle7[[#This Row],[Gesamtcode]],Tabelle6[Gesamtcode],0))&amp;" "&amp;INDEX(Tabelle6[Aktorkanal],MATCH(Tabelle7[[#This Row],[Gesamtcode]],Tabelle6[Gesamtcode],0))</f>
        <v>#N/A</v>
      </c>
    </row>
    <row r="109" spans="2:15" x14ac:dyDescent="0.25">
      <c r="B109" t="s">
        <v>265</v>
      </c>
      <c r="C109" t="e">
        <f>INDEX(Tabelle132[Zone],MATCH(Tabelle7[[#This Row],[Gesamtcode]],Tabelle132[Gesamtcode],0))</f>
        <v>#N/A</v>
      </c>
      <c r="D109" t="e">
        <f>INDEX(Tabelle132[Raum],MATCH(Tabelle7[[#This Row],[Gesamtcode]],Tabelle132[Gesamtcode],0))</f>
        <v>#N/A</v>
      </c>
      <c r="E109" t="e">
        <f>INDEX(Tabelle132[Bezeichnung],MATCH(Tabelle7[[#This Row],[Gesamtcode]],Tabelle132[Gesamtcode],0))</f>
        <v>#N/A</v>
      </c>
      <c r="F109" t="e">
        <f>"_"&amp;INDEX(Tabelle132[Geräte/Gewerke],MATCH(Tabelle7[[#This Row],[Gesamtcode]],Tabelle132[Gesamtcode],0))</f>
        <v>#N/A</v>
      </c>
      <c r="G109" t="e">
        <f>INDEX(Tabelle13[Gewerknr.],MATCH(Tabelle7[[#This Row],[Gewerke]],Tabelle13[Hauptgruppe],0))</f>
        <v>#N/A</v>
      </c>
      <c r="H109" t="s">
        <v>278</v>
      </c>
      <c r="I109" t="e">
        <f ca="1">INDEX(Tabelle134[Funktionsbereichsnr.],MATCH(Tabelle7[[#This Row],[Funktionsbereiche]],INDIRECT("Tabelle134["&amp;Tabelle7[[#This Row],[Gewerke]]&amp;"]"),0))</f>
        <v>#N/A</v>
      </c>
      <c r="J109" t="e">
        <f>Tabelle7[[#This Row],[Gesamtcode]]&amp;"_"&amp;Tabelle7[[#This Row],[Zone]]&amp;"_"&amp;Tabelle7[[#This Row],[Raum]]&amp;"_"&amp;Tabelle7[[#This Row],[Bezeichnung]]</f>
        <v>#N/A</v>
      </c>
      <c r="K109">
        <v>18</v>
      </c>
      <c r="L109" t="e">
        <f>Tabelle7[[#This Row],[Hauptgruppe]]&amp;"/-/-"</f>
        <v>#N/A</v>
      </c>
      <c r="M109" t="e">
        <f ca="1">Tabelle7[[#This Row],[Hauptgruppe]]&amp;"/"&amp;Tabelle7[[#This Row],[Mittelgruppe]]&amp;"/-"</f>
        <v>#N/A</v>
      </c>
      <c r="N109" t="e">
        <f ca="1">Tabelle7[[#This Row],[Hauptgruppe]]&amp;"/"&amp;Tabelle7[[#This Row],[Mittelgruppe]]&amp;"/"&amp;Tabelle7[[#This Row],[Untergruppe]]</f>
        <v>#N/A</v>
      </c>
      <c r="O109" t="e">
        <f>INDEX(Tabelle6[Aktor],MATCH(Tabelle7[[#This Row],[Gesamtcode]],Tabelle6[Gesamtcode],0))&amp;" "&amp;INDEX(Tabelle6[Aktorkanal],MATCH(Tabelle7[[#This Row],[Gesamtcode]],Tabelle6[Gesamtcode],0))</f>
        <v>#N/A</v>
      </c>
    </row>
    <row r="110" spans="2:15" x14ac:dyDescent="0.25">
      <c r="B110" t="s">
        <v>266</v>
      </c>
      <c r="C110" t="e">
        <f>INDEX(Tabelle132[Zone],MATCH(Tabelle7[[#This Row],[Gesamtcode]],Tabelle132[Gesamtcode],0))</f>
        <v>#N/A</v>
      </c>
      <c r="D110" t="e">
        <f>INDEX(Tabelle132[Raum],MATCH(Tabelle7[[#This Row],[Gesamtcode]],Tabelle132[Gesamtcode],0))</f>
        <v>#N/A</v>
      </c>
      <c r="E110" t="e">
        <f>INDEX(Tabelle132[Bezeichnung],MATCH(Tabelle7[[#This Row],[Gesamtcode]],Tabelle132[Gesamtcode],0))</f>
        <v>#N/A</v>
      </c>
      <c r="F110" t="e">
        <f>"_"&amp;INDEX(Tabelle132[Geräte/Gewerke],MATCH(Tabelle7[[#This Row],[Gesamtcode]],Tabelle132[Gesamtcode],0))</f>
        <v>#N/A</v>
      </c>
      <c r="G110" t="e">
        <f>INDEX(Tabelle13[Gewerknr.],MATCH(Tabelle7[[#This Row],[Gewerke]],Tabelle13[Hauptgruppe],0))</f>
        <v>#N/A</v>
      </c>
      <c r="H110" t="s">
        <v>278</v>
      </c>
      <c r="I110" t="e">
        <f ca="1">INDEX(Tabelle134[Funktionsbereichsnr.],MATCH(Tabelle7[[#This Row],[Funktionsbereiche]],INDIRECT("Tabelle134["&amp;Tabelle7[[#This Row],[Gewerke]]&amp;"]"),0))</f>
        <v>#N/A</v>
      </c>
      <c r="J110" t="e">
        <f>Tabelle7[[#This Row],[Gesamtcode]]&amp;"_"&amp;Tabelle7[[#This Row],[Zone]]&amp;"_"&amp;Tabelle7[[#This Row],[Raum]]&amp;"_"&amp;Tabelle7[[#This Row],[Bezeichnung]]</f>
        <v>#N/A</v>
      </c>
      <c r="K110">
        <v>2</v>
      </c>
      <c r="L110" t="e">
        <f>Tabelle7[[#This Row],[Hauptgruppe]]&amp;"/-/-"</f>
        <v>#N/A</v>
      </c>
      <c r="M110" t="e">
        <f ca="1">Tabelle7[[#This Row],[Hauptgruppe]]&amp;"/"&amp;Tabelle7[[#This Row],[Mittelgruppe]]&amp;"/-"</f>
        <v>#N/A</v>
      </c>
      <c r="N110" t="e">
        <f ca="1">Tabelle7[[#This Row],[Hauptgruppe]]&amp;"/"&amp;Tabelle7[[#This Row],[Mittelgruppe]]&amp;"/"&amp;Tabelle7[[#This Row],[Untergruppe]]</f>
        <v>#N/A</v>
      </c>
      <c r="O110" t="e">
        <f>INDEX(Tabelle6[Aktor],MATCH(Tabelle7[[#This Row],[Gesamtcode]],Tabelle6[Gesamtcode],0))&amp;" "&amp;INDEX(Tabelle6[Aktorkanal],MATCH(Tabelle7[[#This Row],[Gesamtcode]],Tabelle6[Gesamtcode],0))</f>
        <v>#N/A</v>
      </c>
    </row>
    <row r="111" spans="2:15" x14ac:dyDescent="0.25">
      <c r="B111" t="s">
        <v>267</v>
      </c>
      <c r="C111" t="e">
        <f>INDEX(Tabelle132[Zone],MATCH(Tabelle7[[#This Row],[Gesamtcode]],Tabelle132[Gesamtcode],0))</f>
        <v>#N/A</v>
      </c>
      <c r="D111" t="e">
        <f>INDEX(Tabelle132[Raum],MATCH(Tabelle7[[#This Row],[Gesamtcode]],Tabelle132[Gesamtcode],0))</f>
        <v>#N/A</v>
      </c>
      <c r="E111" t="e">
        <f>INDEX(Tabelle132[Bezeichnung],MATCH(Tabelle7[[#This Row],[Gesamtcode]],Tabelle132[Gesamtcode],0))</f>
        <v>#N/A</v>
      </c>
      <c r="F111" t="e">
        <f>"_"&amp;INDEX(Tabelle132[Geräte/Gewerke],MATCH(Tabelle7[[#This Row],[Gesamtcode]],Tabelle132[Gesamtcode],0))</f>
        <v>#N/A</v>
      </c>
      <c r="G111" t="e">
        <f>INDEX(Tabelle13[Gewerknr.],MATCH(Tabelle7[[#This Row],[Gewerke]],Tabelle13[Hauptgruppe],0))</f>
        <v>#N/A</v>
      </c>
      <c r="H111" t="s">
        <v>278</v>
      </c>
      <c r="I111" t="e">
        <f ca="1">INDEX(Tabelle134[Funktionsbereichsnr.],MATCH(Tabelle7[[#This Row],[Funktionsbereiche]],INDIRECT("Tabelle134["&amp;Tabelle7[[#This Row],[Gewerke]]&amp;"]"),0))</f>
        <v>#N/A</v>
      </c>
      <c r="J111" t="e">
        <f>Tabelle7[[#This Row],[Gesamtcode]]&amp;"_"&amp;Tabelle7[[#This Row],[Zone]]&amp;"_"&amp;Tabelle7[[#This Row],[Raum]]&amp;"_"&amp;Tabelle7[[#This Row],[Bezeichnung]]</f>
        <v>#N/A</v>
      </c>
      <c r="K111">
        <v>3</v>
      </c>
      <c r="L111" t="e">
        <f>Tabelle7[[#This Row],[Hauptgruppe]]&amp;"/-/-"</f>
        <v>#N/A</v>
      </c>
      <c r="M111" t="e">
        <f ca="1">Tabelle7[[#This Row],[Hauptgruppe]]&amp;"/"&amp;Tabelle7[[#This Row],[Mittelgruppe]]&amp;"/-"</f>
        <v>#N/A</v>
      </c>
      <c r="N111" t="e">
        <f ca="1">Tabelle7[[#This Row],[Hauptgruppe]]&amp;"/"&amp;Tabelle7[[#This Row],[Mittelgruppe]]&amp;"/"&amp;Tabelle7[[#This Row],[Untergruppe]]</f>
        <v>#N/A</v>
      </c>
      <c r="O111" t="e">
        <f>INDEX(Tabelle6[Aktor],MATCH(Tabelle7[[#This Row],[Gesamtcode]],Tabelle6[Gesamtcode],0))&amp;" "&amp;INDEX(Tabelle6[Aktorkanal],MATCH(Tabelle7[[#This Row],[Gesamtcode]],Tabelle6[Gesamtcode],0))</f>
        <v>#N/A</v>
      </c>
    </row>
    <row r="112" spans="2:15" x14ac:dyDescent="0.25">
      <c r="B112" t="s">
        <v>268</v>
      </c>
      <c r="C112" t="e">
        <f>INDEX(Tabelle132[Zone],MATCH(Tabelle7[[#This Row],[Gesamtcode]],Tabelle132[Gesamtcode],0))</f>
        <v>#N/A</v>
      </c>
      <c r="D112" t="e">
        <f>INDEX(Tabelle132[Raum],MATCH(Tabelle7[[#This Row],[Gesamtcode]],Tabelle132[Gesamtcode],0))</f>
        <v>#N/A</v>
      </c>
      <c r="E112" t="e">
        <f>INDEX(Tabelle132[Bezeichnung],MATCH(Tabelle7[[#This Row],[Gesamtcode]],Tabelle132[Gesamtcode],0))</f>
        <v>#N/A</v>
      </c>
      <c r="F112" t="e">
        <f>"_"&amp;INDEX(Tabelle132[Geräte/Gewerke],MATCH(Tabelle7[[#This Row],[Gesamtcode]],Tabelle132[Gesamtcode],0))</f>
        <v>#N/A</v>
      </c>
      <c r="G112" t="e">
        <f>INDEX(Tabelle13[Gewerknr.],MATCH(Tabelle7[[#This Row],[Gewerke]],Tabelle13[Hauptgruppe],0))</f>
        <v>#N/A</v>
      </c>
      <c r="H112" t="s">
        <v>278</v>
      </c>
      <c r="I112" t="e">
        <f ca="1">INDEX(Tabelle134[Funktionsbereichsnr.],MATCH(Tabelle7[[#This Row],[Funktionsbereiche]],INDIRECT("Tabelle134["&amp;Tabelle7[[#This Row],[Gewerke]]&amp;"]"),0))</f>
        <v>#N/A</v>
      </c>
      <c r="J112" t="e">
        <f>Tabelle7[[#This Row],[Gesamtcode]]&amp;"_"&amp;Tabelle7[[#This Row],[Zone]]&amp;"_"&amp;Tabelle7[[#This Row],[Raum]]&amp;"_"&amp;Tabelle7[[#This Row],[Bezeichnung]]</f>
        <v>#N/A</v>
      </c>
      <c r="K112">
        <v>4</v>
      </c>
      <c r="L112" t="e">
        <f>Tabelle7[[#This Row],[Hauptgruppe]]&amp;"/-/-"</f>
        <v>#N/A</v>
      </c>
      <c r="M112" t="e">
        <f ca="1">Tabelle7[[#This Row],[Hauptgruppe]]&amp;"/"&amp;Tabelle7[[#This Row],[Mittelgruppe]]&amp;"/-"</f>
        <v>#N/A</v>
      </c>
      <c r="N112" t="e">
        <f ca="1">Tabelle7[[#This Row],[Hauptgruppe]]&amp;"/"&amp;Tabelle7[[#This Row],[Mittelgruppe]]&amp;"/"&amp;Tabelle7[[#This Row],[Untergruppe]]</f>
        <v>#N/A</v>
      </c>
      <c r="O112" t="e">
        <f>INDEX(Tabelle6[Aktor],MATCH(Tabelle7[[#This Row],[Gesamtcode]],Tabelle6[Gesamtcode],0))&amp;" "&amp;INDEX(Tabelle6[Aktorkanal],MATCH(Tabelle7[[#This Row],[Gesamtcode]],Tabelle6[Gesamtcode],0))</f>
        <v>#N/A</v>
      </c>
    </row>
    <row r="113" spans="2:15" x14ac:dyDescent="0.25">
      <c r="B113" t="s">
        <v>269</v>
      </c>
      <c r="C113" t="e">
        <f>INDEX(Tabelle132[Zone],MATCH(Tabelle7[[#This Row],[Gesamtcode]],Tabelle132[Gesamtcode],0))</f>
        <v>#N/A</v>
      </c>
      <c r="D113" t="e">
        <f>INDEX(Tabelle132[Raum],MATCH(Tabelle7[[#This Row],[Gesamtcode]],Tabelle132[Gesamtcode],0))</f>
        <v>#N/A</v>
      </c>
      <c r="E113" t="e">
        <f>INDEX(Tabelle132[Bezeichnung],MATCH(Tabelle7[[#This Row],[Gesamtcode]],Tabelle132[Gesamtcode],0))</f>
        <v>#N/A</v>
      </c>
      <c r="F113" t="e">
        <f>"_"&amp;INDEX(Tabelle132[Geräte/Gewerke],MATCH(Tabelle7[[#This Row],[Gesamtcode]],Tabelle132[Gesamtcode],0))</f>
        <v>#N/A</v>
      </c>
      <c r="G113" t="e">
        <f>INDEX(Tabelle13[Gewerknr.],MATCH(Tabelle7[[#This Row],[Gewerke]],Tabelle13[Hauptgruppe],0))</f>
        <v>#N/A</v>
      </c>
      <c r="H113" t="s">
        <v>278</v>
      </c>
      <c r="I113" t="e">
        <f ca="1">INDEX(Tabelle134[Funktionsbereichsnr.],MATCH(Tabelle7[[#This Row],[Funktionsbereiche]],INDIRECT("Tabelle134["&amp;Tabelle7[[#This Row],[Gewerke]]&amp;"]"),0))</f>
        <v>#N/A</v>
      </c>
      <c r="J113" t="e">
        <f>Tabelle7[[#This Row],[Gesamtcode]]&amp;"_"&amp;Tabelle7[[#This Row],[Zone]]&amp;"_"&amp;Tabelle7[[#This Row],[Raum]]&amp;"_"&amp;Tabelle7[[#This Row],[Bezeichnung]]</f>
        <v>#N/A</v>
      </c>
      <c r="K113">
        <v>5</v>
      </c>
      <c r="L113" t="e">
        <f>Tabelle7[[#This Row],[Hauptgruppe]]&amp;"/-/-"</f>
        <v>#N/A</v>
      </c>
      <c r="M113" t="e">
        <f ca="1">Tabelle7[[#This Row],[Hauptgruppe]]&amp;"/"&amp;Tabelle7[[#This Row],[Mittelgruppe]]&amp;"/-"</f>
        <v>#N/A</v>
      </c>
      <c r="N113" t="e">
        <f ca="1">Tabelle7[[#This Row],[Hauptgruppe]]&amp;"/"&amp;Tabelle7[[#This Row],[Mittelgruppe]]&amp;"/"&amp;Tabelle7[[#This Row],[Untergruppe]]</f>
        <v>#N/A</v>
      </c>
      <c r="O113" t="e">
        <f>INDEX(Tabelle6[Aktor],MATCH(Tabelle7[[#This Row],[Gesamtcode]],Tabelle6[Gesamtcode],0))&amp;" "&amp;INDEX(Tabelle6[Aktorkanal],MATCH(Tabelle7[[#This Row],[Gesamtcode]],Tabelle6[Gesamtcode],0))</f>
        <v>#N/A</v>
      </c>
    </row>
    <row r="114" spans="2:15" x14ac:dyDescent="0.25">
      <c r="B114" t="s">
        <v>270</v>
      </c>
      <c r="C114" t="e">
        <f>INDEX(Tabelle132[Zone],MATCH(Tabelle7[[#This Row],[Gesamtcode]],Tabelle132[Gesamtcode],0))</f>
        <v>#N/A</v>
      </c>
      <c r="D114" t="e">
        <f>INDEX(Tabelle132[Raum],MATCH(Tabelle7[[#This Row],[Gesamtcode]],Tabelle132[Gesamtcode],0))</f>
        <v>#N/A</v>
      </c>
      <c r="E114" t="e">
        <f>INDEX(Tabelle132[Bezeichnung],MATCH(Tabelle7[[#This Row],[Gesamtcode]],Tabelle132[Gesamtcode],0))</f>
        <v>#N/A</v>
      </c>
      <c r="F114" t="e">
        <f>"_"&amp;INDEX(Tabelle132[Geräte/Gewerke],MATCH(Tabelle7[[#This Row],[Gesamtcode]],Tabelle132[Gesamtcode],0))</f>
        <v>#N/A</v>
      </c>
      <c r="G114" t="e">
        <f>INDEX(Tabelle13[Gewerknr.],MATCH(Tabelle7[[#This Row],[Gewerke]],Tabelle13[Hauptgruppe],0))</f>
        <v>#N/A</v>
      </c>
      <c r="H114" t="s">
        <v>278</v>
      </c>
      <c r="I114" t="e">
        <f ca="1">INDEX(Tabelle134[Funktionsbereichsnr.],MATCH(Tabelle7[[#This Row],[Funktionsbereiche]],INDIRECT("Tabelle134["&amp;Tabelle7[[#This Row],[Gewerke]]&amp;"]"),0))</f>
        <v>#N/A</v>
      </c>
      <c r="J114" t="e">
        <f>Tabelle7[[#This Row],[Gesamtcode]]&amp;"_"&amp;Tabelle7[[#This Row],[Zone]]&amp;"_"&amp;Tabelle7[[#This Row],[Raum]]&amp;"_"&amp;Tabelle7[[#This Row],[Bezeichnung]]</f>
        <v>#N/A</v>
      </c>
      <c r="K114">
        <v>6</v>
      </c>
      <c r="L114" t="e">
        <f>Tabelle7[[#This Row],[Hauptgruppe]]&amp;"/-/-"</f>
        <v>#N/A</v>
      </c>
      <c r="M114" t="e">
        <f ca="1">Tabelle7[[#This Row],[Hauptgruppe]]&amp;"/"&amp;Tabelle7[[#This Row],[Mittelgruppe]]&amp;"/-"</f>
        <v>#N/A</v>
      </c>
      <c r="N114" t="e">
        <f ca="1">Tabelle7[[#This Row],[Hauptgruppe]]&amp;"/"&amp;Tabelle7[[#This Row],[Mittelgruppe]]&amp;"/"&amp;Tabelle7[[#This Row],[Untergruppe]]</f>
        <v>#N/A</v>
      </c>
      <c r="O114" t="e">
        <f>INDEX(Tabelle6[Aktor],MATCH(Tabelle7[[#This Row],[Gesamtcode]],Tabelle6[Gesamtcode],0))&amp;" "&amp;INDEX(Tabelle6[Aktorkanal],MATCH(Tabelle7[[#This Row],[Gesamtcode]],Tabelle6[Gesamtcode],0))</f>
        <v>#N/A</v>
      </c>
    </row>
    <row r="115" spans="2:15" x14ac:dyDescent="0.25">
      <c r="B115" t="s">
        <v>271</v>
      </c>
      <c r="C115" t="e">
        <f>INDEX(Tabelle132[Zone],MATCH(Tabelle7[[#This Row],[Gesamtcode]],Tabelle132[Gesamtcode],0))</f>
        <v>#N/A</v>
      </c>
      <c r="D115" t="e">
        <f>INDEX(Tabelle132[Raum],MATCH(Tabelle7[[#This Row],[Gesamtcode]],Tabelle132[Gesamtcode],0))</f>
        <v>#N/A</v>
      </c>
      <c r="E115" t="e">
        <f>INDEX(Tabelle132[Bezeichnung],MATCH(Tabelle7[[#This Row],[Gesamtcode]],Tabelle132[Gesamtcode],0))</f>
        <v>#N/A</v>
      </c>
      <c r="F115" t="e">
        <f>"_"&amp;INDEX(Tabelle132[Geräte/Gewerke],MATCH(Tabelle7[[#This Row],[Gesamtcode]],Tabelle132[Gesamtcode],0))</f>
        <v>#N/A</v>
      </c>
      <c r="G115" t="e">
        <f>INDEX(Tabelle13[Gewerknr.],MATCH(Tabelle7[[#This Row],[Gewerke]],Tabelle13[Hauptgruppe],0))</f>
        <v>#N/A</v>
      </c>
      <c r="H115" t="s">
        <v>278</v>
      </c>
      <c r="I115" t="e">
        <f ca="1">INDEX(Tabelle134[Funktionsbereichsnr.],MATCH(Tabelle7[[#This Row],[Funktionsbereiche]],INDIRECT("Tabelle134["&amp;Tabelle7[[#This Row],[Gewerke]]&amp;"]"),0))</f>
        <v>#N/A</v>
      </c>
      <c r="J115" t="e">
        <f>Tabelle7[[#This Row],[Gesamtcode]]&amp;"_"&amp;Tabelle7[[#This Row],[Zone]]&amp;"_"&amp;Tabelle7[[#This Row],[Raum]]&amp;"_"&amp;Tabelle7[[#This Row],[Bezeichnung]]</f>
        <v>#N/A</v>
      </c>
      <c r="K115">
        <v>7</v>
      </c>
      <c r="L115" t="e">
        <f>Tabelle7[[#This Row],[Hauptgruppe]]&amp;"/-/-"</f>
        <v>#N/A</v>
      </c>
      <c r="M115" t="e">
        <f ca="1">Tabelle7[[#This Row],[Hauptgruppe]]&amp;"/"&amp;Tabelle7[[#This Row],[Mittelgruppe]]&amp;"/-"</f>
        <v>#N/A</v>
      </c>
      <c r="N115" t="e">
        <f ca="1">Tabelle7[[#This Row],[Hauptgruppe]]&amp;"/"&amp;Tabelle7[[#This Row],[Mittelgruppe]]&amp;"/"&amp;Tabelle7[[#This Row],[Untergruppe]]</f>
        <v>#N/A</v>
      </c>
      <c r="O115" t="e">
        <f>INDEX(Tabelle6[Aktor],MATCH(Tabelle7[[#This Row],[Gesamtcode]],Tabelle6[Gesamtcode],0))&amp;" "&amp;INDEX(Tabelle6[Aktorkanal],MATCH(Tabelle7[[#This Row],[Gesamtcode]],Tabelle6[Gesamtcode],0))</f>
        <v>#N/A</v>
      </c>
    </row>
    <row r="116" spans="2:15" x14ac:dyDescent="0.25">
      <c r="B116" t="s">
        <v>272</v>
      </c>
      <c r="C116" t="e">
        <f>INDEX(Tabelle132[Zone],MATCH(Tabelle7[[#This Row],[Gesamtcode]],Tabelle132[Gesamtcode],0))</f>
        <v>#N/A</v>
      </c>
      <c r="D116" t="e">
        <f>INDEX(Tabelle132[Raum],MATCH(Tabelle7[[#This Row],[Gesamtcode]],Tabelle132[Gesamtcode],0))</f>
        <v>#N/A</v>
      </c>
      <c r="E116" t="e">
        <f>INDEX(Tabelle132[Bezeichnung],MATCH(Tabelle7[[#This Row],[Gesamtcode]],Tabelle132[Gesamtcode],0))</f>
        <v>#N/A</v>
      </c>
      <c r="F116" t="e">
        <f>"_"&amp;INDEX(Tabelle132[Geräte/Gewerke],MATCH(Tabelle7[[#This Row],[Gesamtcode]],Tabelle132[Gesamtcode],0))</f>
        <v>#N/A</v>
      </c>
      <c r="G116" t="e">
        <f>INDEX(Tabelle13[Gewerknr.],MATCH(Tabelle7[[#This Row],[Gewerke]],Tabelle13[Hauptgruppe],0))</f>
        <v>#N/A</v>
      </c>
      <c r="H116" t="s">
        <v>278</v>
      </c>
      <c r="I116" t="e">
        <f ca="1">INDEX(Tabelle134[Funktionsbereichsnr.],MATCH(Tabelle7[[#This Row],[Funktionsbereiche]],INDIRECT("Tabelle134["&amp;Tabelle7[[#This Row],[Gewerke]]&amp;"]"),0))</f>
        <v>#N/A</v>
      </c>
      <c r="J116" t="e">
        <f>Tabelle7[[#This Row],[Gesamtcode]]&amp;"_"&amp;Tabelle7[[#This Row],[Zone]]&amp;"_"&amp;Tabelle7[[#This Row],[Raum]]&amp;"_"&amp;Tabelle7[[#This Row],[Bezeichnung]]</f>
        <v>#N/A</v>
      </c>
      <c r="K116">
        <v>8</v>
      </c>
      <c r="L116" t="e">
        <f>Tabelle7[[#This Row],[Hauptgruppe]]&amp;"/-/-"</f>
        <v>#N/A</v>
      </c>
      <c r="M116" t="e">
        <f ca="1">Tabelle7[[#This Row],[Hauptgruppe]]&amp;"/"&amp;Tabelle7[[#This Row],[Mittelgruppe]]&amp;"/-"</f>
        <v>#N/A</v>
      </c>
      <c r="N116" t="e">
        <f ca="1">Tabelle7[[#This Row],[Hauptgruppe]]&amp;"/"&amp;Tabelle7[[#This Row],[Mittelgruppe]]&amp;"/"&amp;Tabelle7[[#This Row],[Untergruppe]]</f>
        <v>#N/A</v>
      </c>
      <c r="O116" t="e">
        <f>INDEX(Tabelle6[Aktor],MATCH(Tabelle7[[#This Row],[Gesamtcode]],Tabelle6[Gesamtcode],0))&amp;" "&amp;INDEX(Tabelle6[Aktorkanal],MATCH(Tabelle7[[#This Row],[Gesamtcode]],Tabelle6[Gesamtcode],0))</f>
        <v>#N/A</v>
      </c>
    </row>
    <row r="117" spans="2:15" x14ac:dyDescent="0.25">
      <c r="B117" t="s">
        <v>273</v>
      </c>
      <c r="C117" t="e">
        <f>INDEX(Tabelle132[Zone],MATCH(Tabelle7[[#This Row],[Gesamtcode]],Tabelle132[Gesamtcode],0))</f>
        <v>#N/A</v>
      </c>
      <c r="D117" t="e">
        <f>INDEX(Tabelle132[Raum],MATCH(Tabelle7[[#This Row],[Gesamtcode]],Tabelle132[Gesamtcode],0))</f>
        <v>#N/A</v>
      </c>
      <c r="E117" t="e">
        <f>INDEX(Tabelle132[Bezeichnung],MATCH(Tabelle7[[#This Row],[Gesamtcode]],Tabelle132[Gesamtcode],0))</f>
        <v>#N/A</v>
      </c>
      <c r="F117" t="e">
        <f>"_"&amp;INDEX(Tabelle132[Geräte/Gewerke],MATCH(Tabelle7[[#This Row],[Gesamtcode]],Tabelle132[Gesamtcode],0))</f>
        <v>#N/A</v>
      </c>
      <c r="G117" t="e">
        <f>INDEX(Tabelle13[Gewerknr.],MATCH(Tabelle7[[#This Row],[Gewerke]],Tabelle13[Hauptgruppe],0))</f>
        <v>#N/A</v>
      </c>
      <c r="H117" t="s">
        <v>278</v>
      </c>
      <c r="I117" t="e">
        <f ca="1">INDEX(Tabelle134[Funktionsbereichsnr.],MATCH(Tabelle7[[#This Row],[Funktionsbereiche]],INDIRECT("Tabelle134["&amp;Tabelle7[[#This Row],[Gewerke]]&amp;"]"),0))</f>
        <v>#N/A</v>
      </c>
      <c r="J117" t="e">
        <f>Tabelle7[[#This Row],[Gesamtcode]]&amp;"_"&amp;Tabelle7[[#This Row],[Zone]]&amp;"_"&amp;Tabelle7[[#This Row],[Raum]]&amp;"_"&amp;Tabelle7[[#This Row],[Bezeichnung]]</f>
        <v>#N/A</v>
      </c>
      <c r="K117">
        <v>9</v>
      </c>
      <c r="L117" t="e">
        <f>Tabelle7[[#This Row],[Hauptgruppe]]&amp;"/-/-"</f>
        <v>#N/A</v>
      </c>
      <c r="M117" t="e">
        <f ca="1">Tabelle7[[#This Row],[Hauptgruppe]]&amp;"/"&amp;Tabelle7[[#This Row],[Mittelgruppe]]&amp;"/-"</f>
        <v>#N/A</v>
      </c>
      <c r="N117" t="e">
        <f ca="1">Tabelle7[[#This Row],[Hauptgruppe]]&amp;"/"&amp;Tabelle7[[#This Row],[Mittelgruppe]]&amp;"/"&amp;Tabelle7[[#This Row],[Untergruppe]]</f>
        <v>#N/A</v>
      </c>
      <c r="O117" t="e">
        <f>INDEX(Tabelle6[Aktor],MATCH(Tabelle7[[#This Row],[Gesamtcode]],Tabelle6[Gesamtcode],0))&amp;" "&amp;INDEX(Tabelle6[Aktorkanal],MATCH(Tabelle7[[#This Row],[Gesamtcode]],Tabelle6[Gesamtcode],0))</f>
        <v>#N/A</v>
      </c>
    </row>
    <row r="118" spans="2:15" x14ac:dyDescent="0.25">
      <c r="B118" t="s">
        <v>254</v>
      </c>
      <c r="C118" t="e">
        <f>INDEX(Tabelle132[Zone],MATCH(Tabelle7[[#This Row],[Gesamtcode]],Tabelle132[Gesamtcode],0))</f>
        <v>#N/A</v>
      </c>
      <c r="D118" t="e">
        <f>INDEX(Tabelle132[Raum],MATCH(Tabelle7[[#This Row],[Gesamtcode]],Tabelle132[Gesamtcode],0))</f>
        <v>#N/A</v>
      </c>
      <c r="E118" t="e">
        <f>INDEX(Tabelle132[Bezeichnung],MATCH(Tabelle7[[#This Row],[Gesamtcode]],Tabelle132[Gesamtcode],0))</f>
        <v>#N/A</v>
      </c>
      <c r="F118" t="e">
        <f>"_"&amp;INDEX(Tabelle132[Geräte/Gewerke],MATCH(Tabelle7[[#This Row],[Gesamtcode]],Tabelle132[Gesamtcode],0))</f>
        <v>#N/A</v>
      </c>
      <c r="G118" t="e">
        <f>INDEX(Tabelle13[Gewerknr.],MATCH(Tabelle7[[#This Row],[Gewerke]],Tabelle13[Hauptgruppe],0))</f>
        <v>#N/A</v>
      </c>
      <c r="H118" t="s">
        <v>279</v>
      </c>
      <c r="I118" t="e">
        <f ca="1">INDEX(Tabelle134[Funktionsbereichsnr.],MATCH(Tabelle7[[#This Row],[Funktionsbereiche]],INDIRECT("Tabelle134["&amp;Tabelle7[[#This Row],[Gewerke]]&amp;"]"),0))</f>
        <v>#N/A</v>
      </c>
      <c r="J118" t="e">
        <f>Tabelle7[[#This Row],[Gesamtcode]]&amp;"_"&amp;Tabelle7[[#This Row],[Zone]]&amp;"_"&amp;Tabelle7[[#This Row],[Raum]]&amp;"_"&amp;Tabelle7[[#This Row],[Bezeichnung]]</f>
        <v>#N/A</v>
      </c>
      <c r="K118">
        <v>0</v>
      </c>
      <c r="L118" t="e">
        <f>Tabelle7[[#This Row],[Hauptgruppe]]&amp;"/-/-"</f>
        <v>#N/A</v>
      </c>
      <c r="M118" t="e">
        <f ca="1">Tabelle7[[#This Row],[Hauptgruppe]]&amp;"/"&amp;Tabelle7[[#This Row],[Mittelgruppe]]&amp;"/-"</f>
        <v>#N/A</v>
      </c>
      <c r="N118" t="e">
        <f ca="1">Tabelle7[[#This Row],[Hauptgruppe]]&amp;"/"&amp;Tabelle7[[#This Row],[Mittelgruppe]]&amp;"/"&amp;Tabelle7[[#This Row],[Untergruppe]]</f>
        <v>#N/A</v>
      </c>
      <c r="O118" t="e">
        <f>INDEX(Tabelle6[Aktor],MATCH(Tabelle7[[#This Row],[Gesamtcode]],Tabelle6[Gesamtcode],0))&amp;" "&amp;INDEX(Tabelle6[Aktorkanal],MATCH(Tabelle7[[#This Row],[Gesamtcode]],Tabelle6[Gesamtcode],0))</f>
        <v>#N/A</v>
      </c>
    </row>
    <row r="119" spans="2:15" x14ac:dyDescent="0.25">
      <c r="B119" t="s">
        <v>256</v>
      </c>
      <c r="C119" t="e">
        <f>INDEX(Tabelle132[Zone],MATCH(Tabelle7[[#This Row],[Gesamtcode]],Tabelle132[Gesamtcode],0))</f>
        <v>#N/A</v>
      </c>
      <c r="D119" t="e">
        <f>INDEX(Tabelle132[Raum],MATCH(Tabelle7[[#This Row],[Gesamtcode]],Tabelle132[Gesamtcode],0))</f>
        <v>#N/A</v>
      </c>
      <c r="E119" t="e">
        <f>INDEX(Tabelle132[Bezeichnung],MATCH(Tabelle7[[#This Row],[Gesamtcode]],Tabelle132[Gesamtcode],0))</f>
        <v>#N/A</v>
      </c>
      <c r="F119" t="e">
        <f>"_"&amp;INDEX(Tabelle132[Geräte/Gewerke],MATCH(Tabelle7[[#This Row],[Gesamtcode]],Tabelle132[Gesamtcode],0))</f>
        <v>#N/A</v>
      </c>
      <c r="G119" t="e">
        <f>INDEX(Tabelle13[Gewerknr.],MATCH(Tabelle7[[#This Row],[Gewerke]],Tabelle13[Hauptgruppe],0))</f>
        <v>#N/A</v>
      </c>
      <c r="H119" t="s">
        <v>279</v>
      </c>
      <c r="I119" t="e">
        <f ca="1">INDEX(Tabelle134[Funktionsbereichsnr.],MATCH(Tabelle7[[#This Row],[Funktionsbereiche]],INDIRECT("Tabelle134["&amp;Tabelle7[[#This Row],[Gewerke]]&amp;"]"),0))</f>
        <v>#N/A</v>
      </c>
      <c r="J119" t="e">
        <f>Tabelle7[[#This Row],[Gesamtcode]]&amp;"_"&amp;Tabelle7[[#This Row],[Zone]]&amp;"_"&amp;Tabelle7[[#This Row],[Raum]]&amp;"_"&amp;Tabelle7[[#This Row],[Bezeichnung]]</f>
        <v>#N/A</v>
      </c>
      <c r="K119">
        <v>1</v>
      </c>
      <c r="L119" t="e">
        <f>Tabelle7[[#This Row],[Hauptgruppe]]&amp;"/-/-"</f>
        <v>#N/A</v>
      </c>
      <c r="M119" t="e">
        <f ca="1">Tabelle7[[#This Row],[Hauptgruppe]]&amp;"/"&amp;Tabelle7[[#This Row],[Mittelgruppe]]&amp;"/-"</f>
        <v>#N/A</v>
      </c>
      <c r="N119" t="e">
        <f ca="1">Tabelle7[[#This Row],[Hauptgruppe]]&amp;"/"&amp;Tabelle7[[#This Row],[Mittelgruppe]]&amp;"/"&amp;Tabelle7[[#This Row],[Untergruppe]]</f>
        <v>#N/A</v>
      </c>
      <c r="O119" t="e">
        <f>INDEX(Tabelle6[Aktor],MATCH(Tabelle7[[#This Row],[Gesamtcode]],Tabelle6[Gesamtcode],0))&amp;" "&amp;INDEX(Tabelle6[Aktorkanal],MATCH(Tabelle7[[#This Row],[Gesamtcode]],Tabelle6[Gesamtcode],0))</f>
        <v>#N/A</v>
      </c>
    </row>
    <row r="120" spans="2:15" x14ac:dyDescent="0.25">
      <c r="B120" t="s">
        <v>257</v>
      </c>
      <c r="C120" t="e">
        <f>INDEX(Tabelle132[Zone],MATCH(Tabelle7[[#This Row],[Gesamtcode]],Tabelle132[Gesamtcode],0))</f>
        <v>#N/A</v>
      </c>
      <c r="D120" t="e">
        <f>INDEX(Tabelle132[Raum],MATCH(Tabelle7[[#This Row],[Gesamtcode]],Tabelle132[Gesamtcode],0))</f>
        <v>#N/A</v>
      </c>
      <c r="E120" t="e">
        <f>INDEX(Tabelle132[Bezeichnung],MATCH(Tabelle7[[#This Row],[Gesamtcode]],Tabelle132[Gesamtcode],0))</f>
        <v>#N/A</v>
      </c>
      <c r="F120" t="e">
        <f>"_"&amp;INDEX(Tabelle132[Geräte/Gewerke],MATCH(Tabelle7[[#This Row],[Gesamtcode]],Tabelle132[Gesamtcode],0))</f>
        <v>#N/A</v>
      </c>
      <c r="G120" t="e">
        <f>INDEX(Tabelle13[Gewerknr.],MATCH(Tabelle7[[#This Row],[Gewerke]],Tabelle13[Hauptgruppe],0))</f>
        <v>#N/A</v>
      </c>
      <c r="H120" t="s">
        <v>279</v>
      </c>
      <c r="I120" t="e">
        <f ca="1">INDEX(Tabelle134[Funktionsbereichsnr.],MATCH(Tabelle7[[#This Row],[Funktionsbereiche]],INDIRECT("Tabelle134["&amp;Tabelle7[[#This Row],[Gewerke]]&amp;"]"),0))</f>
        <v>#N/A</v>
      </c>
      <c r="J120" t="e">
        <f>Tabelle7[[#This Row],[Gesamtcode]]&amp;"_"&amp;Tabelle7[[#This Row],[Zone]]&amp;"_"&amp;Tabelle7[[#This Row],[Raum]]&amp;"_"&amp;Tabelle7[[#This Row],[Bezeichnung]]</f>
        <v>#N/A</v>
      </c>
      <c r="K120">
        <v>10</v>
      </c>
      <c r="L120" t="e">
        <f>Tabelle7[[#This Row],[Hauptgruppe]]&amp;"/-/-"</f>
        <v>#N/A</v>
      </c>
      <c r="M120" t="e">
        <f ca="1">Tabelle7[[#This Row],[Hauptgruppe]]&amp;"/"&amp;Tabelle7[[#This Row],[Mittelgruppe]]&amp;"/-"</f>
        <v>#N/A</v>
      </c>
      <c r="N120" t="e">
        <f ca="1">Tabelle7[[#This Row],[Hauptgruppe]]&amp;"/"&amp;Tabelle7[[#This Row],[Mittelgruppe]]&amp;"/"&amp;Tabelle7[[#This Row],[Untergruppe]]</f>
        <v>#N/A</v>
      </c>
      <c r="O120" t="e">
        <f>INDEX(Tabelle6[Aktor],MATCH(Tabelle7[[#This Row],[Gesamtcode]],Tabelle6[Gesamtcode],0))&amp;" "&amp;INDEX(Tabelle6[Aktorkanal],MATCH(Tabelle7[[#This Row],[Gesamtcode]],Tabelle6[Gesamtcode],0))</f>
        <v>#N/A</v>
      </c>
    </row>
    <row r="121" spans="2:15" x14ac:dyDescent="0.25">
      <c r="B121" t="s">
        <v>258</v>
      </c>
      <c r="C121" t="e">
        <f>INDEX(Tabelle132[Zone],MATCH(Tabelle7[[#This Row],[Gesamtcode]],Tabelle132[Gesamtcode],0))</f>
        <v>#N/A</v>
      </c>
      <c r="D121" t="e">
        <f>INDEX(Tabelle132[Raum],MATCH(Tabelle7[[#This Row],[Gesamtcode]],Tabelle132[Gesamtcode],0))</f>
        <v>#N/A</v>
      </c>
      <c r="E121" t="e">
        <f>INDEX(Tabelle132[Bezeichnung],MATCH(Tabelle7[[#This Row],[Gesamtcode]],Tabelle132[Gesamtcode],0))</f>
        <v>#N/A</v>
      </c>
      <c r="F121" t="e">
        <f>"_"&amp;INDEX(Tabelle132[Geräte/Gewerke],MATCH(Tabelle7[[#This Row],[Gesamtcode]],Tabelle132[Gesamtcode],0))</f>
        <v>#N/A</v>
      </c>
      <c r="G121" t="e">
        <f>INDEX(Tabelle13[Gewerknr.],MATCH(Tabelle7[[#This Row],[Gewerke]],Tabelle13[Hauptgruppe],0))</f>
        <v>#N/A</v>
      </c>
      <c r="H121" t="s">
        <v>279</v>
      </c>
      <c r="I121" t="e">
        <f ca="1">INDEX(Tabelle134[Funktionsbereichsnr.],MATCH(Tabelle7[[#This Row],[Funktionsbereiche]],INDIRECT("Tabelle134["&amp;Tabelle7[[#This Row],[Gewerke]]&amp;"]"),0))</f>
        <v>#N/A</v>
      </c>
      <c r="J121" t="e">
        <f>Tabelle7[[#This Row],[Gesamtcode]]&amp;"_"&amp;Tabelle7[[#This Row],[Zone]]&amp;"_"&amp;Tabelle7[[#This Row],[Raum]]&amp;"_"&amp;Tabelle7[[#This Row],[Bezeichnung]]</f>
        <v>#N/A</v>
      </c>
      <c r="K121">
        <v>11</v>
      </c>
      <c r="L121" t="e">
        <f>Tabelle7[[#This Row],[Hauptgruppe]]&amp;"/-/-"</f>
        <v>#N/A</v>
      </c>
      <c r="M121" t="e">
        <f ca="1">Tabelle7[[#This Row],[Hauptgruppe]]&amp;"/"&amp;Tabelle7[[#This Row],[Mittelgruppe]]&amp;"/-"</f>
        <v>#N/A</v>
      </c>
      <c r="N121" t="e">
        <f ca="1">Tabelle7[[#This Row],[Hauptgruppe]]&amp;"/"&amp;Tabelle7[[#This Row],[Mittelgruppe]]&amp;"/"&amp;Tabelle7[[#This Row],[Untergruppe]]</f>
        <v>#N/A</v>
      </c>
      <c r="O121" t="e">
        <f>INDEX(Tabelle6[Aktor],MATCH(Tabelle7[[#This Row],[Gesamtcode]],Tabelle6[Gesamtcode],0))&amp;" "&amp;INDEX(Tabelle6[Aktorkanal],MATCH(Tabelle7[[#This Row],[Gesamtcode]],Tabelle6[Gesamtcode],0))</f>
        <v>#N/A</v>
      </c>
    </row>
    <row r="122" spans="2:15" x14ac:dyDescent="0.25">
      <c r="B122" t="s">
        <v>259</v>
      </c>
      <c r="C122" t="e">
        <f>INDEX(Tabelle132[Zone],MATCH(Tabelle7[[#This Row],[Gesamtcode]],Tabelle132[Gesamtcode],0))</f>
        <v>#N/A</v>
      </c>
      <c r="D122" t="e">
        <f>INDEX(Tabelle132[Raum],MATCH(Tabelle7[[#This Row],[Gesamtcode]],Tabelle132[Gesamtcode],0))</f>
        <v>#N/A</v>
      </c>
      <c r="E122" t="e">
        <f>INDEX(Tabelle132[Bezeichnung],MATCH(Tabelle7[[#This Row],[Gesamtcode]],Tabelle132[Gesamtcode],0))</f>
        <v>#N/A</v>
      </c>
      <c r="F122" t="e">
        <f>"_"&amp;INDEX(Tabelle132[Geräte/Gewerke],MATCH(Tabelle7[[#This Row],[Gesamtcode]],Tabelle132[Gesamtcode],0))</f>
        <v>#N/A</v>
      </c>
      <c r="G122" t="e">
        <f>INDEX(Tabelle13[Gewerknr.],MATCH(Tabelle7[[#This Row],[Gewerke]],Tabelle13[Hauptgruppe],0))</f>
        <v>#N/A</v>
      </c>
      <c r="H122" t="s">
        <v>279</v>
      </c>
      <c r="I122" t="e">
        <f ca="1">INDEX(Tabelle134[Funktionsbereichsnr.],MATCH(Tabelle7[[#This Row],[Funktionsbereiche]],INDIRECT("Tabelle134["&amp;Tabelle7[[#This Row],[Gewerke]]&amp;"]"),0))</f>
        <v>#N/A</v>
      </c>
      <c r="J122" t="e">
        <f>Tabelle7[[#This Row],[Gesamtcode]]&amp;"_"&amp;Tabelle7[[#This Row],[Zone]]&amp;"_"&amp;Tabelle7[[#This Row],[Raum]]&amp;"_"&amp;Tabelle7[[#This Row],[Bezeichnung]]</f>
        <v>#N/A</v>
      </c>
      <c r="K122">
        <v>12</v>
      </c>
      <c r="L122" t="e">
        <f>Tabelle7[[#This Row],[Hauptgruppe]]&amp;"/-/-"</f>
        <v>#N/A</v>
      </c>
      <c r="M122" t="e">
        <f ca="1">Tabelle7[[#This Row],[Hauptgruppe]]&amp;"/"&amp;Tabelle7[[#This Row],[Mittelgruppe]]&amp;"/-"</f>
        <v>#N/A</v>
      </c>
      <c r="N122" t="e">
        <f ca="1">Tabelle7[[#This Row],[Hauptgruppe]]&amp;"/"&amp;Tabelle7[[#This Row],[Mittelgruppe]]&amp;"/"&amp;Tabelle7[[#This Row],[Untergruppe]]</f>
        <v>#N/A</v>
      </c>
      <c r="O122" t="e">
        <f>INDEX(Tabelle6[Aktor],MATCH(Tabelle7[[#This Row],[Gesamtcode]],Tabelle6[Gesamtcode],0))&amp;" "&amp;INDEX(Tabelle6[Aktorkanal],MATCH(Tabelle7[[#This Row],[Gesamtcode]],Tabelle6[Gesamtcode],0))</f>
        <v>#N/A</v>
      </c>
    </row>
    <row r="123" spans="2:15" x14ac:dyDescent="0.25">
      <c r="B123" t="s">
        <v>260</v>
      </c>
      <c r="C123" t="e">
        <f>INDEX(Tabelle132[Zone],MATCH(Tabelle7[[#This Row],[Gesamtcode]],Tabelle132[Gesamtcode],0))</f>
        <v>#N/A</v>
      </c>
      <c r="D123" t="e">
        <f>INDEX(Tabelle132[Raum],MATCH(Tabelle7[[#This Row],[Gesamtcode]],Tabelle132[Gesamtcode],0))</f>
        <v>#N/A</v>
      </c>
      <c r="E123" t="e">
        <f>INDEX(Tabelle132[Bezeichnung],MATCH(Tabelle7[[#This Row],[Gesamtcode]],Tabelle132[Gesamtcode],0))</f>
        <v>#N/A</v>
      </c>
      <c r="F123" t="e">
        <f>"_"&amp;INDEX(Tabelle132[Geräte/Gewerke],MATCH(Tabelle7[[#This Row],[Gesamtcode]],Tabelle132[Gesamtcode],0))</f>
        <v>#N/A</v>
      </c>
      <c r="G123" t="e">
        <f>INDEX(Tabelle13[Gewerknr.],MATCH(Tabelle7[[#This Row],[Gewerke]],Tabelle13[Hauptgruppe],0))</f>
        <v>#N/A</v>
      </c>
      <c r="H123" t="s">
        <v>279</v>
      </c>
      <c r="I123" t="e">
        <f ca="1">INDEX(Tabelle134[Funktionsbereichsnr.],MATCH(Tabelle7[[#This Row],[Funktionsbereiche]],INDIRECT("Tabelle134["&amp;Tabelle7[[#This Row],[Gewerke]]&amp;"]"),0))</f>
        <v>#N/A</v>
      </c>
      <c r="J123" t="e">
        <f>Tabelle7[[#This Row],[Gesamtcode]]&amp;"_"&amp;Tabelle7[[#This Row],[Zone]]&amp;"_"&amp;Tabelle7[[#This Row],[Raum]]&amp;"_"&amp;Tabelle7[[#This Row],[Bezeichnung]]</f>
        <v>#N/A</v>
      </c>
      <c r="K123">
        <v>13</v>
      </c>
      <c r="L123" t="e">
        <f>Tabelle7[[#This Row],[Hauptgruppe]]&amp;"/-/-"</f>
        <v>#N/A</v>
      </c>
      <c r="M123" t="e">
        <f ca="1">Tabelle7[[#This Row],[Hauptgruppe]]&amp;"/"&amp;Tabelle7[[#This Row],[Mittelgruppe]]&amp;"/-"</f>
        <v>#N/A</v>
      </c>
      <c r="N123" t="e">
        <f ca="1">Tabelle7[[#This Row],[Hauptgruppe]]&amp;"/"&amp;Tabelle7[[#This Row],[Mittelgruppe]]&amp;"/"&amp;Tabelle7[[#This Row],[Untergruppe]]</f>
        <v>#N/A</v>
      </c>
      <c r="O123" t="e">
        <f>INDEX(Tabelle6[Aktor],MATCH(Tabelle7[[#This Row],[Gesamtcode]],Tabelle6[Gesamtcode],0))&amp;" "&amp;INDEX(Tabelle6[Aktorkanal],MATCH(Tabelle7[[#This Row],[Gesamtcode]],Tabelle6[Gesamtcode],0))</f>
        <v>#N/A</v>
      </c>
    </row>
    <row r="124" spans="2:15" x14ac:dyDescent="0.25">
      <c r="B124" t="s">
        <v>261</v>
      </c>
      <c r="C124" t="e">
        <f>INDEX(Tabelle132[Zone],MATCH(Tabelle7[[#This Row],[Gesamtcode]],Tabelle132[Gesamtcode],0))</f>
        <v>#N/A</v>
      </c>
      <c r="D124" t="e">
        <f>INDEX(Tabelle132[Raum],MATCH(Tabelle7[[#This Row],[Gesamtcode]],Tabelle132[Gesamtcode],0))</f>
        <v>#N/A</v>
      </c>
      <c r="E124" t="e">
        <f>INDEX(Tabelle132[Bezeichnung],MATCH(Tabelle7[[#This Row],[Gesamtcode]],Tabelle132[Gesamtcode],0))</f>
        <v>#N/A</v>
      </c>
      <c r="F124" t="e">
        <f>"_"&amp;INDEX(Tabelle132[Geräte/Gewerke],MATCH(Tabelle7[[#This Row],[Gesamtcode]],Tabelle132[Gesamtcode],0))</f>
        <v>#N/A</v>
      </c>
      <c r="G124" t="e">
        <f>INDEX(Tabelle13[Gewerknr.],MATCH(Tabelle7[[#This Row],[Gewerke]],Tabelle13[Hauptgruppe],0))</f>
        <v>#N/A</v>
      </c>
      <c r="H124" t="s">
        <v>279</v>
      </c>
      <c r="I124" t="e">
        <f ca="1">INDEX(Tabelle134[Funktionsbereichsnr.],MATCH(Tabelle7[[#This Row],[Funktionsbereiche]],INDIRECT("Tabelle134["&amp;Tabelle7[[#This Row],[Gewerke]]&amp;"]"),0))</f>
        <v>#N/A</v>
      </c>
      <c r="J124" t="e">
        <f>Tabelle7[[#This Row],[Gesamtcode]]&amp;"_"&amp;Tabelle7[[#This Row],[Zone]]&amp;"_"&amp;Tabelle7[[#This Row],[Raum]]&amp;"_"&amp;Tabelle7[[#This Row],[Bezeichnung]]</f>
        <v>#N/A</v>
      </c>
      <c r="K124">
        <v>14</v>
      </c>
      <c r="L124" t="e">
        <f>Tabelle7[[#This Row],[Hauptgruppe]]&amp;"/-/-"</f>
        <v>#N/A</v>
      </c>
      <c r="M124" t="e">
        <f ca="1">Tabelle7[[#This Row],[Hauptgruppe]]&amp;"/"&amp;Tabelle7[[#This Row],[Mittelgruppe]]&amp;"/-"</f>
        <v>#N/A</v>
      </c>
      <c r="N124" t="e">
        <f ca="1">Tabelle7[[#This Row],[Hauptgruppe]]&amp;"/"&amp;Tabelle7[[#This Row],[Mittelgruppe]]&amp;"/"&amp;Tabelle7[[#This Row],[Untergruppe]]</f>
        <v>#N/A</v>
      </c>
      <c r="O124" t="e">
        <f>INDEX(Tabelle6[Aktor],MATCH(Tabelle7[[#This Row],[Gesamtcode]],Tabelle6[Gesamtcode],0))&amp;" "&amp;INDEX(Tabelle6[Aktorkanal],MATCH(Tabelle7[[#This Row],[Gesamtcode]],Tabelle6[Gesamtcode],0))</f>
        <v>#N/A</v>
      </c>
    </row>
    <row r="125" spans="2:15" x14ac:dyDescent="0.25">
      <c r="B125" t="s">
        <v>262</v>
      </c>
      <c r="C125" t="e">
        <f>INDEX(Tabelle132[Zone],MATCH(Tabelle7[[#This Row],[Gesamtcode]],Tabelle132[Gesamtcode],0))</f>
        <v>#N/A</v>
      </c>
      <c r="D125" t="e">
        <f>INDEX(Tabelle132[Raum],MATCH(Tabelle7[[#This Row],[Gesamtcode]],Tabelle132[Gesamtcode],0))</f>
        <v>#N/A</v>
      </c>
      <c r="E125" t="e">
        <f>INDEX(Tabelle132[Bezeichnung],MATCH(Tabelle7[[#This Row],[Gesamtcode]],Tabelle132[Gesamtcode],0))</f>
        <v>#N/A</v>
      </c>
      <c r="F125" t="e">
        <f>"_"&amp;INDEX(Tabelle132[Geräte/Gewerke],MATCH(Tabelle7[[#This Row],[Gesamtcode]],Tabelle132[Gesamtcode],0))</f>
        <v>#N/A</v>
      </c>
      <c r="G125" t="e">
        <f>INDEX(Tabelle13[Gewerknr.],MATCH(Tabelle7[[#This Row],[Gewerke]],Tabelle13[Hauptgruppe],0))</f>
        <v>#N/A</v>
      </c>
      <c r="H125" t="s">
        <v>279</v>
      </c>
      <c r="I125" t="e">
        <f ca="1">INDEX(Tabelle134[Funktionsbereichsnr.],MATCH(Tabelle7[[#This Row],[Funktionsbereiche]],INDIRECT("Tabelle134["&amp;Tabelle7[[#This Row],[Gewerke]]&amp;"]"),0))</f>
        <v>#N/A</v>
      </c>
      <c r="J125" t="e">
        <f>Tabelle7[[#This Row],[Gesamtcode]]&amp;"_"&amp;Tabelle7[[#This Row],[Zone]]&amp;"_"&amp;Tabelle7[[#This Row],[Raum]]&amp;"_"&amp;Tabelle7[[#This Row],[Bezeichnung]]</f>
        <v>#N/A</v>
      </c>
      <c r="K125">
        <v>15</v>
      </c>
      <c r="L125" t="e">
        <f>Tabelle7[[#This Row],[Hauptgruppe]]&amp;"/-/-"</f>
        <v>#N/A</v>
      </c>
      <c r="M125" t="e">
        <f ca="1">Tabelle7[[#This Row],[Hauptgruppe]]&amp;"/"&amp;Tabelle7[[#This Row],[Mittelgruppe]]&amp;"/-"</f>
        <v>#N/A</v>
      </c>
      <c r="N125" t="e">
        <f ca="1">Tabelle7[[#This Row],[Hauptgruppe]]&amp;"/"&amp;Tabelle7[[#This Row],[Mittelgruppe]]&amp;"/"&amp;Tabelle7[[#This Row],[Untergruppe]]</f>
        <v>#N/A</v>
      </c>
      <c r="O125" t="e">
        <f>INDEX(Tabelle6[Aktor],MATCH(Tabelle7[[#This Row],[Gesamtcode]],Tabelle6[Gesamtcode],0))&amp;" "&amp;INDEX(Tabelle6[Aktorkanal],MATCH(Tabelle7[[#This Row],[Gesamtcode]],Tabelle6[Gesamtcode],0))</f>
        <v>#N/A</v>
      </c>
    </row>
    <row r="126" spans="2:15" x14ac:dyDescent="0.25">
      <c r="B126" t="s">
        <v>263</v>
      </c>
      <c r="C126" t="e">
        <f>INDEX(Tabelle132[Zone],MATCH(Tabelle7[[#This Row],[Gesamtcode]],Tabelle132[Gesamtcode],0))</f>
        <v>#N/A</v>
      </c>
      <c r="D126" t="e">
        <f>INDEX(Tabelle132[Raum],MATCH(Tabelle7[[#This Row],[Gesamtcode]],Tabelle132[Gesamtcode],0))</f>
        <v>#N/A</v>
      </c>
      <c r="E126" t="e">
        <f>INDEX(Tabelle132[Bezeichnung],MATCH(Tabelle7[[#This Row],[Gesamtcode]],Tabelle132[Gesamtcode],0))</f>
        <v>#N/A</v>
      </c>
      <c r="F126" t="e">
        <f>"_"&amp;INDEX(Tabelle132[Geräte/Gewerke],MATCH(Tabelle7[[#This Row],[Gesamtcode]],Tabelle132[Gesamtcode],0))</f>
        <v>#N/A</v>
      </c>
      <c r="G126" t="e">
        <f>INDEX(Tabelle13[Gewerknr.],MATCH(Tabelle7[[#This Row],[Gewerke]],Tabelle13[Hauptgruppe],0))</f>
        <v>#N/A</v>
      </c>
      <c r="H126" t="s">
        <v>279</v>
      </c>
      <c r="I126" t="e">
        <f ca="1">INDEX(Tabelle134[Funktionsbereichsnr.],MATCH(Tabelle7[[#This Row],[Funktionsbereiche]],INDIRECT("Tabelle134["&amp;Tabelle7[[#This Row],[Gewerke]]&amp;"]"),0))</f>
        <v>#N/A</v>
      </c>
      <c r="J126" t="e">
        <f>Tabelle7[[#This Row],[Gesamtcode]]&amp;"_"&amp;Tabelle7[[#This Row],[Zone]]&amp;"_"&amp;Tabelle7[[#This Row],[Raum]]&amp;"_"&amp;Tabelle7[[#This Row],[Bezeichnung]]</f>
        <v>#N/A</v>
      </c>
      <c r="K126">
        <v>16</v>
      </c>
      <c r="L126" t="e">
        <f>Tabelle7[[#This Row],[Hauptgruppe]]&amp;"/-/-"</f>
        <v>#N/A</v>
      </c>
      <c r="M126" t="e">
        <f ca="1">Tabelle7[[#This Row],[Hauptgruppe]]&amp;"/"&amp;Tabelle7[[#This Row],[Mittelgruppe]]&amp;"/-"</f>
        <v>#N/A</v>
      </c>
      <c r="N126" t="e">
        <f ca="1">Tabelle7[[#This Row],[Hauptgruppe]]&amp;"/"&amp;Tabelle7[[#This Row],[Mittelgruppe]]&amp;"/"&amp;Tabelle7[[#This Row],[Untergruppe]]</f>
        <v>#N/A</v>
      </c>
      <c r="O126" t="e">
        <f>INDEX(Tabelle6[Aktor],MATCH(Tabelle7[[#This Row],[Gesamtcode]],Tabelle6[Gesamtcode],0))&amp;" "&amp;INDEX(Tabelle6[Aktorkanal],MATCH(Tabelle7[[#This Row],[Gesamtcode]],Tabelle6[Gesamtcode],0))</f>
        <v>#N/A</v>
      </c>
    </row>
    <row r="127" spans="2:15" x14ac:dyDescent="0.25">
      <c r="B127" t="s">
        <v>264</v>
      </c>
      <c r="C127" t="e">
        <f>INDEX(Tabelle132[Zone],MATCH(Tabelle7[[#This Row],[Gesamtcode]],Tabelle132[Gesamtcode],0))</f>
        <v>#N/A</v>
      </c>
      <c r="D127" t="e">
        <f>INDEX(Tabelle132[Raum],MATCH(Tabelle7[[#This Row],[Gesamtcode]],Tabelle132[Gesamtcode],0))</f>
        <v>#N/A</v>
      </c>
      <c r="E127" t="e">
        <f>INDEX(Tabelle132[Bezeichnung],MATCH(Tabelle7[[#This Row],[Gesamtcode]],Tabelle132[Gesamtcode],0))</f>
        <v>#N/A</v>
      </c>
      <c r="F127" t="e">
        <f>"_"&amp;INDEX(Tabelle132[Geräte/Gewerke],MATCH(Tabelle7[[#This Row],[Gesamtcode]],Tabelle132[Gesamtcode],0))</f>
        <v>#N/A</v>
      </c>
      <c r="G127" t="e">
        <f>INDEX(Tabelle13[Gewerknr.],MATCH(Tabelle7[[#This Row],[Gewerke]],Tabelle13[Hauptgruppe],0))</f>
        <v>#N/A</v>
      </c>
      <c r="H127" t="s">
        <v>279</v>
      </c>
      <c r="I127" t="e">
        <f ca="1">INDEX(Tabelle134[Funktionsbereichsnr.],MATCH(Tabelle7[[#This Row],[Funktionsbereiche]],INDIRECT("Tabelle134["&amp;Tabelle7[[#This Row],[Gewerke]]&amp;"]"),0))</f>
        <v>#N/A</v>
      </c>
      <c r="J127" t="e">
        <f>Tabelle7[[#This Row],[Gesamtcode]]&amp;"_"&amp;Tabelle7[[#This Row],[Zone]]&amp;"_"&amp;Tabelle7[[#This Row],[Raum]]&amp;"_"&amp;Tabelle7[[#This Row],[Bezeichnung]]</f>
        <v>#N/A</v>
      </c>
      <c r="K127">
        <v>17</v>
      </c>
      <c r="L127" t="e">
        <f>Tabelle7[[#This Row],[Hauptgruppe]]&amp;"/-/-"</f>
        <v>#N/A</v>
      </c>
      <c r="M127" t="e">
        <f ca="1">Tabelle7[[#This Row],[Hauptgruppe]]&amp;"/"&amp;Tabelle7[[#This Row],[Mittelgruppe]]&amp;"/-"</f>
        <v>#N/A</v>
      </c>
      <c r="N127" t="e">
        <f ca="1">Tabelle7[[#This Row],[Hauptgruppe]]&amp;"/"&amp;Tabelle7[[#This Row],[Mittelgruppe]]&amp;"/"&amp;Tabelle7[[#This Row],[Untergruppe]]</f>
        <v>#N/A</v>
      </c>
      <c r="O127" t="e">
        <f>INDEX(Tabelle6[Aktor],MATCH(Tabelle7[[#This Row],[Gesamtcode]],Tabelle6[Gesamtcode],0))&amp;" "&amp;INDEX(Tabelle6[Aktorkanal],MATCH(Tabelle7[[#This Row],[Gesamtcode]],Tabelle6[Gesamtcode],0))</f>
        <v>#N/A</v>
      </c>
    </row>
    <row r="128" spans="2:15" x14ac:dyDescent="0.25">
      <c r="B128" t="s">
        <v>265</v>
      </c>
      <c r="C128" t="e">
        <f>INDEX(Tabelle132[Zone],MATCH(Tabelle7[[#This Row],[Gesamtcode]],Tabelle132[Gesamtcode],0))</f>
        <v>#N/A</v>
      </c>
      <c r="D128" t="e">
        <f>INDEX(Tabelle132[Raum],MATCH(Tabelle7[[#This Row],[Gesamtcode]],Tabelle132[Gesamtcode],0))</f>
        <v>#N/A</v>
      </c>
      <c r="E128" t="e">
        <f>INDEX(Tabelle132[Bezeichnung],MATCH(Tabelle7[[#This Row],[Gesamtcode]],Tabelle132[Gesamtcode],0))</f>
        <v>#N/A</v>
      </c>
      <c r="F128" t="e">
        <f>"_"&amp;INDEX(Tabelle132[Geräte/Gewerke],MATCH(Tabelle7[[#This Row],[Gesamtcode]],Tabelle132[Gesamtcode],0))</f>
        <v>#N/A</v>
      </c>
      <c r="G128" t="e">
        <f>INDEX(Tabelle13[Gewerknr.],MATCH(Tabelle7[[#This Row],[Gewerke]],Tabelle13[Hauptgruppe],0))</f>
        <v>#N/A</v>
      </c>
      <c r="H128" t="s">
        <v>279</v>
      </c>
      <c r="I128" t="e">
        <f ca="1">INDEX(Tabelle134[Funktionsbereichsnr.],MATCH(Tabelle7[[#This Row],[Funktionsbereiche]],INDIRECT("Tabelle134["&amp;Tabelle7[[#This Row],[Gewerke]]&amp;"]"),0))</f>
        <v>#N/A</v>
      </c>
      <c r="J128" t="e">
        <f>Tabelle7[[#This Row],[Gesamtcode]]&amp;"_"&amp;Tabelle7[[#This Row],[Zone]]&amp;"_"&amp;Tabelle7[[#This Row],[Raum]]&amp;"_"&amp;Tabelle7[[#This Row],[Bezeichnung]]</f>
        <v>#N/A</v>
      </c>
      <c r="K128">
        <v>18</v>
      </c>
      <c r="L128" t="e">
        <f>Tabelle7[[#This Row],[Hauptgruppe]]&amp;"/-/-"</f>
        <v>#N/A</v>
      </c>
      <c r="M128" t="e">
        <f ca="1">Tabelle7[[#This Row],[Hauptgruppe]]&amp;"/"&amp;Tabelle7[[#This Row],[Mittelgruppe]]&amp;"/-"</f>
        <v>#N/A</v>
      </c>
      <c r="N128" t="e">
        <f ca="1">Tabelle7[[#This Row],[Hauptgruppe]]&amp;"/"&amp;Tabelle7[[#This Row],[Mittelgruppe]]&amp;"/"&amp;Tabelle7[[#This Row],[Untergruppe]]</f>
        <v>#N/A</v>
      </c>
      <c r="O128" t="e">
        <f>INDEX(Tabelle6[Aktor],MATCH(Tabelle7[[#This Row],[Gesamtcode]],Tabelle6[Gesamtcode],0))&amp;" "&amp;INDEX(Tabelle6[Aktorkanal],MATCH(Tabelle7[[#This Row],[Gesamtcode]],Tabelle6[Gesamtcode],0))</f>
        <v>#N/A</v>
      </c>
    </row>
    <row r="129" spans="2:15" x14ac:dyDescent="0.25">
      <c r="B129" t="s">
        <v>266</v>
      </c>
      <c r="C129" t="e">
        <f>INDEX(Tabelle132[Zone],MATCH(Tabelle7[[#This Row],[Gesamtcode]],Tabelle132[Gesamtcode],0))</f>
        <v>#N/A</v>
      </c>
      <c r="D129" t="e">
        <f>INDEX(Tabelle132[Raum],MATCH(Tabelle7[[#This Row],[Gesamtcode]],Tabelle132[Gesamtcode],0))</f>
        <v>#N/A</v>
      </c>
      <c r="E129" t="e">
        <f>INDEX(Tabelle132[Bezeichnung],MATCH(Tabelle7[[#This Row],[Gesamtcode]],Tabelle132[Gesamtcode],0))</f>
        <v>#N/A</v>
      </c>
      <c r="F129" t="e">
        <f>"_"&amp;INDEX(Tabelle132[Geräte/Gewerke],MATCH(Tabelle7[[#This Row],[Gesamtcode]],Tabelle132[Gesamtcode],0))</f>
        <v>#N/A</v>
      </c>
      <c r="G129" t="e">
        <f>INDEX(Tabelle13[Gewerknr.],MATCH(Tabelle7[[#This Row],[Gewerke]],Tabelle13[Hauptgruppe],0))</f>
        <v>#N/A</v>
      </c>
      <c r="H129" t="s">
        <v>279</v>
      </c>
      <c r="I129" t="e">
        <f ca="1">INDEX(Tabelle134[Funktionsbereichsnr.],MATCH(Tabelle7[[#This Row],[Funktionsbereiche]],INDIRECT("Tabelle134["&amp;Tabelle7[[#This Row],[Gewerke]]&amp;"]"),0))</f>
        <v>#N/A</v>
      </c>
      <c r="J129" t="e">
        <f>Tabelle7[[#This Row],[Gesamtcode]]&amp;"_"&amp;Tabelle7[[#This Row],[Zone]]&amp;"_"&amp;Tabelle7[[#This Row],[Raum]]&amp;"_"&amp;Tabelle7[[#This Row],[Bezeichnung]]</f>
        <v>#N/A</v>
      </c>
      <c r="K129">
        <v>2</v>
      </c>
      <c r="L129" t="e">
        <f>Tabelle7[[#This Row],[Hauptgruppe]]&amp;"/-/-"</f>
        <v>#N/A</v>
      </c>
      <c r="M129" t="e">
        <f ca="1">Tabelle7[[#This Row],[Hauptgruppe]]&amp;"/"&amp;Tabelle7[[#This Row],[Mittelgruppe]]&amp;"/-"</f>
        <v>#N/A</v>
      </c>
      <c r="N129" t="e">
        <f ca="1">Tabelle7[[#This Row],[Hauptgruppe]]&amp;"/"&amp;Tabelle7[[#This Row],[Mittelgruppe]]&amp;"/"&amp;Tabelle7[[#This Row],[Untergruppe]]</f>
        <v>#N/A</v>
      </c>
      <c r="O129" t="e">
        <f>INDEX(Tabelle6[Aktor],MATCH(Tabelle7[[#This Row],[Gesamtcode]],Tabelle6[Gesamtcode],0))&amp;" "&amp;INDEX(Tabelle6[Aktorkanal],MATCH(Tabelle7[[#This Row],[Gesamtcode]],Tabelle6[Gesamtcode],0))</f>
        <v>#N/A</v>
      </c>
    </row>
    <row r="130" spans="2:15" x14ac:dyDescent="0.25">
      <c r="B130" t="s">
        <v>267</v>
      </c>
      <c r="C130" t="e">
        <f>INDEX(Tabelle132[Zone],MATCH(Tabelle7[[#This Row],[Gesamtcode]],Tabelle132[Gesamtcode],0))</f>
        <v>#N/A</v>
      </c>
      <c r="D130" t="e">
        <f>INDEX(Tabelle132[Raum],MATCH(Tabelle7[[#This Row],[Gesamtcode]],Tabelle132[Gesamtcode],0))</f>
        <v>#N/A</v>
      </c>
      <c r="E130" t="e">
        <f>INDEX(Tabelle132[Bezeichnung],MATCH(Tabelle7[[#This Row],[Gesamtcode]],Tabelle132[Gesamtcode],0))</f>
        <v>#N/A</v>
      </c>
      <c r="F130" t="e">
        <f>"_"&amp;INDEX(Tabelle132[Geräte/Gewerke],MATCH(Tabelle7[[#This Row],[Gesamtcode]],Tabelle132[Gesamtcode],0))</f>
        <v>#N/A</v>
      </c>
      <c r="G130" t="e">
        <f>INDEX(Tabelle13[Gewerknr.],MATCH(Tabelle7[[#This Row],[Gewerke]],Tabelle13[Hauptgruppe],0))</f>
        <v>#N/A</v>
      </c>
      <c r="H130" t="s">
        <v>279</v>
      </c>
      <c r="I130" t="e">
        <f ca="1">INDEX(Tabelle134[Funktionsbereichsnr.],MATCH(Tabelle7[[#This Row],[Funktionsbereiche]],INDIRECT("Tabelle134["&amp;Tabelle7[[#This Row],[Gewerke]]&amp;"]"),0))</f>
        <v>#N/A</v>
      </c>
      <c r="J130" t="e">
        <f>Tabelle7[[#This Row],[Gesamtcode]]&amp;"_"&amp;Tabelle7[[#This Row],[Zone]]&amp;"_"&amp;Tabelle7[[#This Row],[Raum]]&amp;"_"&amp;Tabelle7[[#This Row],[Bezeichnung]]</f>
        <v>#N/A</v>
      </c>
      <c r="K130">
        <v>3</v>
      </c>
      <c r="L130" t="e">
        <f>Tabelle7[[#This Row],[Hauptgruppe]]&amp;"/-/-"</f>
        <v>#N/A</v>
      </c>
      <c r="M130" t="e">
        <f ca="1">Tabelle7[[#This Row],[Hauptgruppe]]&amp;"/"&amp;Tabelle7[[#This Row],[Mittelgruppe]]&amp;"/-"</f>
        <v>#N/A</v>
      </c>
      <c r="N130" t="e">
        <f ca="1">Tabelle7[[#This Row],[Hauptgruppe]]&amp;"/"&amp;Tabelle7[[#This Row],[Mittelgruppe]]&amp;"/"&amp;Tabelle7[[#This Row],[Untergruppe]]</f>
        <v>#N/A</v>
      </c>
      <c r="O130" t="e">
        <f>INDEX(Tabelle6[Aktor],MATCH(Tabelle7[[#This Row],[Gesamtcode]],Tabelle6[Gesamtcode],0))&amp;" "&amp;INDEX(Tabelle6[Aktorkanal],MATCH(Tabelle7[[#This Row],[Gesamtcode]],Tabelle6[Gesamtcode],0))</f>
        <v>#N/A</v>
      </c>
    </row>
    <row r="131" spans="2:15" x14ac:dyDescent="0.25">
      <c r="B131" t="s">
        <v>268</v>
      </c>
      <c r="C131" t="e">
        <f>INDEX(Tabelle132[Zone],MATCH(Tabelle7[[#This Row],[Gesamtcode]],Tabelle132[Gesamtcode],0))</f>
        <v>#N/A</v>
      </c>
      <c r="D131" t="e">
        <f>INDEX(Tabelle132[Raum],MATCH(Tabelle7[[#This Row],[Gesamtcode]],Tabelle132[Gesamtcode],0))</f>
        <v>#N/A</v>
      </c>
      <c r="E131" t="e">
        <f>INDEX(Tabelle132[Bezeichnung],MATCH(Tabelle7[[#This Row],[Gesamtcode]],Tabelle132[Gesamtcode],0))</f>
        <v>#N/A</v>
      </c>
      <c r="F131" t="e">
        <f>"_"&amp;INDEX(Tabelle132[Geräte/Gewerke],MATCH(Tabelle7[[#This Row],[Gesamtcode]],Tabelle132[Gesamtcode],0))</f>
        <v>#N/A</v>
      </c>
      <c r="G131" t="e">
        <f>INDEX(Tabelle13[Gewerknr.],MATCH(Tabelle7[[#This Row],[Gewerke]],Tabelle13[Hauptgruppe],0))</f>
        <v>#N/A</v>
      </c>
      <c r="H131" t="s">
        <v>279</v>
      </c>
      <c r="I131" t="e">
        <f ca="1">INDEX(Tabelle134[Funktionsbereichsnr.],MATCH(Tabelle7[[#This Row],[Funktionsbereiche]],INDIRECT("Tabelle134["&amp;Tabelle7[[#This Row],[Gewerke]]&amp;"]"),0))</f>
        <v>#N/A</v>
      </c>
      <c r="J131" t="e">
        <f>Tabelle7[[#This Row],[Gesamtcode]]&amp;"_"&amp;Tabelle7[[#This Row],[Zone]]&amp;"_"&amp;Tabelle7[[#This Row],[Raum]]&amp;"_"&amp;Tabelle7[[#This Row],[Bezeichnung]]</f>
        <v>#N/A</v>
      </c>
      <c r="K131">
        <v>4</v>
      </c>
      <c r="L131" t="e">
        <f>Tabelle7[[#This Row],[Hauptgruppe]]&amp;"/-/-"</f>
        <v>#N/A</v>
      </c>
      <c r="M131" t="e">
        <f ca="1">Tabelle7[[#This Row],[Hauptgruppe]]&amp;"/"&amp;Tabelle7[[#This Row],[Mittelgruppe]]&amp;"/-"</f>
        <v>#N/A</v>
      </c>
      <c r="N131" t="e">
        <f ca="1">Tabelle7[[#This Row],[Hauptgruppe]]&amp;"/"&amp;Tabelle7[[#This Row],[Mittelgruppe]]&amp;"/"&amp;Tabelle7[[#This Row],[Untergruppe]]</f>
        <v>#N/A</v>
      </c>
      <c r="O131" t="e">
        <f>INDEX(Tabelle6[Aktor],MATCH(Tabelle7[[#This Row],[Gesamtcode]],Tabelle6[Gesamtcode],0))&amp;" "&amp;INDEX(Tabelle6[Aktorkanal],MATCH(Tabelle7[[#This Row],[Gesamtcode]],Tabelle6[Gesamtcode],0))</f>
        <v>#N/A</v>
      </c>
    </row>
    <row r="132" spans="2:15" x14ac:dyDescent="0.25">
      <c r="B132" t="s">
        <v>269</v>
      </c>
      <c r="C132" t="e">
        <f>INDEX(Tabelle132[Zone],MATCH(Tabelle7[[#This Row],[Gesamtcode]],Tabelle132[Gesamtcode],0))</f>
        <v>#N/A</v>
      </c>
      <c r="D132" t="e">
        <f>INDEX(Tabelle132[Raum],MATCH(Tabelle7[[#This Row],[Gesamtcode]],Tabelle132[Gesamtcode],0))</f>
        <v>#N/A</v>
      </c>
      <c r="E132" t="e">
        <f>INDEX(Tabelle132[Bezeichnung],MATCH(Tabelle7[[#This Row],[Gesamtcode]],Tabelle132[Gesamtcode],0))</f>
        <v>#N/A</v>
      </c>
      <c r="F132" t="e">
        <f>"_"&amp;INDEX(Tabelle132[Geräte/Gewerke],MATCH(Tabelle7[[#This Row],[Gesamtcode]],Tabelle132[Gesamtcode],0))</f>
        <v>#N/A</v>
      </c>
      <c r="G132" t="e">
        <f>INDEX(Tabelle13[Gewerknr.],MATCH(Tabelle7[[#This Row],[Gewerke]],Tabelle13[Hauptgruppe],0))</f>
        <v>#N/A</v>
      </c>
      <c r="H132" t="s">
        <v>279</v>
      </c>
      <c r="I132" t="e">
        <f ca="1">INDEX(Tabelle134[Funktionsbereichsnr.],MATCH(Tabelle7[[#This Row],[Funktionsbereiche]],INDIRECT("Tabelle134["&amp;Tabelle7[[#This Row],[Gewerke]]&amp;"]"),0))</f>
        <v>#N/A</v>
      </c>
      <c r="J132" t="e">
        <f>Tabelle7[[#This Row],[Gesamtcode]]&amp;"_"&amp;Tabelle7[[#This Row],[Zone]]&amp;"_"&amp;Tabelle7[[#This Row],[Raum]]&amp;"_"&amp;Tabelle7[[#This Row],[Bezeichnung]]</f>
        <v>#N/A</v>
      </c>
      <c r="K132">
        <v>5</v>
      </c>
      <c r="L132" t="e">
        <f>Tabelle7[[#This Row],[Hauptgruppe]]&amp;"/-/-"</f>
        <v>#N/A</v>
      </c>
      <c r="M132" t="e">
        <f ca="1">Tabelle7[[#This Row],[Hauptgruppe]]&amp;"/"&amp;Tabelle7[[#This Row],[Mittelgruppe]]&amp;"/-"</f>
        <v>#N/A</v>
      </c>
      <c r="N132" t="e">
        <f ca="1">Tabelle7[[#This Row],[Hauptgruppe]]&amp;"/"&amp;Tabelle7[[#This Row],[Mittelgruppe]]&amp;"/"&amp;Tabelle7[[#This Row],[Untergruppe]]</f>
        <v>#N/A</v>
      </c>
      <c r="O132" t="e">
        <f>INDEX(Tabelle6[Aktor],MATCH(Tabelle7[[#This Row],[Gesamtcode]],Tabelle6[Gesamtcode],0))&amp;" "&amp;INDEX(Tabelle6[Aktorkanal],MATCH(Tabelle7[[#This Row],[Gesamtcode]],Tabelle6[Gesamtcode],0))</f>
        <v>#N/A</v>
      </c>
    </row>
    <row r="133" spans="2:15" x14ac:dyDescent="0.25">
      <c r="B133" t="s">
        <v>270</v>
      </c>
      <c r="C133" t="e">
        <f>INDEX(Tabelle132[Zone],MATCH(Tabelle7[[#This Row],[Gesamtcode]],Tabelle132[Gesamtcode],0))</f>
        <v>#N/A</v>
      </c>
      <c r="D133" t="e">
        <f>INDEX(Tabelle132[Raum],MATCH(Tabelle7[[#This Row],[Gesamtcode]],Tabelle132[Gesamtcode],0))</f>
        <v>#N/A</v>
      </c>
      <c r="E133" t="e">
        <f>INDEX(Tabelle132[Bezeichnung],MATCH(Tabelle7[[#This Row],[Gesamtcode]],Tabelle132[Gesamtcode],0))</f>
        <v>#N/A</v>
      </c>
      <c r="F133" t="e">
        <f>"_"&amp;INDEX(Tabelle132[Geräte/Gewerke],MATCH(Tabelle7[[#This Row],[Gesamtcode]],Tabelle132[Gesamtcode],0))</f>
        <v>#N/A</v>
      </c>
      <c r="G133" t="e">
        <f>INDEX(Tabelle13[Gewerknr.],MATCH(Tabelle7[[#This Row],[Gewerke]],Tabelle13[Hauptgruppe],0))</f>
        <v>#N/A</v>
      </c>
      <c r="H133" t="s">
        <v>279</v>
      </c>
      <c r="I133" t="e">
        <f ca="1">INDEX(Tabelle134[Funktionsbereichsnr.],MATCH(Tabelle7[[#This Row],[Funktionsbereiche]],INDIRECT("Tabelle134["&amp;Tabelle7[[#This Row],[Gewerke]]&amp;"]"),0))</f>
        <v>#N/A</v>
      </c>
      <c r="J133" t="e">
        <f>Tabelle7[[#This Row],[Gesamtcode]]&amp;"_"&amp;Tabelle7[[#This Row],[Zone]]&amp;"_"&amp;Tabelle7[[#This Row],[Raum]]&amp;"_"&amp;Tabelle7[[#This Row],[Bezeichnung]]</f>
        <v>#N/A</v>
      </c>
      <c r="K133">
        <v>6</v>
      </c>
      <c r="L133" t="e">
        <f>Tabelle7[[#This Row],[Hauptgruppe]]&amp;"/-/-"</f>
        <v>#N/A</v>
      </c>
      <c r="M133" t="e">
        <f ca="1">Tabelle7[[#This Row],[Hauptgruppe]]&amp;"/"&amp;Tabelle7[[#This Row],[Mittelgruppe]]&amp;"/-"</f>
        <v>#N/A</v>
      </c>
      <c r="N133" t="e">
        <f ca="1">Tabelle7[[#This Row],[Hauptgruppe]]&amp;"/"&amp;Tabelle7[[#This Row],[Mittelgruppe]]&amp;"/"&amp;Tabelle7[[#This Row],[Untergruppe]]</f>
        <v>#N/A</v>
      </c>
      <c r="O133" t="e">
        <f>INDEX(Tabelle6[Aktor],MATCH(Tabelle7[[#This Row],[Gesamtcode]],Tabelle6[Gesamtcode],0))&amp;" "&amp;INDEX(Tabelle6[Aktorkanal],MATCH(Tabelle7[[#This Row],[Gesamtcode]],Tabelle6[Gesamtcode],0))</f>
        <v>#N/A</v>
      </c>
    </row>
    <row r="134" spans="2:15" x14ac:dyDescent="0.25">
      <c r="B134" t="s">
        <v>271</v>
      </c>
      <c r="C134" t="e">
        <f>INDEX(Tabelle132[Zone],MATCH(Tabelle7[[#This Row],[Gesamtcode]],Tabelle132[Gesamtcode],0))</f>
        <v>#N/A</v>
      </c>
      <c r="D134" t="e">
        <f>INDEX(Tabelle132[Raum],MATCH(Tabelle7[[#This Row],[Gesamtcode]],Tabelle132[Gesamtcode],0))</f>
        <v>#N/A</v>
      </c>
      <c r="E134" t="e">
        <f>INDEX(Tabelle132[Bezeichnung],MATCH(Tabelle7[[#This Row],[Gesamtcode]],Tabelle132[Gesamtcode],0))</f>
        <v>#N/A</v>
      </c>
      <c r="F134" t="e">
        <f>"_"&amp;INDEX(Tabelle132[Geräte/Gewerke],MATCH(Tabelle7[[#This Row],[Gesamtcode]],Tabelle132[Gesamtcode],0))</f>
        <v>#N/A</v>
      </c>
      <c r="G134" t="e">
        <f>INDEX(Tabelle13[Gewerknr.],MATCH(Tabelle7[[#This Row],[Gewerke]],Tabelle13[Hauptgruppe],0))</f>
        <v>#N/A</v>
      </c>
      <c r="H134" t="s">
        <v>279</v>
      </c>
      <c r="I134" t="e">
        <f ca="1">INDEX(Tabelle134[Funktionsbereichsnr.],MATCH(Tabelle7[[#This Row],[Funktionsbereiche]],INDIRECT("Tabelle134["&amp;Tabelle7[[#This Row],[Gewerke]]&amp;"]"),0))</f>
        <v>#N/A</v>
      </c>
      <c r="J134" t="e">
        <f>Tabelle7[[#This Row],[Gesamtcode]]&amp;"_"&amp;Tabelle7[[#This Row],[Zone]]&amp;"_"&amp;Tabelle7[[#This Row],[Raum]]&amp;"_"&amp;Tabelle7[[#This Row],[Bezeichnung]]</f>
        <v>#N/A</v>
      </c>
      <c r="K134">
        <v>7</v>
      </c>
      <c r="L134" t="e">
        <f>Tabelle7[[#This Row],[Hauptgruppe]]&amp;"/-/-"</f>
        <v>#N/A</v>
      </c>
      <c r="M134" t="e">
        <f ca="1">Tabelle7[[#This Row],[Hauptgruppe]]&amp;"/"&amp;Tabelle7[[#This Row],[Mittelgruppe]]&amp;"/-"</f>
        <v>#N/A</v>
      </c>
      <c r="N134" t="e">
        <f ca="1">Tabelle7[[#This Row],[Hauptgruppe]]&amp;"/"&amp;Tabelle7[[#This Row],[Mittelgruppe]]&amp;"/"&amp;Tabelle7[[#This Row],[Untergruppe]]</f>
        <v>#N/A</v>
      </c>
      <c r="O134" t="e">
        <f>INDEX(Tabelle6[Aktor],MATCH(Tabelle7[[#This Row],[Gesamtcode]],Tabelle6[Gesamtcode],0))&amp;" "&amp;INDEX(Tabelle6[Aktorkanal],MATCH(Tabelle7[[#This Row],[Gesamtcode]],Tabelle6[Gesamtcode],0))</f>
        <v>#N/A</v>
      </c>
    </row>
    <row r="135" spans="2:15" x14ac:dyDescent="0.25">
      <c r="B135" t="s">
        <v>272</v>
      </c>
      <c r="C135" t="e">
        <f>INDEX(Tabelle132[Zone],MATCH(Tabelle7[[#This Row],[Gesamtcode]],Tabelle132[Gesamtcode],0))</f>
        <v>#N/A</v>
      </c>
      <c r="D135" t="e">
        <f>INDEX(Tabelle132[Raum],MATCH(Tabelle7[[#This Row],[Gesamtcode]],Tabelle132[Gesamtcode],0))</f>
        <v>#N/A</v>
      </c>
      <c r="E135" t="e">
        <f>INDEX(Tabelle132[Bezeichnung],MATCH(Tabelle7[[#This Row],[Gesamtcode]],Tabelle132[Gesamtcode],0))</f>
        <v>#N/A</v>
      </c>
      <c r="F135" t="e">
        <f>"_"&amp;INDEX(Tabelle132[Geräte/Gewerke],MATCH(Tabelle7[[#This Row],[Gesamtcode]],Tabelle132[Gesamtcode],0))</f>
        <v>#N/A</v>
      </c>
      <c r="G135" t="e">
        <f>INDEX(Tabelle13[Gewerknr.],MATCH(Tabelle7[[#This Row],[Gewerke]],Tabelle13[Hauptgruppe],0))</f>
        <v>#N/A</v>
      </c>
      <c r="H135" t="s">
        <v>279</v>
      </c>
      <c r="I135" t="e">
        <f ca="1">INDEX(Tabelle134[Funktionsbereichsnr.],MATCH(Tabelle7[[#This Row],[Funktionsbereiche]],INDIRECT("Tabelle134["&amp;Tabelle7[[#This Row],[Gewerke]]&amp;"]"),0))</f>
        <v>#N/A</v>
      </c>
      <c r="J135" t="e">
        <f>Tabelle7[[#This Row],[Gesamtcode]]&amp;"_"&amp;Tabelle7[[#This Row],[Zone]]&amp;"_"&amp;Tabelle7[[#This Row],[Raum]]&amp;"_"&amp;Tabelle7[[#This Row],[Bezeichnung]]</f>
        <v>#N/A</v>
      </c>
      <c r="K135">
        <v>8</v>
      </c>
      <c r="L135" t="e">
        <f>Tabelle7[[#This Row],[Hauptgruppe]]&amp;"/-/-"</f>
        <v>#N/A</v>
      </c>
      <c r="M135" t="e">
        <f ca="1">Tabelle7[[#This Row],[Hauptgruppe]]&amp;"/"&amp;Tabelle7[[#This Row],[Mittelgruppe]]&amp;"/-"</f>
        <v>#N/A</v>
      </c>
      <c r="N135" t="e">
        <f ca="1">Tabelle7[[#This Row],[Hauptgruppe]]&amp;"/"&amp;Tabelle7[[#This Row],[Mittelgruppe]]&amp;"/"&amp;Tabelle7[[#This Row],[Untergruppe]]</f>
        <v>#N/A</v>
      </c>
      <c r="O135" t="e">
        <f>INDEX(Tabelle6[Aktor],MATCH(Tabelle7[[#This Row],[Gesamtcode]],Tabelle6[Gesamtcode],0))&amp;" "&amp;INDEX(Tabelle6[Aktorkanal],MATCH(Tabelle7[[#This Row],[Gesamtcode]],Tabelle6[Gesamtcode],0))</f>
        <v>#N/A</v>
      </c>
    </row>
    <row r="136" spans="2:15" x14ac:dyDescent="0.25">
      <c r="B136" t="s">
        <v>273</v>
      </c>
      <c r="C136" t="e">
        <f>INDEX(Tabelle132[Zone],MATCH(Tabelle7[[#This Row],[Gesamtcode]],Tabelle132[Gesamtcode],0))</f>
        <v>#N/A</v>
      </c>
      <c r="D136" t="e">
        <f>INDEX(Tabelle132[Raum],MATCH(Tabelle7[[#This Row],[Gesamtcode]],Tabelle132[Gesamtcode],0))</f>
        <v>#N/A</v>
      </c>
      <c r="E136" t="e">
        <f>INDEX(Tabelle132[Bezeichnung],MATCH(Tabelle7[[#This Row],[Gesamtcode]],Tabelle132[Gesamtcode],0))</f>
        <v>#N/A</v>
      </c>
      <c r="F136" t="e">
        <f>"_"&amp;INDEX(Tabelle132[Geräte/Gewerke],MATCH(Tabelle7[[#This Row],[Gesamtcode]],Tabelle132[Gesamtcode],0))</f>
        <v>#N/A</v>
      </c>
      <c r="G136" t="e">
        <f>INDEX(Tabelle13[Gewerknr.],MATCH(Tabelle7[[#This Row],[Gewerke]],Tabelle13[Hauptgruppe],0))</f>
        <v>#N/A</v>
      </c>
      <c r="H136" t="s">
        <v>279</v>
      </c>
      <c r="I136" t="e">
        <f ca="1">INDEX(Tabelle134[Funktionsbereichsnr.],MATCH(Tabelle7[[#This Row],[Funktionsbereiche]],INDIRECT("Tabelle134["&amp;Tabelle7[[#This Row],[Gewerke]]&amp;"]"),0))</f>
        <v>#N/A</v>
      </c>
      <c r="J136" t="e">
        <f>Tabelle7[[#This Row],[Gesamtcode]]&amp;"_"&amp;Tabelle7[[#This Row],[Zone]]&amp;"_"&amp;Tabelle7[[#This Row],[Raum]]&amp;"_"&amp;Tabelle7[[#This Row],[Bezeichnung]]</f>
        <v>#N/A</v>
      </c>
      <c r="K136">
        <v>9</v>
      </c>
      <c r="L136" t="e">
        <f>Tabelle7[[#This Row],[Hauptgruppe]]&amp;"/-/-"</f>
        <v>#N/A</v>
      </c>
      <c r="M136" t="e">
        <f ca="1">Tabelle7[[#This Row],[Hauptgruppe]]&amp;"/"&amp;Tabelle7[[#This Row],[Mittelgruppe]]&amp;"/-"</f>
        <v>#N/A</v>
      </c>
      <c r="N136" t="e">
        <f ca="1">Tabelle7[[#This Row],[Hauptgruppe]]&amp;"/"&amp;Tabelle7[[#This Row],[Mittelgruppe]]&amp;"/"&amp;Tabelle7[[#This Row],[Untergruppe]]</f>
        <v>#N/A</v>
      </c>
      <c r="O136" t="e">
        <f>INDEX(Tabelle6[Aktor],MATCH(Tabelle7[[#This Row],[Gesamtcode]],Tabelle6[Gesamtcode],0))&amp;" "&amp;INDEX(Tabelle6[Aktorkanal],MATCH(Tabelle7[[#This Row],[Gesamtcode]],Tabelle6[Gesamtcode],0))</f>
        <v>#N/A</v>
      </c>
    </row>
    <row r="137" spans="2:15" x14ac:dyDescent="0.25">
      <c r="B137" t="s">
        <v>254</v>
      </c>
      <c r="C137" t="e">
        <f>INDEX(Tabelle132[Zone],MATCH(Tabelle7[[#This Row],[Gesamtcode]],Tabelle132[Gesamtcode],0))</f>
        <v>#N/A</v>
      </c>
      <c r="D137" t="e">
        <f>INDEX(Tabelle132[Raum],MATCH(Tabelle7[[#This Row],[Gesamtcode]],Tabelle132[Gesamtcode],0))</f>
        <v>#N/A</v>
      </c>
      <c r="E137" t="e">
        <f>INDEX(Tabelle132[Bezeichnung],MATCH(Tabelle7[[#This Row],[Gesamtcode]],Tabelle132[Gesamtcode],0))</f>
        <v>#N/A</v>
      </c>
      <c r="F137" t="e">
        <f>"_"&amp;INDEX(Tabelle132[Geräte/Gewerke],MATCH(Tabelle7[[#This Row],[Gesamtcode]],Tabelle132[Gesamtcode],0))</f>
        <v>#N/A</v>
      </c>
      <c r="G137" t="e">
        <f>INDEX(Tabelle13[Gewerknr.],MATCH(Tabelle7[[#This Row],[Gewerke]],Tabelle13[Hauptgruppe],0))</f>
        <v>#N/A</v>
      </c>
      <c r="H137" t="s">
        <v>280</v>
      </c>
      <c r="I137" t="e">
        <f ca="1">INDEX(Tabelle134[Funktionsbereichsnr.],MATCH(Tabelle7[[#This Row],[Funktionsbereiche]],INDIRECT("Tabelle134["&amp;Tabelle7[[#This Row],[Gewerke]]&amp;"]"),0))</f>
        <v>#N/A</v>
      </c>
      <c r="J137" t="e">
        <f>Tabelle7[[#This Row],[Gesamtcode]]&amp;"_"&amp;Tabelle7[[#This Row],[Zone]]&amp;"_"&amp;Tabelle7[[#This Row],[Raum]]&amp;"_"&amp;Tabelle7[[#This Row],[Bezeichnung]]</f>
        <v>#N/A</v>
      </c>
      <c r="K137">
        <v>0</v>
      </c>
      <c r="L137" t="e">
        <f>Tabelle7[[#This Row],[Hauptgruppe]]&amp;"/-/-"</f>
        <v>#N/A</v>
      </c>
      <c r="M137" t="e">
        <f ca="1">Tabelle7[[#This Row],[Hauptgruppe]]&amp;"/"&amp;Tabelle7[[#This Row],[Mittelgruppe]]&amp;"/-"</f>
        <v>#N/A</v>
      </c>
      <c r="N137" t="e">
        <f ca="1">Tabelle7[[#This Row],[Hauptgruppe]]&amp;"/"&amp;Tabelle7[[#This Row],[Mittelgruppe]]&amp;"/"&amp;Tabelle7[[#This Row],[Untergruppe]]</f>
        <v>#N/A</v>
      </c>
      <c r="O137" t="e">
        <f>INDEX(Tabelle6[Aktor],MATCH(Tabelle7[[#This Row],[Gesamtcode]],Tabelle6[Gesamtcode],0))&amp;" "&amp;INDEX(Tabelle6[Aktorkanal],MATCH(Tabelle7[[#This Row],[Gesamtcode]],Tabelle6[Gesamtcode],0))</f>
        <v>#N/A</v>
      </c>
    </row>
    <row r="138" spans="2:15" x14ac:dyDescent="0.25">
      <c r="B138" t="s">
        <v>256</v>
      </c>
      <c r="C138" t="e">
        <f>INDEX(Tabelle132[Zone],MATCH(Tabelle7[[#This Row],[Gesamtcode]],Tabelle132[Gesamtcode],0))</f>
        <v>#N/A</v>
      </c>
      <c r="D138" t="e">
        <f>INDEX(Tabelle132[Raum],MATCH(Tabelle7[[#This Row],[Gesamtcode]],Tabelle132[Gesamtcode],0))</f>
        <v>#N/A</v>
      </c>
      <c r="E138" t="e">
        <f>INDEX(Tabelle132[Bezeichnung],MATCH(Tabelle7[[#This Row],[Gesamtcode]],Tabelle132[Gesamtcode],0))</f>
        <v>#N/A</v>
      </c>
      <c r="F138" t="e">
        <f>"_"&amp;INDEX(Tabelle132[Geräte/Gewerke],MATCH(Tabelle7[[#This Row],[Gesamtcode]],Tabelle132[Gesamtcode],0))</f>
        <v>#N/A</v>
      </c>
      <c r="G138" t="e">
        <f>INDEX(Tabelle13[Gewerknr.],MATCH(Tabelle7[[#This Row],[Gewerke]],Tabelle13[Hauptgruppe],0))</f>
        <v>#N/A</v>
      </c>
      <c r="H138" t="s">
        <v>280</v>
      </c>
      <c r="I138" t="e">
        <f ca="1">INDEX(Tabelle134[Funktionsbereichsnr.],MATCH(Tabelle7[[#This Row],[Funktionsbereiche]],INDIRECT("Tabelle134["&amp;Tabelle7[[#This Row],[Gewerke]]&amp;"]"),0))</f>
        <v>#N/A</v>
      </c>
      <c r="J138" t="e">
        <f>Tabelle7[[#This Row],[Gesamtcode]]&amp;"_"&amp;Tabelle7[[#This Row],[Zone]]&amp;"_"&amp;Tabelle7[[#This Row],[Raum]]&amp;"_"&amp;Tabelle7[[#This Row],[Bezeichnung]]</f>
        <v>#N/A</v>
      </c>
      <c r="K138">
        <v>1</v>
      </c>
      <c r="L138" t="e">
        <f>Tabelle7[[#This Row],[Hauptgruppe]]&amp;"/-/-"</f>
        <v>#N/A</v>
      </c>
      <c r="M138" t="e">
        <f ca="1">Tabelle7[[#This Row],[Hauptgruppe]]&amp;"/"&amp;Tabelle7[[#This Row],[Mittelgruppe]]&amp;"/-"</f>
        <v>#N/A</v>
      </c>
      <c r="N138" t="e">
        <f ca="1">Tabelle7[[#This Row],[Hauptgruppe]]&amp;"/"&amp;Tabelle7[[#This Row],[Mittelgruppe]]&amp;"/"&amp;Tabelle7[[#This Row],[Untergruppe]]</f>
        <v>#N/A</v>
      </c>
      <c r="O138" t="e">
        <f>INDEX(Tabelle6[Aktor],MATCH(Tabelle7[[#This Row],[Gesamtcode]],Tabelle6[Gesamtcode],0))&amp;" "&amp;INDEX(Tabelle6[Aktorkanal],MATCH(Tabelle7[[#This Row],[Gesamtcode]],Tabelle6[Gesamtcode],0))</f>
        <v>#N/A</v>
      </c>
    </row>
    <row r="139" spans="2:15" x14ac:dyDescent="0.25">
      <c r="B139" t="s">
        <v>257</v>
      </c>
      <c r="C139" t="e">
        <f>INDEX(Tabelle132[Zone],MATCH(Tabelle7[[#This Row],[Gesamtcode]],Tabelle132[Gesamtcode],0))</f>
        <v>#N/A</v>
      </c>
      <c r="D139" t="e">
        <f>INDEX(Tabelle132[Raum],MATCH(Tabelle7[[#This Row],[Gesamtcode]],Tabelle132[Gesamtcode],0))</f>
        <v>#N/A</v>
      </c>
      <c r="E139" t="e">
        <f>INDEX(Tabelle132[Bezeichnung],MATCH(Tabelle7[[#This Row],[Gesamtcode]],Tabelle132[Gesamtcode],0))</f>
        <v>#N/A</v>
      </c>
      <c r="F139" t="e">
        <f>"_"&amp;INDEX(Tabelle132[Geräte/Gewerke],MATCH(Tabelle7[[#This Row],[Gesamtcode]],Tabelle132[Gesamtcode],0))</f>
        <v>#N/A</v>
      </c>
      <c r="G139" t="e">
        <f>INDEX(Tabelle13[Gewerknr.],MATCH(Tabelle7[[#This Row],[Gewerke]],Tabelle13[Hauptgruppe],0))</f>
        <v>#N/A</v>
      </c>
      <c r="H139" t="s">
        <v>280</v>
      </c>
      <c r="I139" t="e">
        <f ca="1">INDEX(Tabelle134[Funktionsbereichsnr.],MATCH(Tabelle7[[#This Row],[Funktionsbereiche]],INDIRECT("Tabelle134["&amp;Tabelle7[[#This Row],[Gewerke]]&amp;"]"),0))</f>
        <v>#N/A</v>
      </c>
      <c r="J139" t="e">
        <f>Tabelle7[[#This Row],[Gesamtcode]]&amp;"_"&amp;Tabelle7[[#This Row],[Zone]]&amp;"_"&amp;Tabelle7[[#This Row],[Raum]]&amp;"_"&amp;Tabelle7[[#This Row],[Bezeichnung]]</f>
        <v>#N/A</v>
      </c>
      <c r="K139">
        <v>10</v>
      </c>
      <c r="L139" t="e">
        <f>Tabelle7[[#This Row],[Hauptgruppe]]&amp;"/-/-"</f>
        <v>#N/A</v>
      </c>
      <c r="M139" t="e">
        <f ca="1">Tabelle7[[#This Row],[Hauptgruppe]]&amp;"/"&amp;Tabelle7[[#This Row],[Mittelgruppe]]&amp;"/-"</f>
        <v>#N/A</v>
      </c>
      <c r="N139" t="e">
        <f ca="1">Tabelle7[[#This Row],[Hauptgruppe]]&amp;"/"&amp;Tabelle7[[#This Row],[Mittelgruppe]]&amp;"/"&amp;Tabelle7[[#This Row],[Untergruppe]]</f>
        <v>#N/A</v>
      </c>
      <c r="O139" t="e">
        <f>INDEX(Tabelle6[Aktor],MATCH(Tabelle7[[#This Row],[Gesamtcode]],Tabelle6[Gesamtcode],0))&amp;" "&amp;INDEX(Tabelle6[Aktorkanal],MATCH(Tabelle7[[#This Row],[Gesamtcode]],Tabelle6[Gesamtcode],0))</f>
        <v>#N/A</v>
      </c>
    </row>
    <row r="140" spans="2:15" x14ac:dyDescent="0.25">
      <c r="B140" t="s">
        <v>258</v>
      </c>
      <c r="C140" t="e">
        <f>INDEX(Tabelle132[Zone],MATCH(Tabelle7[[#This Row],[Gesamtcode]],Tabelle132[Gesamtcode],0))</f>
        <v>#N/A</v>
      </c>
      <c r="D140" t="e">
        <f>INDEX(Tabelle132[Raum],MATCH(Tabelle7[[#This Row],[Gesamtcode]],Tabelle132[Gesamtcode],0))</f>
        <v>#N/A</v>
      </c>
      <c r="E140" t="e">
        <f>INDEX(Tabelle132[Bezeichnung],MATCH(Tabelle7[[#This Row],[Gesamtcode]],Tabelle132[Gesamtcode],0))</f>
        <v>#N/A</v>
      </c>
      <c r="F140" t="e">
        <f>"_"&amp;INDEX(Tabelle132[Geräte/Gewerke],MATCH(Tabelle7[[#This Row],[Gesamtcode]],Tabelle132[Gesamtcode],0))</f>
        <v>#N/A</v>
      </c>
      <c r="G140" t="e">
        <f>INDEX(Tabelle13[Gewerknr.],MATCH(Tabelle7[[#This Row],[Gewerke]],Tabelle13[Hauptgruppe],0))</f>
        <v>#N/A</v>
      </c>
      <c r="H140" t="s">
        <v>280</v>
      </c>
      <c r="I140" t="e">
        <f ca="1">INDEX(Tabelle134[Funktionsbereichsnr.],MATCH(Tabelle7[[#This Row],[Funktionsbereiche]],INDIRECT("Tabelle134["&amp;Tabelle7[[#This Row],[Gewerke]]&amp;"]"),0))</f>
        <v>#N/A</v>
      </c>
      <c r="J140" t="e">
        <f>Tabelle7[[#This Row],[Gesamtcode]]&amp;"_"&amp;Tabelle7[[#This Row],[Zone]]&amp;"_"&amp;Tabelle7[[#This Row],[Raum]]&amp;"_"&amp;Tabelle7[[#This Row],[Bezeichnung]]</f>
        <v>#N/A</v>
      </c>
      <c r="K140">
        <v>11</v>
      </c>
      <c r="L140" t="e">
        <f>Tabelle7[[#This Row],[Hauptgruppe]]&amp;"/-/-"</f>
        <v>#N/A</v>
      </c>
      <c r="M140" t="e">
        <f ca="1">Tabelle7[[#This Row],[Hauptgruppe]]&amp;"/"&amp;Tabelle7[[#This Row],[Mittelgruppe]]&amp;"/-"</f>
        <v>#N/A</v>
      </c>
      <c r="N140" t="e">
        <f ca="1">Tabelle7[[#This Row],[Hauptgruppe]]&amp;"/"&amp;Tabelle7[[#This Row],[Mittelgruppe]]&amp;"/"&amp;Tabelle7[[#This Row],[Untergruppe]]</f>
        <v>#N/A</v>
      </c>
      <c r="O140" t="e">
        <f>INDEX(Tabelle6[Aktor],MATCH(Tabelle7[[#This Row],[Gesamtcode]],Tabelle6[Gesamtcode],0))&amp;" "&amp;INDEX(Tabelle6[Aktorkanal],MATCH(Tabelle7[[#This Row],[Gesamtcode]],Tabelle6[Gesamtcode],0))</f>
        <v>#N/A</v>
      </c>
    </row>
    <row r="141" spans="2:15" x14ac:dyDescent="0.25">
      <c r="B141" t="s">
        <v>259</v>
      </c>
      <c r="C141" t="e">
        <f>INDEX(Tabelle132[Zone],MATCH(Tabelle7[[#This Row],[Gesamtcode]],Tabelle132[Gesamtcode],0))</f>
        <v>#N/A</v>
      </c>
      <c r="D141" t="e">
        <f>INDEX(Tabelle132[Raum],MATCH(Tabelle7[[#This Row],[Gesamtcode]],Tabelle132[Gesamtcode],0))</f>
        <v>#N/A</v>
      </c>
      <c r="E141" t="e">
        <f>INDEX(Tabelle132[Bezeichnung],MATCH(Tabelle7[[#This Row],[Gesamtcode]],Tabelle132[Gesamtcode],0))</f>
        <v>#N/A</v>
      </c>
      <c r="F141" t="e">
        <f>"_"&amp;INDEX(Tabelle132[Geräte/Gewerke],MATCH(Tabelle7[[#This Row],[Gesamtcode]],Tabelle132[Gesamtcode],0))</f>
        <v>#N/A</v>
      </c>
      <c r="G141" t="e">
        <f>INDEX(Tabelle13[Gewerknr.],MATCH(Tabelle7[[#This Row],[Gewerke]],Tabelle13[Hauptgruppe],0))</f>
        <v>#N/A</v>
      </c>
      <c r="H141" t="s">
        <v>280</v>
      </c>
      <c r="I141" t="e">
        <f ca="1">INDEX(Tabelle134[Funktionsbereichsnr.],MATCH(Tabelle7[[#This Row],[Funktionsbereiche]],INDIRECT("Tabelle134["&amp;Tabelle7[[#This Row],[Gewerke]]&amp;"]"),0))</f>
        <v>#N/A</v>
      </c>
      <c r="J141" t="e">
        <f>Tabelle7[[#This Row],[Gesamtcode]]&amp;"_"&amp;Tabelle7[[#This Row],[Zone]]&amp;"_"&amp;Tabelle7[[#This Row],[Raum]]&amp;"_"&amp;Tabelle7[[#This Row],[Bezeichnung]]</f>
        <v>#N/A</v>
      </c>
      <c r="K141">
        <v>12</v>
      </c>
      <c r="L141" t="e">
        <f>Tabelle7[[#This Row],[Hauptgruppe]]&amp;"/-/-"</f>
        <v>#N/A</v>
      </c>
      <c r="M141" t="e">
        <f ca="1">Tabelle7[[#This Row],[Hauptgruppe]]&amp;"/"&amp;Tabelle7[[#This Row],[Mittelgruppe]]&amp;"/-"</f>
        <v>#N/A</v>
      </c>
      <c r="N141" t="e">
        <f ca="1">Tabelle7[[#This Row],[Hauptgruppe]]&amp;"/"&amp;Tabelle7[[#This Row],[Mittelgruppe]]&amp;"/"&amp;Tabelle7[[#This Row],[Untergruppe]]</f>
        <v>#N/A</v>
      </c>
      <c r="O141" t="e">
        <f>INDEX(Tabelle6[Aktor],MATCH(Tabelle7[[#This Row],[Gesamtcode]],Tabelle6[Gesamtcode],0))&amp;" "&amp;INDEX(Tabelle6[Aktorkanal],MATCH(Tabelle7[[#This Row],[Gesamtcode]],Tabelle6[Gesamtcode],0))</f>
        <v>#N/A</v>
      </c>
    </row>
    <row r="142" spans="2:15" x14ac:dyDescent="0.25">
      <c r="B142" t="s">
        <v>260</v>
      </c>
      <c r="C142" t="e">
        <f>INDEX(Tabelle132[Zone],MATCH(Tabelle7[[#This Row],[Gesamtcode]],Tabelle132[Gesamtcode],0))</f>
        <v>#N/A</v>
      </c>
      <c r="D142" t="e">
        <f>INDEX(Tabelle132[Raum],MATCH(Tabelle7[[#This Row],[Gesamtcode]],Tabelle132[Gesamtcode],0))</f>
        <v>#N/A</v>
      </c>
      <c r="E142" t="e">
        <f>INDEX(Tabelle132[Bezeichnung],MATCH(Tabelle7[[#This Row],[Gesamtcode]],Tabelle132[Gesamtcode],0))</f>
        <v>#N/A</v>
      </c>
      <c r="F142" t="e">
        <f>"_"&amp;INDEX(Tabelle132[Geräte/Gewerke],MATCH(Tabelle7[[#This Row],[Gesamtcode]],Tabelle132[Gesamtcode],0))</f>
        <v>#N/A</v>
      </c>
      <c r="G142" t="e">
        <f>INDEX(Tabelle13[Gewerknr.],MATCH(Tabelle7[[#This Row],[Gewerke]],Tabelle13[Hauptgruppe],0))</f>
        <v>#N/A</v>
      </c>
      <c r="H142" t="s">
        <v>280</v>
      </c>
      <c r="I142" t="e">
        <f ca="1">INDEX(Tabelle134[Funktionsbereichsnr.],MATCH(Tabelle7[[#This Row],[Funktionsbereiche]],INDIRECT("Tabelle134["&amp;Tabelle7[[#This Row],[Gewerke]]&amp;"]"),0))</f>
        <v>#N/A</v>
      </c>
      <c r="J142" t="e">
        <f>Tabelle7[[#This Row],[Gesamtcode]]&amp;"_"&amp;Tabelle7[[#This Row],[Zone]]&amp;"_"&amp;Tabelle7[[#This Row],[Raum]]&amp;"_"&amp;Tabelle7[[#This Row],[Bezeichnung]]</f>
        <v>#N/A</v>
      </c>
      <c r="K142">
        <v>13</v>
      </c>
      <c r="L142" t="e">
        <f>Tabelle7[[#This Row],[Hauptgruppe]]&amp;"/-/-"</f>
        <v>#N/A</v>
      </c>
      <c r="M142" t="e">
        <f ca="1">Tabelle7[[#This Row],[Hauptgruppe]]&amp;"/"&amp;Tabelle7[[#This Row],[Mittelgruppe]]&amp;"/-"</f>
        <v>#N/A</v>
      </c>
      <c r="N142" t="e">
        <f ca="1">Tabelle7[[#This Row],[Hauptgruppe]]&amp;"/"&amp;Tabelle7[[#This Row],[Mittelgruppe]]&amp;"/"&amp;Tabelle7[[#This Row],[Untergruppe]]</f>
        <v>#N/A</v>
      </c>
      <c r="O142" t="e">
        <f>INDEX(Tabelle6[Aktor],MATCH(Tabelle7[[#This Row],[Gesamtcode]],Tabelle6[Gesamtcode],0))&amp;" "&amp;INDEX(Tabelle6[Aktorkanal],MATCH(Tabelle7[[#This Row],[Gesamtcode]],Tabelle6[Gesamtcode],0))</f>
        <v>#N/A</v>
      </c>
    </row>
    <row r="143" spans="2:15" x14ac:dyDescent="0.25">
      <c r="B143" t="s">
        <v>261</v>
      </c>
      <c r="C143" t="e">
        <f>INDEX(Tabelle132[Zone],MATCH(Tabelle7[[#This Row],[Gesamtcode]],Tabelle132[Gesamtcode],0))</f>
        <v>#N/A</v>
      </c>
      <c r="D143" t="e">
        <f>INDEX(Tabelle132[Raum],MATCH(Tabelle7[[#This Row],[Gesamtcode]],Tabelle132[Gesamtcode],0))</f>
        <v>#N/A</v>
      </c>
      <c r="E143" t="e">
        <f>INDEX(Tabelle132[Bezeichnung],MATCH(Tabelle7[[#This Row],[Gesamtcode]],Tabelle132[Gesamtcode],0))</f>
        <v>#N/A</v>
      </c>
      <c r="F143" t="e">
        <f>"_"&amp;INDEX(Tabelle132[Geräte/Gewerke],MATCH(Tabelle7[[#This Row],[Gesamtcode]],Tabelle132[Gesamtcode],0))</f>
        <v>#N/A</v>
      </c>
      <c r="G143" t="e">
        <f>INDEX(Tabelle13[Gewerknr.],MATCH(Tabelle7[[#This Row],[Gewerke]],Tabelle13[Hauptgruppe],0))</f>
        <v>#N/A</v>
      </c>
      <c r="H143" t="s">
        <v>280</v>
      </c>
      <c r="I143" t="e">
        <f ca="1">INDEX(Tabelle134[Funktionsbereichsnr.],MATCH(Tabelle7[[#This Row],[Funktionsbereiche]],INDIRECT("Tabelle134["&amp;Tabelle7[[#This Row],[Gewerke]]&amp;"]"),0))</f>
        <v>#N/A</v>
      </c>
      <c r="J143" t="e">
        <f>Tabelle7[[#This Row],[Gesamtcode]]&amp;"_"&amp;Tabelle7[[#This Row],[Zone]]&amp;"_"&amp;Tabelle7[[#This Row],[Raum]]&amp;"_"&amp;Tabelle7[[#This Row],[Bezeichnung]]</f>
        <v>#N/A</v>
      </c>
      <c r="K143">
        <v>14</v>
      </c>
      <c r="L143" t="e">
        <f>Tabelle7[[#This Row],[Hauptgruppe]]&amp;"/-/-"</f>
        <v>#N/A</v>
      </c>
      <c r="M143" t="e">
        <f ca="1">Tabelle7[[#This Row],[Hauptgruppe]]&amp;"/"&amp;Tabelle7[[#This Row],[Mittelgruppe]]&amp;"/-"</f>
        <v>#N/A</v>
      </c>
      <c r="N143" t="e">
        <f ca="1">Tabelle7[[#This Row],[Hauptgruppe]]&amp;"/"&amp;Tabelle7[[#This Row],[Mittelgruppe]]&amp;"/"&amp;Tabelle7[[#This Row],[Untergruppe]]</f>
        <v>#N/A</v>
      </c>
      <c r="O143" t="e">
        <f>INDEX(Tabelle6[Aktor],MATCH(Tabelle7[[#This Row],[Gesamtcode]],Tabelle6[Gesamtcode],0))&amp;" "&amp;INDEX(Tabelle6[Aktorkanal],MATCH(Tabelle7[[#This Row],[Gesamtcode]],Tabelle6[Gesamtcode],0))</f>
        <v>#N/A</v>
      </c>
    </row>
    <row r="144" spans="2:15" x14ac:dyDescent="0.25">
      <c r="B144" t="s">
        <v>262</v>
      </c>
      <c r="C144" t="e">
        <f>INDEX(Tabelle132[Zone],MATCH(Tabelle7[[#This Row],[Gesamtcode]],Tabelle132[Gesamtcode],0))</f>
        <v>#N/A</v>
      </c>
      <c r="D144" t="e">
        <f>INDEX(Tabelle132[Raum],MATCH(Tabelle7[[#This Row],[Gesamtcode]],Tabelle132[Gesamtcode],0))</f>
        <v>#N/A</v>
      </c>
      <c r="E144" t="e">
        <f>INDEX(Tabelle132[Bezeichnung],MATCH(Tabelle7[[#This Row],[Gesamtcode]],Tabelle132[Gesamtcode],0))</f>
        <v>#N/A</v>
      </c>
      <c r="F144" t="e">
        <f>"_"&amp;INDEX(Tabelle132[Geräte/Gewerke],MATCH(Tabelle7[[#This Row],[Gesamtcode]],Tabelle132[Gesamtcode],0))</f>
        <v>#N/A</v>
      </c>
      <c r="G144" t="e">
        <f>INDEX(Tabelle13[Gewerknr.],MATCH(Tabelle7[[#This Row],[Gewerke]],Tabelle13[Hauptgruppe],0))</f>
        <v>#N/A</v>
      </c>
      <c r="H144" t="s">
        <v>280</v>
      </c>
      <c r="I144" t="e">
        <f ca="1">INDEX(Tabelle134[Funktionsbereichsnr.],MATCH(Tabelle7[[#This Row],[Funktionsbereiche]],INDIRECT("Tabelle134["&amp;Tabelle7[[#This Row],[Gewerke]]&amp;"]"),0))</f>
        <v>#N/A</v>
      </c>
      <c r="J144" t="e">
        <f>Tabelle7[[#This Row],[Gesamtcode]]&amp;"_"&amp;Tabelle7[[#This Row],[Zone]]&amp;"_"&amp;Tabelle7[[#This Row],[Raum]]&amp;"_"&amp;Tabelle7[[#This Row],[Bezeichnung]]</f>
        <v>#N/A</v>
      </c>
      <c r="K144">
        <v>15</v>
      </c>
      <c r="L144" t="e">
        <f>Tabelle7[[#This Row],[Hauptgruppe]]&amp;"/-/-"</f>
        <v>#N/A</v>
      </c>
      <c r="M144" t="e">
        <f ca="1">Tabelle7[[#This Row],[Hauptgruppe]]&amp;"/"&amp;Tabelle7[[#This Row],[Mittelgruppe]]&amp;"/-"</f>
        <v>#N/A</v>
      </c>
      <c r="N144" t="e">
        <f ca="1">Tabelle7[[#This Row],[Hauptgruppe]]&amp;"/"&amp;Tabelle7[[#This Row],[Mittelgruppe]]&amp;"/"&amp;Tabelle7[[#This Row],[Untergruppe]]</f>
        <v>#N/A</v>
      </c>
      <c r="O144" t="e">
        <f>INDEX(Tabelle6[Aktor],MATCH(Tabelle7[[#This Row],[Gesamtcode]],Tabelle6[Gesamtcode],0))&amp;" "&amp;INDEX(Tabelle6[Aktorkanal],MATCH(Tabelle7[[#This Row],[Gesamtcode]],Tabelle6[Gesamtcode],0))</f>
        <v>#N/A</v>
      </c>
    </row>
    <row r="145" spans="2:15" x14ac:dyDescent="0.25">
      <c r="B145" t="s">
        <v>263</v>
      </c>
      <c r="C145" t="e">
        <f>INDEX(Tabelle132[Zone],MATCH(Tabelle7[[#This Row],[Gesamtcode]],Tabelle132[Gesamtcode],0))</f>
        <v>#N/A</v>
      </c>
      <c r="D145" t="e">
        <f>INDEX(Tabelle132[Raum],MATCH(Tabelle7[[#This Row],[Gesamtcode]],Tabelle132[Gesamtcode],0))</f>
        <v>#N/A</v>
      </c>
      <c r="E145" t="e">
        <f>INDEX(Tabelle132[Bezeichnung],MATCH(Tabelle7[[#This Row],[Gesamtcode]],Tabelle132[Gesamtcode],0))</f>
        <v>#N/A</v>
      </c>
      <c r="F145" t="e">
        <f>"_"&amp;INDEX(Tabelle132[Geräte/Gewerke],MATCH(Tabelle7[[#This Row],[Gesamtcode]],Tabelle132[Gesamtcode],0))</f>
        <v>#N/A</v>
      </c>
      <c r="G145" t="e">
        <f>INDEX(Tabelle13[Gewerknr.],MATCH(Tabelle7[[#This Row],[Gewerke]],Tabelle13[Hauptgruppe],0))</f>
        <v>#N/A</v>
      </c>
      <c r="H145" t="s">
        <v>280</v>
      </c>
      <c r="I145" t="e">
        <f ca="1">INDEX(Tabelle134[Funktionsbereichsnr.],MATCH(Tabelle7[[#This Row],[Funktionsbereiche]],INDIRECT("Tabelle134["&amp;Tabelle7[[#This Row],[Gewerke]]&amp;"]"),0))</f>
        <v>#N/A</v>
      </c>
      <c r="J145" t="e">
        <f>Tabelle7[[#This Row],[Gesamtcode]]&amp;"_"&amp;Tabelle7[[#This Row],[Zone]]&amp;"_"&amp;Tabelle7[[#This Row],[Raum]]&amp;"_"&amp;Tabelle7[[#This Row],[Bezeichnung]]</f>
        <v>#N/A</v>
      </c>
      <c r="K145">
        <v>16</v>
      </c>
      <c r="L145" t="e">
        <f>Tabelle7[[#This Row],[Hauptgruppe]]&amp;"/-/-"</f>
        <v>#N/A</v>
      </c>
      <c r="M145" t="e">
        <f ca="1">Tabelle7[[#This Row],[Hauptgruppe]]&amp;"/"&amp;Tabelle7[[#This Row],[Mittelgruppe]]&amp;"/-"</f>
        <v>#N/A</v>
      </c>
      <c r="N145" t="e">
        <f ca="1">Tabelle7[[#This Row],[Hauptgruppe]]&amp;"/"&amp;Tabelle7[[#This Row],[Mittelgruppe]]&amp;"/"&amp;Tabelle7[[#This Row],[Untergruppe]]</f>
        <v>#N/A</v>
      </c>
      <c r="O145" t="e">
        <f>INDEX(Tabelle6[Aktor],MATCH(Tabelle7[[#This Row],[Gesamtcode]],Tabelle6[Gesamtcode],0))&amp;" "&amp;INDEX(Tabelle6[Aktorkanal],MATCH(Tabelle7[[#This Row],[Gesamtcode]],Tabelle6[Gesamtcode],0))</f>
        <v>#N/A</v>
      </c>
    </row>
    <row r="146" spans="2:15" x14ac:dyDescent="0.25">
      <c r="B146" t="s">
        <v>264</v>
      </c>
      <c r="C146" t="e">
        <f>INDEX(Tabelle132[Zone],MATCH(Tabelle7[[#This Row],[Gesamtcode]],Tabelle132[Gesamtcode],0))</f>
        <v>#N/A</v>
      </c>
      <c r="D146" t="e">
        <f>INDEX(Tabelle132[Raum],MATCH(Tabelle7[[#This Row],[Gesamtcode]],Tabelle132[Gesamtcode],0))</f>
        <v>#N/A</v>
      </c>
      <c r="E146" t="e">
        <f>INDEX(Tabelle132[Bezeichnung],MATCH(Tabelle7[[#This Row],[Gesamtcode]],Tabelle132[Gesamtcode],0))</f>
        <v>#N/A</v>
      </c>
      <c r="F146" t="e">
        <f>"_"&amp;INDEX(Tabelle132[Geräte/Gewerke],MATCH(Tabelle7[[#This Row],[Gesamtcode]],Tabelle132[Gesamtcode],0))</f>
        <v>#N/A</v>
      </c>
      <c r="G146" t="e">
        <f>INDEX(Tabelle13[Gewerknr.],MATCH(Tabelle7[[#This Row],[Gewerke]],Tabelle13[Hauptgruppe],0))</f>
        <v>#N/A</v>
      </c>
      <c r="H146" t="s">
        <v>280</v>
      </c>
      <c r="I146" t="e">
        <f ca="1">INDEX(Tabelle134[Funktionsbereichsnr.],MATCH(Tabelle7[[#This Row],[Funktionsbereiche]],INDIRECT("Tabelle134["&amp;Tabelle7[[#This Row],[Gewerke]]&amp;"]"),0))</f>
        <v>#N/A</v>
      </c>
      <c r="J146" t="e">
        <f>Tabelle7[[#This Row],[Gesamtcode]]&amp;"_"&amp;Tabelle7[[#This Row],[Zone]]&amp;"_"&amp;Tabelle7[[#This Row],[Raum]]&amp;"_"&amp;Tabelle7[[#This Row],[Bezeichnung]]</f>
        <v>#N/A</v>
      </c>
      <c r="K146">
        <v>17</v>
      </c>
      <c r="L146" t="e">
        <f>Tabelle7[[#This Row],[Hauptgruppe]]&amp;"/-/-"</f>
        <v>#N/A</v>
      </c>
      <c r="M146" t="e">
        <f ca="1">Tabelle7[[#This Row],[Hauptgruppe]]&amp;"/"&amp;Tabelle7[[#This Row],[Mittelgruppe]]&amp;"/-"</f>
        <v>#N/A</v>
      </c>
      <c r="N146" t="e">
        <f ca="1">Tabelle7[[#This Row],[Hauptgruppe]]&amp;"/"&amp;Tabelle7[[#This Row],[Mittelgruppe]]&amp;"/"&amp;Tabelle7[[#This Row],[Untergruppe]]</f>
        <v>#N/A</v>
      </c>
      <c r="O146" t="e">
        <f>INDEX(Tabelle6[Aktor],MATCH(Tabelle7[[#This Row],[Gesamtcode]],Tabelle6[Gesamtcode],0))&amp;" "&amp;INDEX(Tabelle6[Aktorkanal],MATCH(Tabelle7[[#This Row],[Gesamtcode]],Tabelle6[Gesamtcode],0))</f>
        <v>#N/A</v>
      </c>
    </row>
    <row r="147" spans="2:15" x14ac:dyDescent="0.25">
      <c r="B147" t="s">
        <v>265</v>
      </c>
      <c r="C147" t="e">
        <f>INDEX(Tabelle132[Zone],MATCH(Tabelle7[[#This Row],[Gesamtcode]],Tabelle132[Gesamtcode],0))</f>
        <v>#N/A</v>
      </c>
      <c r="D147" t="e">
        <f>INDEX(Tabelle132[Raum],MATCH(Tabelle7[[#This Row],[Gesamtcode]],Tabelle132[Gesamtcode],0))</f>
        <v>#N/A</v>
      </c>
      <c r="E147" t="e">
        <f>INDEX(Tabelle132[Bezeichnung],MATCH(Tabelle7[[#This Row],[Gesamtcode]],Tabelle132[Gesamtcode],0))</f>
        <v>#N/A</v>
      </c>
      <c r="F147" t="e">
        <f>"_"&amp;INDEX(Tabelle132[Geräte/Gewerke],MATCH(Tabelle7[[#This Row],[Gesamtcode]],Tabelle132[Gesamtcode],0))</f>
        <v>#N/A</v>
      </c>
      <c r="G147" t="e">
        <f>INDEX(Tabelle13[Gewerknr.],MATCH(Tabelle7[[#This Row],[Gewerke]],Tabelle13[Hauptgruppe],0))</f>
        <v>#N/A</v>
      </c>
      <c r="H147" t="s">
        <v>280</v>
      </c>
      <c r="I147" t="e">
        <f ca="1">INDEX(Tabelle134[Funktionsbereichsnr.],MATCH(Tabelle7[[#This Row],[Funktionsbereiche]],INDIRECT("Tabelle134["&amp;Tabelle7[[#This Row],[Gewerke]]&amp;"]"),0))</f>
        <v>#N/A</v>
      </c>
      <c r="J147" t="e">
        <f>Tabelle7[[#This Row],[Gesamtcode]]&amp;"_"&amp;Tabelle7[[#This Row],[Zone]]&amp;"_"&amp;Tabelle7[[#This Row],[Raum]]&amp;"_"&amp;Tabelle7[[#This Row],[Bezeichnung]]</f>
        <v>#N/A</v>
      </c>
      <c r="K147">
        <v>18</v>
      </c>
      <c r="L147" t="e">
        <f>Tabelle7[[#This Row],[Hauptgruppe]]&amp;"/-/-"</f>
        <v>#N/A</v>
      </c>
      <c r="M147" t="e">
        <f ca="1">Tabelle7[[#This Row],[Hauptgruppe]]&amp;"/"&amp;Tabelle7[[#This Row],[Mittelgruppe]]&amp;"/-"</f>
        <v>#N/A</v>
      </c>
      <c r="N147" t="e">
        <f ca="1">Tabelle7[[#This Row],[Hauptgruppe]]&amp;"/"&amp;Tabelle7[[#This Row],[Mittelgruppe]]&amp;"/"&amp;Tabelle7[[#This Row],[Untergruppe]]</f>
        <v>#N/A</v>
      </c>
      <c r="O147" t="e">
        <f>INDEX(Tabelle6[Aktor],MATCH(Tabelle7[[#This Row],[Gesamtcode]],Tabelle6[Gesamtcode],0))&amp;" "&amp;INDEX(Tabelle6[Aktorkanal],MATCH(Tabelle7[[#This Row],[Gesamtcode]],Tabelle6[Gesamtcode],0))</f>
        <v>#N/A</v>
      </c>
    </row>
    <row r="148" spans="2:15" x14ac:dyDescent="0.25">
      <c r="B148" t="s">
        <v>266</v>
      </c>
      <c r="C148" t="e">
        <f>INDEX(Tabelle132[Zone],MATCH(Tabelle7[[#This Row],[Gesamtcode]],Tabelle132[Gesamtcode],0))</f>
        <v>#N/A</v>
      </c>
      <c r="D148" t="e">
        <f>INDEX(Tabelle132[Raum],MATCH(Tabelle7[[#This Row],[Gesamtcode]],Tabelle132[Gesamtcode],0))</f>
        <v>#N/A</v>
      </c>
      <c r="E148" t="e">
        <f>INDEX(Tabelle132[Bezeichnung],MATCH(Tabelle7[[#This Row],[Gesamtcode]],Tabelle132[Gesamtcode],0))</f>
        <v>#N/A</v>
      </c>
      <c r="F148" t="e">
        <f>"_"&amp;INDEX(Tabelle132[Geräte/Gewerke],MATCH(Tabelle7[[#This Row],[Gesamtcode]],Tabelle132[Gesamtcode],0))</f>
        <v>#N/A</v>
      </c>
      <c r="G148" t="e">
        <f>INDEX(Tabelle13[Gewerknr.],MATCH(Tabelle7[[#This Row],[Gewerke]],Tabelle13[Hauptgruppe],0))</f>
        <v>#N/A</v>
      </c>
      <c r="H148" t="s">
        <v>280</v>
      </c>
      <c r="I148" t="e">
        <f ca="1">INDEX(Tabelle134[Funktionsbereichsnr.],MATCH(Tabelle7[[#This Row],[Funktionsbereiche]],INDIRECT("Tabelle134["&amp;Tabelle7[[#This Row],[Gewerke]]&amp;"]"),0))</f>
        <v>#N/A</v>
      </c>
      <c r="J148" t="e">
        <f>Tabelle7[[#This Row],[Gesamtcode]]&amp;"_"&amp;Tabelle7[[#This Row],[Zone]]&amp;"_"&amp;Tabelle7[[#This Row],[Raum]]&amp;"_"&amp;Tabelle7[[#This Row],[Bezeichnung]]</f>
        <v>#N/A</v>
      </c>
      <c r="K148">
        <v>2</v>
      </c>
      <c r="L148" t="e">
        <f>Tabelle7[[#This Row],[Hauptgruppe]]&amp;"/-/-"</f>
        <v>#N/A</v>
      </c>
      <c r="M148" t="e">
        <f ca="1">Tabelle7[[#This Row],[Hauptgruppe]]&amp;"/"&amp;Tabelle7[[#This Row],[Mittelgruppe]]&amp;"/-"</f>
        <v>#N/A</v>
      </c>
      <c r="N148" t="e">
        <f ca="1">Tabelle7[[#This Row],[Hauptgruppe]]&amp;"/"&amp;Tabelle7[[#This Row],[Mittelgruppe]]&amp;"/"&amp;Tabelle7[[#This Row],[Untergruppe]]</f>
        <v>#N/A</v>
      </c>
      <c r="O148" t="e">
        <f>INDEX(Tabelle6[Aktor],MATCH(Tabelle7[[#This Row],[Gesamtcode]],Tabelle6[Gesamtcode],0))&amp;" "&amp;INDEX(Tabelle6[Aktorkanal],MATCH(Tabelle7[[#This Row],[Gesamtcode]],Tabelle6[Gesamtcode],0))</f>
        <v>#N/A</v>
      </c>
    </row>
    <row r="149" spans="2:15" x14ac:dyDescent="0.25">
      <c r="B149" t="s">
        <v>267</v>
      </c>
      <c r="C149" t="e">
        <f>INDEX(Tabelle132[Zone],MATCH(Tabelle7[[#This Row],[Gesamtcode]],Tabelle132[Gesamtcode],0))</f>
        <v>#N/A</v>
      </c>
      <c r="D149" t="e">
        <f>INDEX(Tabelle132[Raum],MATCH(Tabelle7[[#This Row],[Gesamtcode]],Tabelle132[Gesamtcode],0))</f>
        <v>#N/A</v>
      </c>
      <c r="E149" t="e">
        <f>INDEX(Tabelle132[Bezeichnung],MATCH(Tabelle7[[#This Row],[Gesamtcode]],Tabelle132[Gesamtcode],0))</f>
        <v>#N/A</v>
      </c>
      <c r="F149" t="e">
        <f>"_"&amp;INDEX(Tabelle132[Geräte/Gewerke],MATCH(Tabelle7[[#This Row],[Gesamtcode]],Tabelle132[Gesamtcode],0))</f>
        <v>#N/A</v>
      </c>
      <c r="G149" t="e">
        <f>INDEX(Tabelle13[Gewerknr.],MATCH(Tabelle7[[#This Row],[Gewerke]],Tabelle13[Hauptgruppe],0))</f>
        <v>#N/A</v>
      </c>
      <c r="H149" t="s">
        <v>280</v>
      </c>
      <c r="I149" t="e">
        <f ca="1">INDEX(Tabelle134[Funktionsbereichsnr.],MATCH(Tabelle7[[#This Row],[Funktionsbereiche]],INDIRECT("Tabelle134["&amp;Tabelle7[[#This Row],[Gewerke]]&amp;"]"),0))</f>
        <v>#N/A</v>
      </c>
      <c r="J149" t="e">
        <f>Tabelle7[[#This Row],[Gesamtcode]]&amp;"_"&amp;Tabelle7[[#This Row],[Zone]]&amp;"_"&amp;Tabelle7[[#This Row],[Raum]]&amp;"_"&amp;Tabelle7[[#This Row],[Bezeichnung]]</f>
        <v>#N/A</v>
      </c>
      <c r="K149">
        <v>3</v>
      </c>
      <c r="L149" t="e">
        <f>Tabelle7[[#This Row],[Hauptgruppe]]&amp;"/-/-"</f>
        <v>#N/A</v>
      </c>
      <c r="M149" t="e">
        <f ca="1">Tabelle7[[#This Row],[Hauptgruppe]]&amp;"/"&amp;Tabelle7[[#This Row],[Mittelgruppe]]&amp;"/-"</f>
        <v>#N/A</v>
      </c>
      <c r="N149" t="e">
        <f ca="1">Tabelle7[[#This Row],[Hauptgruppe]]&amp;"/"&amp;Tabelle7[[#This Row],[Mittelgruppe]]&amp;"/"&amp;Tabelle7[[#This Row],[Untergruppe]]</f>
        <v>#N/A</v>
      </c>
      <c r="O149" t="e">
        <f>INDEX(Tabelle6[Aktor],MATCH(Tabelle7[[#This Row],[Gesamtcode]],Tabelle6[Gesamtcode],0))&amp;" "&amp;INDEX(Tabelle6[Aktorkanal],MATCH(Tabelle7[[#This Row],[Gesamtcode]],Tabelle6[Gesamtcode],0))</f>
        <v>#N/A</v>
      </c>
    </row>
    <row r="150" spans="2:15" x14ac:dyDescent="0.25">
      <c r="B150" t="s">
        <v>268</v>
      </c>
      <c r="C150" t="e">
        <f>INDEX(Tabelle132[Zone],MATCH(Tabelle7[[#This Row],[Gesamtcode]],Tabelle132[Gesamtcode],0))</f>
        <v>#N/A</v>
      </c>
      <c r="D150" t="e">
        <f>INDEX(Tabelle132[Raum],MATCH(Tabelle7[[#This Row],[Gesamtcode]],Tabelle132[Gesamtcode],0))</f>
        <v>#N/A</v>
      </c>
      <c r="E150" t="e">
        <f>INDEX(Tabelle132[Bezeichnung],MATCH(Tabelle7[[#This Row],[Gesamtcode]],Tabelle132[Gesamtcode],0))</f>
        <v>#N/A</v>
      </c>
      <c r="F150" t="e">
        <f>"_"&amp;INDEX(Tabelle132[Geräte/Gewerke],MATCH(Tabelle7[[#This Row],[Gesamtcode]],Tabelle132[Gesamtcode],0))</f>
        <v>#N/A</v>
      </c>
      <c r="G150" t="e">
        <f>INDEX(Tabelle13[Gewerknr.],MATCH(Tabelle7[[#This Row],[Gewerke]],Tabelle13[Hauptgruppe],0))</f>
        <v>#N/A</v>
      </c>
      <c r="H150" t="s">
        <v>280</v>
      </c>
      <c r="I150" t="e">
        <f ca="1">INDEX(Tabelle134[Funktionsbereichsnr.],MATCH(Tabelle7[[#This Row],[Funktionsbereiche]],INDIRECT("Tabelle134["&amp;Tabelle7[[#This Row],[Gewerke]]&amp;"]"),0))</f>
        <v>#N/A</v>
      </c>
      <c r="J150" t="e">
        <f>Tabelle7[[#This Row],[Gesamtcode]]&amp;"_"&amp;Tabelle7[[#This Row],[Zone]]&amp;"_"&amp;Tabelle7[[#This Row],[Raum]]&amp;"_"&amp;Tabelle7[[#This Row],[Bezeichnung]]</f>
        <v>#N/A</v>
      </c>
      <c r="K150">
        <v>4</v>
      </c>
      <c r="L150" t="e">
        <f>Tabelle7[[#This Row],[Hauptgruppe]]&amp;"/-/-"</f>
        <v>#N/A</v>
      </c>
      <c r="M150" t="e">
        <f ca="1">Tabelle7[[#This Row],[Hauptgruppe]]&amp;"/"&amp;Tabelle7[[#This Row],[Mittelgruppe]]&amp;"/-"</f>
        <v>#N/A</v>
      </c>
      <c r="N150" t="e">
        <f ca="1">Tabelle7[[#This Row],[Hauptgruppe]]&amp;"/"&amp;Tabelle7[[#This Row],[Mittelgruppe]]&amp;"/"&amp;Tabelle7[[#This Row],[Untergruppe]]</f>
        <v>#N/A</v>
      </c>
      <c r="O150" t="e">
        <f>INDEX(Tabelle6[Aktor],MATCH(Tabelle7[[#This Row],[Gesamtcode]],Tabelle6[Gesamtcode],0))&amp;" "&amp;INDEX(Tabelle6[Aktorkanal],MATCH(Tabelle7[[#This Row],[Gesamtcode]],Tabelle6[Gesamtcode],0))</f>
        <v>#N/A</v>
      </c>
    </row>
    <row r="151" spans="2:15" x14ac:dyDescent="0.25">
      <c r="B151" t="s">
        <v>269</v>
      </c>
      <c r="C151" t="e">
        <f>INDEX(Tabelle132[Zone],MATCH(Tabelle7[[#This Row],[Gesamtcode]],Tabelle132[Gesamtcode],0))</f>
        <v>#N/A</v>
      </c>
      <c r="D151" t="e">
        <f>INDEX(Tabelle132[Raum],MATCH(Tabelle7[[#This Row],[Gesamtcode]],Tabelle132[Gesamtcode],0))</f>
        <v>#N/A</v>
      </c>
      <c r="E151" t="e">
        <f>INDEX(Tabelle132[Bezeichnung],MATCH(Tabelle7[[#This Row],[Gesamtcode]],Tabelle132[Gesamtcode],0))</f>
        <v>#N/A</v>
      </c>
      <c r="F151" t="e">
        <f>"_"&amp;INDEX(Tabelle132[Geräte/Gewerke],MATCH(Tabelle7[[#This Row],[Gesamtcode]],Tabelle132[Gesamtcode],0))</f>
        <v>#N/A</v>
      </c>
      <c r="G151" t="e">
        <f>INDEX(Tabelle13[Gewerknr.],MATCH(Tabelle7[[#This Row],[Gewerke]],Tabelle13[Hauptgruppe],0))</f>
        <v>#N/A</v>
      </c>
      <c r="H151" t="s">
        <v>280</v>
      </c>
      <c r="I151" t="e">
        <f ca="1">INDEX(Tabelle134[Funktionsbereichsnr.],MATCH(Tabelle7[[#This Row],[Funktionsbereiche]],INDIRECT("Tabelle134["&amp;Tabelle7[[#This Row],[Gewerke]]&amp;"]"),0))</f>
        <v>#N/A</v>
      </c>
      <c r="J151" t="e">
        <f>Tabelle7[[#This Row],[Gesamtcode]]&amp;"_"&amp;Tabelle7[[#This Row],[Zone]]&amp;"_"&amp;Tabelle7[[#This Row],[Raum]]&amp;"_"&amp;Tabelle7[[#This Row],[Bezeichnung]]</f>
        <v>#N/A</v>
      </c>
      <c r="K151">
        <v>5</v>
      </c>
      <c r="L151" t="e">
        <f>Tabelle7[[#This Row],[Hauptgruppe]]&amp;"/-/-"</f>
        <v>#N/A</v>
      </c>
      <c r="M151" t="e">
        <f ca="1">Tabelle7[[#This Row],[Hauptgruppe]]&amp;"/"&amp;Tabelle7[[#This Row],[Mittelgruppe]]&amp;"/-"</f>
        <v>#N/A</v>
      </c>
      <c r="N151" t="e">
        <f ca="1">Tabelle7[[#This Row],[Hauptgruppe]]&amp;"/"&amp;Tabelle7[[#This Row],[Mittelgruppe]]&amp;"/"&amp;Tabelle7[[#This Row],[Untergruppe]]</f>
        <v>#N/A</v>
      </c>
      <c r="O151" t="e">
        <f>INDEX(Tabelle6[Aktor],MATCH(Tabelle7[[#This Row],[Gesamtcode]],Tabelle6[Gesamtcode],0))&amp;" "&amp;INDEX(Tabelle6[Aktorkanal],MATCH(Tabelle7[[#This Row],[Gesamtcode]],Tabelle6[Gesamtcode],0))</f>
        <v>#N/A</v>
      </c>
    </row>
    <row r="152" spans="2:15" x14ac:dyDescent="0.25">
      <c r="B152" t="s">
        <v>270</v>
      </c>
      <c r="C152" t="e">
        <f>INDEX(Tabelle132[Zone],MATCH(Tabelle7[[#This Row],[Gesamtcode]],Tabelle132[Gesamtcode],0))</f>
        <v>#N/A</v>
      </c>
      <c r="D152" t="e">
        <f>INDEX(Tabelle132[Raum],MATCH(Tabelle7[[#This Row],[Gesamtcode]],Tabelle132[Gesamtcode],0))</f>
        <v>#N/A</v>
      </c>
      <c r="E152" t="e">
        <f>INDEX(Tabelle132[Bezeichnung],MATCH(Tabelle7[[#This Row],[Gesamtcode]],Tabelle132[Gesamtcode],0))</f>
        <v>#N/A</v>
      </c>
      <c r="F152" t="e">
        <f>"_"&amp;INDEX(Tabelle132[Geräte/Gewerke],MATCH(Tabelle7[[#This Row],[Gesamtcode]],Tabelle132[Gesamtcode],0))</f>
        <v>#N/A</v>
      </c>
      <c r="G152" t="e">
        <f>INDEX(Tabelle13[Gewerknr.],MATCH(Tabelle7[[#This Row],[Gewerke]],Tabelle13[Hauptgruppe],0))</f>
        <v>#N/A</v>
      </c>
      <c r="H152" t="s">
        <v>280</v>
      </c>
      <c r="I152" t="e">
        <f ca="1">INDEX(Tabelle134[Funktionsbereichsnr.],MATCH(Tabelle7[[#This Row],[Funktionsbereiche]],INDIRECT("Tabelle134["&amp;Tabelle7[[#This Row],[Gewerke]]&amp;"]"),0))</f>
        <v>#N/A</v>
      </c>
      <c r="J152" t="e">
        <f>Tabelle7[[#This Row],[Gesamtcode]]&amp;"_"&amp;Tabelle7[[#This Row],[Zone]]&amp;"_"&amp;Tabelle7[[#This Row],[Raum]]&amp;"_"&amp;Tabelle7[[#This Row],[Bezeichnung]]</f>
        <v>#N/A</v>
      </c>
      <c r="K152">
        <v>6</v>
      </c>
      <c r="L152" t="e">
        <f>Tabelle7[[#This Row],[Hauptgruppe]]&amp;"/-/-"</f>
        <v>#N/A</v>
      </c>
      <c r="M152" t="e">
        <f ca="1">Tabelle7[[#This Row],[Hauptgruppe]]&amp;"/"&amp;Tabelle7[[#This Row],[Mittelgruppe]]&amp;"/-"</f>
        <v>#N/A</v>
      </c>
      <c r="N152" t="e">
        <f ca="1">Tabelle7[[#This Row],[Hauptgruppe]]&amp;"/"&amp;Tabelle7[[#This Row],[Mittelgruppe]]&amp;"/"&amp;Tabelle7[[#This Row],[Untergruppe]]</f>
        <v>#N/A</v>
      </c>
      <c r="O152" t="e">
        <f>INDEX(Tabelle6[Aktor],MATCH(Tabelle7[[#This Row],[Gesamtcode]],Tabelle6[Gesamtcode],0))&amp;" "&amp;INDEX(Tabelle6[Aktorkanal],MATCH(Tabelle7[[#This Row],[Gesamtcode]],Tabelle6[Gesamtcode],0))</f>
        <v>#N/A</v>
      </c>
    </row>
    <row r="153" spans="2:15" x14ac:dyDescent="0.25">
      <c r="B153" t="s">
        <v>271</v>
      </c>
      <c r="C153" t="e">
        <f>INDEX(Tabelle132[Zone],MATCH(Tabelle7[[#This Row],[Gesamtcode]],Tabelle132[Gesamtcode],0))</f>
        <v>#N/A</v>
      </c>
      <c r="D153" t="e">
        <f>INDEX(Tabelle132[Raum],MATCH(Tabelle7[[#This Row],[Gesamtcode]],Tabelle132[Gesamtcode],0))</f>
        <v>#N/A</v>
      </c>
      <c r="E153" t="e">
        <f>INDEX(Tabelle132[Bezeichnung],MATCH(Tabelle7[[#This Row],[Gesamtcode]],Tabelle132[Gesamtcode],0))</f>
        <v>#N/A</v>
      </c>
      <c r="F153" t="e">
        <f>"_"&amp;INDEX(Tabelle132[Geräte/Gewerke],MATCH(Tabelle7[[#This Row],[Gesamtcode]],Tabelle132[Gesamtcode],0))</f>
        <v>#N/A</v>
      </c>
      <c r="G153" t="e">
        <f>INDEX(Tabelle13[Gewerknr.],MATCH(Tabelle7[[#This Row],[Gewerke]],Tabelle13[Hauptgruppe],0))</f>
        <v>#N/A</v>
      </c>
      <c r="H153" t="s">
        <v>280</v>
      </c>
      <c r="I153" t="e">
        <f ca="1">INDEX(Tabelle134[Funktionsbereichsnr.],MATCH(Tabelle7[[#This Row],[Funktionsbereiche]],INDIRECT("Tabelle134["&amp;Tabelle7[[#This Row],[Gewerke]]&amp;"]"),0))</f>
        <v>#N/A</v>
      </c>
      <c r="J153" t="e">
        <f>Tabelle7[[#This Row],[Gesamtcode]]&amp;"_"&amp;Tabelle7[[#This Row],[Zone]]&amp;"_"&amp;Tabelle7[[#This Row],[Raum]]&amp;"_"&amp;Tabelle7[[#This Row],[Bezeichnung]]</f>
        <v>#N/A</v>
      </c>
      <c r="K153">
        <v>7</v>
      </c>
      <c r="L153" t="e">
        <f>Tabelle7[[#This Row],[Hauptgruppe]]&amp;"/-/-"</f>
        <v>#N/A</v>
      </c>
      <c r="M153" t="e">
        <f ca="1">Tabelle7[[#This Row],[Hauptgruppe]]&amp;"/"&amp;Tabelle7[[#This Row],[Mittelgruppe]]&amp;"/-"</f>
        <v>#N/A</v>
      </c>
      <c r="N153" t="e">
        <f ca="1">Tabelle7[[#This Row],[Hauptgruppe]]&amp;"/"&amp;Tabelle7[[#This Row],[Mittelgruppe]]&amp;"/"&amp;Tabelle7[[#This Row],[Untergruppe]]</f>
        <v>#N/A</v>
      </c>
      <c r="O153" t="e">
        <f>INDEX(Tabelle6[Aktor],MATCH(Tabelle7[[#This Row],[Gesamtcode]],Tabelle6[Gesamtcode],0))&amp;" "&amp;INDEX(Tabelle6[Aktorkanal],MATCH(Tabelle7[[#This Row],[Gesamtcode]],Tabelle6[Gesamtcode],0))</f>
        <v>#N/A</v>
      </c>
    </row>
    <row r="154" spans="2:15" x14ac:dyDescent="0.25">
      <c r="B154" t="s">
        <v>272</v>
      </c>
      <c r="C154" t="e">
        <f>INDEX(Tabelle132[Zone],MATCH(Tabelle7[[#This Row],[Gesamtcode]],Tabelle132[Gesamtcode],0))</f>
        <v>#N/A</v>
      </c>
      <c r="D154" t="e">
        <f>INDEX(Tabelle132[Raum],MATCH(Tabelle7[[#This Row],[Gesamtcode]],Tabelle132[Gesamtcode],0))</f>
        <v>#N/A</v>
      </c>
      <c r="E154" t="e">
        <f>INDEX(Tabelle132[Bezeichnung],MATCH(Tabelle7[[#This Row],[Gesamtcode]],Tabelle132[Gesamtcode],0))</f>
        <v>#N/A</v>
      </c>
      <c r="F154" t="e">
        <f>"_"&amp;INDEX(Tabelle132[Geräte/Gewerke],MATCH(Tabelle7[[#This Row],[Gesamtcode]],Tabelle132[Gesamtcode],0))</f>
        <v>#N/A</v>
      </c>
      <c r="G154" t="e">
        <f>INDEX(Tabelle13[Gewerknr.],MATCH(Tabelle7[[#This Row],[Gewerke]],Tabelle13[Hauptgruppe],0))</f>
        <v>#N/A</v>
      </c>
      <c r="H154" t="s">
        <v>280</v>
      </c>
      <c r="I154" t="e">
        <f ca="1">INDEX(Tabelle134[Funktionsbereichsnr.],MATCH(Tabelle7[[#This Row],[Funktionsbereiche]],INDIRECT("Tabelle134["&amp;Tabelle7[[#This Row],[Gewerke]]&amp;"]"),0))</f>
        <v>#N/A</v>
      </c>
      <c r="J154" t="e">
        <f>Tabelle7[[#This Row],[Gesamtcode]]&amp;"_"&amp;Tabelle7[[#This Row],[Zone]]&amp;"_"&amp;Tabelle7[[#This Row],[Raum]]&amp;"_"&amp;Tabelle7[[#This Row],[Bezeichnung]]</f>
        <v>#N/A</v>
      </c>
      <c r="K154">
        <v>8</v>
      </c>
      <c r="L154" t="e">
        <f>Tabelle7[[#This Row],[Hauptgruppe]]&amp;"/-/-"</f>
        <v>#N/A</v>
      </c>
      <c r="M154" t="e">
        <f ca="1">Tabelle7[[#This Row],[Hauptgruppe]]&amp;"/"&amp;Tabelle7[[#This Row],[Mittelgruppe]]&amp;"/-"</f>
        <v>#N/A</v>
      </c>
      <c r="N154" t="e">
        <f ca="1">Tabelle7[[#This Row],[Hauptgruppe]]&amp;"/"&amp;Tabelle7[[#This Row],[Mittelgruppe]]&amp;"/"&amp;Tabelle7[[#This Row],[Untergruppe]]</f>
        <v>#N/A</v>
      </c>
      <c r="O154" t="e">
        <f>INDEX(Tabelle6[Aktor],MATCH(Tabelle7[[#This Row],[Gesamtcode]],Tabelle6[Gesamtcode],0))&amp;" "&amp;INDEX(Tabelle6[Aktorkanal],MATCH(Tabelle7[[#This Row],[Gesamtcode]],Tabelle6[Gesamtcode],0))</f>
        <v>#N/A</v>
      </c>
    </row>
    <row r="155" spans="2:15" x14ac:dyDescent="0.25">
      <c r="B155" t="s">
        <v>273</v>
      </c>
      <c r="C155" t="e">
        <f>INDEX(Tabelle132[Zone],MATCH(Tabelle7[[#This Row],[Gesamtcode]],Tabelle132[Gesamtcode],0))</f>
        <v>#N/A</v>
      </c>
      <c r="D155" t="e">
        <f>INDEX(Tabelle132[Raum],MATCH(Tabelle7[[#This Row],[Gesamtcode]],Tabelle132[Gesamtcode],0))</f>
        <v>#N/A</v>
      </c>
      <c r="E155" t="e">
        <f>INDEX(Tabelle132[Bezeichnung],MATCH(Tabelle7[[#This Row],[Gesamtcode]],Tabelle132[Gesamtcode],0))</f>
        <v>#N/A</v>
      </c>
      <c r="F155" t="e">
        <f>"_"&amp;INDEX(Tabelle132[Geräte/Gewerke],MATCH(Tabelle7[[#This Row],[Gesamtcode]],Tabelle132[Gesamtcode],0))</f>
        <v>#N/A</v>
      </c>
      <c r="G155" t="e">
        <f>INDEX(Tabelle13[Gewerknr.],MATCH(Tabelle7[[#This Row],[Gewerke]],Tabelle13[Hauptgruppe],0))</f>
        <v>#N/A</v>
      </c>
      <c r="H155" t="s">
        <v>280</v>
      </c>
      <c r="I155" t="e">
        <f ca="1">INDEX(Tabelle134[Funktionsbereichsnr.],MATCH(Tabelle7[[#This Row],[Funktionsbereiche]],INDIRECT("Tabelle134["&amp;Tabelle7[[#This Row],[Gewerke]]&amp;"]"),0))</f>
        <v>#N/A</v>
      </c>
      <c r="J155" t="e">
        <f>Tabelle7[[#This Row],[Gesamtcode]]&amp;"_"&amp;Tabelle7[[#This Row],[Zone]]&amp;"_"&amp;Tabelle7[[#This Row],[Raum]]&amp;"_"&amp;Tabelle7[[#This Row],[Bezeichnung]]</f>
        <v>#N/A</v>
      </c>
      <c r="K155">
        <v>9</v>
      </c>
      <c r="L155" t="e">
        <f>Tabelle7[[#This Row],[Hauptgruppe]]&amp;"/-/-"</f>
        <v>#N/A</v>
      </c>
      <c r="M155" t="e">
        <f ca="1">Tabelle7[[#This Row],[Hauptgruppe]]&amp;"/"&amp;Tabelle7[[#This Row],[Mittelgruppe]]&amp;"/-"</f>
        <v>#N/A</v>
      </c>
      <c r="N155" t="e">
        <f ca="1">Tabelle7[[#This Row],[Hauptgruppe]]&amp;"/"&amp;Tabelle7[[#This Row],[Mittelgruppe]]&amp;"/"&amp;Tabelle7[[#This Row],[Untergruppe]]</f>
        <v>#N/A</v>
      </c>
      <c r="O155" t="e">
        <f>INDEX(Tabelle6[Aktor],MATCH(Tabelle7[[#This Row],[Gesamtcode]],Tabelle6[Gesamtcode],0))&amp;" "&amp;INDEX(Tabelle6[Aktorkanal],MATCH(Tabelle7[[#This Row],[Gesamtcode]],Tabelle6[Gesamtcode],0))</f>
        <v>#N/A</v>
      </c>
    </row>
    <row r="156" spans="2:15" x14ac:dyDescent="0.25">
      <c r="B156" t="s">
        <v>281</v>
      </c>
      <c r="C156" t="e">
        <f>INDEX(Tabelle132[Zone],MATCH(Tabelle7[[#This Row],[Gesamtcode]],Tabelle132[Gesamtcode],0))</f>
        <v>#N/A</v>
      </c>
      <c r="D156" t="e">
        <f>INDEX(Tabelle132[Raum],MATCH(Tabelle7[[#This Row],[Gesamtcode]],Tabelle132[Gesamtcode],0))</f>
        <v>#N/A</v>
      </c>
      <c r="E156" t="e">
        <f>INDEX(Tabelle132[Bezeichnung],MATCH(Tabelle7[[#This Row],[Gesamtcode]],Tabelle132[Gesamtcode],0))</f>
        <v>#N/A</v>
      </c>
      <c r="F156" t="e">
        <f>"_"&amp;INDEX(Tabelle132[Geräte/Gewerke],MATCH(Tabelle7[[#This Row],[Gesamtcode]],Tabelle132[Gesamtcode],0))</f>
        <v>#N/A</v>
      </c>
      <c r="G156" t="e">
        <f>INDEX(Tabelle13[Gewerknr.],MATCH(Tabelle7[[#This Row],[Gewerke]],Tabelle13[Hauptgruppe],0))</f>
        <v>#N/A</v>
      </c>
      <c r="H156" t="s">
        <v>255</v>
      </c>
      <c r="I156" t="e">
        <f ca="1">INDEX(Tabelle134[Funktionsbereichsnr.],MATCH(Tabelle7[[#This Row],[Funktionsbereiche]],INDIRECT("Tabelle134["&amp;Tabelle7[[#This Row],[Gewerke]]&amp;"]"),0))</f>
        <v>#N/A</v>
      </c>
      <c r="J156" t="e">
        <f>Tabelle7[[#This Row],[Gesamtcode]]&amp;"_"&amp;Tabelle7[[#This Row],[Zone]]&amp;"_"&amp;Tabelle7[[#This Row],[Raum]]&amp;"_"&amp;Tabelle7[[#This Row],[Bezeichnung]]</f>
        <v>#N/A</v>
      </c>
      <c r="K156">
        <v>0</v>
      </c>
      <c r="L156" t="e">
        <f>Tabelle7[[#This Row],[Hauptgruppe]]&amp;"/-/-"</f>
        <v>#N/A</v>
      </c>
      <c r="M156" t="e">
        <f ca="1">Tabelle7[[#This Row],[Hauptgruppe]]&amp;"/"&amp;Tabelle7[[#This Row],[Mittelgruppe]]&amp;"/-"</f>
        <v>#N/A</v>
      </c>
      <c r="N156" t="e">
        <f ca="1">Tabelle7[[#This Row],[Hauptgruppe]]&amp;"/"&amp;Tabelle7[[#This Row],[Mittelgruppe]]&amp;"/"&amp;Tabelle7[[#This Row],[Untergruppe]]</f>
        <v>#N/A</v>
      </c>
      <c r="O156" t="e">
        <f>INDEX(Tabelle6[Aktor],MATCH(Tabelle7[[#This Row],[Gesamtcode]],Tabelle6[Gesamtcode],0))&amp;" "&amp;INDEX(Tabelle6[Aktorkanal],MATCH(Tabelle7[[#This Row],[Gesamtcode]],Tabelle6[Gesamtcode],0))</f>
        <v>#N/A</v>
      </c>
    </row>
    <row r="157" spans="2:15" x14ac:dyDescent="0.25">
      <c r="B157" t="s">
        <v>282</v>
      </c>
      <c r="C157" t="e">
        <f>INDEX(Tabelle132[Zone],MATCH(Tabelle7[[#This Row],[Gesamtcode]],Tabelle132[Gesamtcode],0))</f>
        <v>#N/A</v>
      </c>
      <c r="D157" t="e">
        <f>INDEX(Tabelle132[Raum],MATCH(Tabelle7[[#This Row],[Gesamtcode]],Tabelle132[Gesamtcode],0))</f>
        <v>#N/A</v>
      </c>
      <c r="E157" t="e">
        <f>INDEX(Tabelle132[Bezeichnung],MATCH(Tabelle7[[#This Row],[Gesamtcode]],Tabelle132[Gesamtcode],0))</f>
        <v>#N/A</v>
      </c>
      <c r="F157" t="e">
        <f>"_"&amp;INDEX(Tabelle132[Geräte/Gewerke],MATCH(Tabelle7[[#This Row],[Gesamtcode]],Tabelle132[Gesamtcode],0))</f>
        <v>#N/A</v>
      </c>
      <c r="G157" t="e">
        <f>INDEX(Tabelle13[Gewerknr.],MATCH(Tabelle7[[#This Row],[Gewerke]],Tabelle13[Hauptgruppe],0))</f>
        <v>#N/A</v>
      </c>
      <c r="H157" t="s">
        <v>255</v>
      </c>
      <c r="I157" t="e">
        <f ca="1">INDEX(Tabelle134[Funktionsbereichsnr.],MATCH(Tabelle7[[#This Row],[Funktionsbereiche]],INDIRECT("Tabelle134["&amp;Tabelle7[[#This Row],[Gewerke]]&amp;"]"),0))</f>
        <v>#N/A</v>
      </c>
      <c r="J157" t="e">
        <f>Tabelle7[[#This Row],[Gesamtcode]]&amp;"_"&amp;Tabelle7[[#This Row],[Zone]]&amp;"_"&amp;Tabelle7[[#This Row],[Raum]]&amp;"_"&amp;Tabelle7[[#This Row],[Bezeichnung]]</f>
        <v>#N/A</v>
      </c>
      <c r="K157">
        <v>1</v>
      </c>
      <c r="L157" t="e">
        <f>Tabelle7[[#This Row],[Hauptgruppe]]&amp;"/-/-"</f>
        <v>#N/A</v>
      </c>
      <c r="M157" t="e">
        <f ca="1">Tabelle7[[#This Row],[Hauptgruppe]]&amp;"/"&amp;Tabelle7[[#This Row],[Mittelgruppe]]&amp;"/-"</f>
        <v>#N/A</v>
      </c>
      <c r="N157" t="e">
        <f ca="1">Tabelle7[[#This Row],[Hauptgruppe]]&amp;"/"&amp;Tabelle7[[#This Row],[Mittelgruppe]]&amp;"/"&amp;Tabelle7[[#This Row],[Untergruppe]]</f>
        <v>#N/A</v>
      </c>
      <c r="O157" t="e">
        <f>INDEX(Tabelle6[Aktor],MATCH(Tabelle7[[#This Row],[Gesamtcode]],Tabelle6[Gesamtcode],0))&amp;" "&amp;INDEX(Tabelle6[Aktorkanal],MATCH(Tabelle7[[#This Row],[Gesamtcode]],Tabelle6[Gesamtcode],0))</f>
        <v>#N/A</v>
      </c>
    </row>
    <row r="158" spans="2:15" x14ac:dyDescent="0.25">
      <c r="B158" t="s">
        <v>283</v>
      </c>
      <c r="C158" t="e">
        <f>INDEX(Tabelle132[Zone],MATCH(Tabelle7[[#This Row],[Gesamtcode]],Tabelle132[Gesamtcode],0))</f>
        <v>#N/A</v>
      </c>
      <c r="D158" t="e">
        <f>INDEX(Tabelle132[Raum],MATCH(Tabelle7[[#This Row],[Gesamtcode]],Tabelle132[Gesamtcode],0))</f>
        <v>#N/A</v>
      </c>
      <c r="E158" t="e">
        <f>INDEX(Tabelle132[Bezeichnung],MATCH(Tabelle7[[#This Row],[Gesamtcode]],Tabelle132[Gesamtcode],0))</f>
        <v>#N/A</v>
      </c>
      <c r="F158" t="e">
        <f>"_"&amp;INDEX(Tabelle132[Geräte/Gewerke],MATCH(Tabelle7[[#This Row],[Gesamtcode]],Tabelle132[Gesamtcode],0))</f>
        <v>#N/A</v>
      </c>
      <c r="G158" t="e">
        <f>INDEX(Tabelle13[Gewerknr.],MATCH(Tabelle7[[#This Row],[Gewerke]],Tabelle13[Hauptgruppe],0))</f>
        <v>#N/A</v>
      </c>
      <c r="H158" t="s">
        <v>255</v>
      </c>
      <c r="I158" t="e">
        <f ca="1">INDEX(Tabelle134[Funktionsbereichsnr.],MATCH(Tabelle7[[#This Row],[Funktionsbereiche]],INDIRECT("Tabelle134["&amp;Tabelle7[[#This Row],[Gewerke]]&amp;"]"),0))</f>
        <v>#N/A</v>
      </c>
      <c r="J158" t="e">
        <f>Tabelle7[[#This Row],[Gesamtcode]]&amp;"_"&amp;Tabelle7[[#This Row],[Zone]]&amp;"_"&amp;Tabelle7[[#This Row],[Raum]]&amp;"_"&amp;Tabelle7[[#This Row],[Bezeichnung]]</f>
        <v>#N/A</v>
      </c>
      <c r="K158">
        <v>10</v>
      </c>
      <c r="L158" t="e">
        <f>Tabelle7[[#This Row],[Hauptgruppe]]&amp;"/-/-"</f>
        <v>#N/A</v>
      </c>
      <c r="M158" t="e">
        <f ca="1">Tabelle7[[#This Row],[Hauptgruppe]]&amp;"/"&amp;Tabelle7[[#This Row],[Mittelgruppe]]&amp;"/-"</f>
        <v>#N/A</v>
      </c>
      <c r="N158" t="e">
        <f ca="1">Tabelle7[[#This Row],[Hauptgruppe]]&amp;"/"&amp;Tabelle7[[#This Row],[Mittelgruppe]]&amp;"/"&amp;Tabelle7[[#This Row],[Untergruppe]]</f>
        <v>#N/A</v>
      </c>
      <c r="O158" t="e">
        <f>INDEX(Tabelle6[Aktor],MATCH(Tabelle7[[#This Row],[Gesamtcode]],Tabelle6[Gesamtcode],0))&amp;" "&amp;INDEX(Tabelle6[Aktorkanal],MATCH(Tabelle7[[#This Row],[Gesamtcode]],Tabelle6[Gesamtcode],0))</f>
        <v>#N/A</v>
      </c>
    </row>
    <row r="159" spans="2:15" x14ac:dyDescent="0.25">
      <c r="B159" t="s">
        <v>284</v>
      </c>
      <c r="C159" t="e">
        <f>INDEX(Tabelle132[Zone],MATCH(Tabelle7[[#This Row],[Gesamtcode]],Tabelle132[Gesamtcode],0))</f>
        <v>#N/A</v>
      </c>
      <c r="D159" t="e">
        <f>INDEX(Tabelle132[Raum],MATCH(Tabelle7[[#This Row],[Gesamtcode]],Tabelle132[Gesamtcode],0))</f>
        <v>#N/A</v>
      </c>
      <c r="E159" t="e">
        <f>INDEX(Tabelle132[Bezeichnung],MATCH(Tabelle7[[#This Row],[Gesamtcode]],Tabelle132[Gesamtcode],0))</f>
        <v>#N/A</v>
      </c>
      <c r="F159" t="e">
        <f>"_"&amp;INDEX(Tabelle132[Geräte/Gewerke],MATCH(Tabelle7[[#This Row],[Gesamtcode]],Tabelle132[Gesamtcode],0))</f>
        <v>#N/A</v>
      </c>
      <c r="G159" t="e">
        <f>INDEX(Tabelle13[Gewerknr.],MATCH(Tabelle7[[#This Row],[Gewerke]],Tabelle13[Hauptgruppe],0))</f>
        <v>#N/A</v>
      </c>
      <c r="H159" t="s">
        <v>255</v>
      </c>
      <c r="I159" t="e">
        <f ca="1">INDEX(Tabelle134[Funktionsbereichsnr.],MATCH(Tabelle7[[#This Row],[Funktionsbereiche]],INDIRECT("Tabelle134["&amp;Tabelle7[[#This Row],[Gewerke]]&amp;"]"),0))</f>
        <v>#N/A</v>
      </c>
      <c r="J159" t="e">
        <f>Tabelle7[[#This Row],[Gesamtcode]]&amp;"_"&amp;Tabelle7[[#This Row],[Zone]]&amp;"_"&amp;Tabelle7[[#This Row],[Raum]]&amp;"_"&amp;Tabelle7[[#This Row],[Bezeichnung]]</f>
        <v>#N/A</v>
      </c>
      <c r="K159">
        <v>11</v>
      </c>
      <c r="L159" t="e">
        <f>Tabelle7[[#This Row],[Hauptgruppe]]&amp;"/-/-"</f>
        <v>#N/A</v>
      </c>
      <c r="M159" t="e">
        <f ca="1">Tabelle7[[#This Row],[Hauptgruppe]]&amp;"/"&amp;Tabelle7[[#This Row],[Mittelgruppe]]&amp;"/-"</f>
        <v>#N/A</v>
      </c>
      <c r="N159" t="e">
        <f ca="1">Tabelle7[[#This Row],[Hauptgruppe]]&amp;"/"&amp;Tabelle7[[#This Row],[Mittelgruppe]]&amp;"/"&amp;Tabelle7[[#This Row],[Untergruppe]]</f>
        <v>#N/A</v>
      </c>
      <c r="O159" t="e">
        <f>INDEX(Tabelle6[Aktor],MATCH(Tabelle7[[#This Row],[Gesamtcode]],Tabelle6[Gesamtcode],0))&amp;" "&amp;INDEX(Tabelle6[Aktorkanal],MATCH(Tabelle7[[#This Row],[Gesamtcode]],Tabelle6[Gesamtcode],0))</f>
        <v>#N/A</v>
      </c>
    </row>
    <row r="160" spans="2:15" x14ac:dyDescent="0.25">
      <c r="B160" t="s">
        <v>285</v>
      </c>
      <c r="C160" t="e">
        <f>INDEX(Tabelle132[Zone],MATCH(Tabelle7[[#This Row],[Gesamtcode]],Tabelle132[Gesamtcode],0))</f>
        <v>#N/A</v>
      </c>
      <c r="D160" t="e">
        <f>INDEX(Tabelle132[Raum],MATCH(Tabelle7[[#This Row],[Gesamtcode]],Tabelle132[Gesamtcode],0))</f>
        <v>#N/A</v>
      </c>
      <c r="E160" t="e">
        <f>INDEX(Tabelle132[Bezeichnung],MATCH(Tabelle7[[#This Row],[Gesamtcode]],Tabelle132[Gesamtcode],0))</f>
        <v>#N/A</v>
      </c>
      <c r="F160" t="e">
        <f>"_"&amp;INDEX(Tabelle132[Geräte/Gewerke],MATCH(Tabelle7[[#This Row],[Gesamtcode]],Tabelle132[Gesamtcode],0))</f>
        <v>#N/A</v>
      </c>
      <c r="G160" t="e">
        <f>INDEX(Tabelle13[Gewerknr.],MATCH(Tabelle7[[#This Row],[Gewerke]],Tabelle13[Hauptgruppe],0))</f>
        <v>#N/A</v>
      </c>
      <c r="H160" t="s">
        <v>255</v>
      </c>
      <c r="I160" t="e">
        <f ca="1">INDEX(Tabelle134[Funktionsbereichsnr.],MATCH(Tabelle7[[#This Row],[Funktionsbereiche]],INDIRECT("Tabelle134["&amp;Tabelle7[[#This Row],[Gewerke]]&amp;"]"),0))</f>
        <v>#N/A</v>
      </c>
      <c r="J160" t="e">
        <f>Tabelle7[[#This Row],[Gesamtcode]]&amp;"_"&amp;Tabelle7[[#This Row],[Zone]]&amp;"_"&amp;Tabelle7[[#This Row],[Raum]]&amp;"_"&amp;Tabelle7[[#This Row],[Bezeichnung]]</f>
        <v>#N/A</v>
      </c>
      <c r="K160">
        <v>12</v>
      </c>
      <c r="L160" t="e">
        <f>Tabelle7[[#This Row],[Hauptgruppe]]&amp;"/-/-"</f>
        <v>#N/A</v>
      </c>
      <c r="M160" t="e">
        <f ca="1">Tabelle7[[#This Row],[Hauptgruppe]]&amp;"/"&amp;Tabelle7[[#This Row],[Mittelgruppe]]&amp;"/-"</f>
        <v>#N/A</v>
      </c>
      <c r="N160" t="e">
        <f ca="1">Tabelle7[[#This Row],[Hauptgruppe]]&amp;"/"&amp;Tabelle7[[#This Row],[Mittelgruppe]]&amp;"/"&amp;Tabelle7[[#This Row],[Untergruppe]]</f>
        <v>#N/A</v>
      </c>
      <c r="O160" t="e">
        <f>INDEX(Tabelle6[Aktor],MATCH(Tabelle7[[#This Row],[Gesamtcode]],Tabelle6[Gesamtcode],0))&amp;" "&amp;INDEX(Tabelle6[Aktorkanal],MATCH(Tabelle7[[#This Row],[Gesamtcode]],Tabelle6[Gesamtcode],0))</f>
        <v>#N/A</v>
      </c>
    </row>
    <row r="161" spans="2:15" x14ac:dyDescent="0.25">
      <c r="B161" t="s">
        <v>285</v>
      </c>
      <c r="C161" t="e">
        <f>INDEX(Tabelle132[Zone],MATCH(Tabelle7[[#This Row],[Gesamtcode]],Tabelle132[Gesamtcode],0))</f>
        <v>#N/A</v>
      </c>
      <c r="D161" t="e">
        <f>INDEX(Tabelle132[Raum],MATCH(Tabelle7[[#This Row],[Gesamtcode]],Tabelle132[Gesamtcode],0))</f>
        <v>#N/A</v>
      </c>
      <c r="E161" t="e">
        <f>INDEX(Tabelle132[Bezeichnung],MATCH(Tabelle7[[#This Row],[Gesamtcode]],Tabelle132[Gesamtcode],0))</f>
        <v>#N/A</v>
      </c>
      <c r="F161" t="e">
        <f>"_"&amp;INDEX(Tabelle132[Geräte/Gewerke],MATCH(Tabelle7[[#This Row],[Gesamtcode]],Tabelle132[Gesamtcode],0))</f>
        <v>#N/A</v>
      </c>
      <c r="G161" t="e">
        <f>INDEX(Tabelle13[Gewerknr.],MATCH(Tabelle7[[#This Row],[Gewerke]],Tabelle13[Hauptgruppe],0))</f>
        <v>#N/A</v>
      </c>
      <c r="H161" t="s">
        <v>286</v>
      </c>
      <c r="I161" t="e">
        <f ca="1">INDEX(Tabelle134[Funktionsbereichsnr.],MATCH(Tabelle7[[#This Row],[Funktionsbereiche]],INDIRECT("Tabelle134["&amp;Tabelle7[[#This Row],[Gewerke]]&amp;"]"),0))</f>
        <v>#N/A</v>
      </c>
      <c r="J161" t="e">
        <f>Tabelle7[[#This Row],[Gesamtcode]]&amp;"_"&amp;Tabelle7[[#This Row],[Zone]]&amp;"_"&amp;Tabelle7[[#This Row],[Raum]]&amp;"_"&amp;Tabelle7[[#This Row],[Bezeichnung]]</f>
        <v>#N/A</v>
      </c>
      <c r="K161">
        <v>12</v>
      </c>
      <c r="L161" t="e">
        <f>Tabelle7[[#This Row],[Hauptgruppe]]&amp;"/-/-"</f>
        <v>#N/A</v>
      </c>
      <c r="M161" t="e">
        <f ca="1">Tabelle7[[#This Row],[Hauptgruppe]]&amp;"/"&amp;Tabelle7[[#This Row],[Mittelgruppe]]&amp;"/-"</f>
        <v>#N/A</v>
      </c>
      <c r="N161" t="e">
        <f ca="1">Tabelle7[[#This Row],[Hauptgruppe]]&amp;"/"&amp;Tabelle7[[#This Row],[Mittelgruppe]]&amp;"/"&amp;Tabelle7[[#This Row],[Untergruppe]]</f>
        <v>#N/A</v>
      </c>
      <c r="O161" t="e">
        <f>INDEX(Tabelle6[Aktor],MATCH(Tabelle7[[#This Row],[Gesamtcode]],Tabelle6[Gesamtcode],0))&amp;" "&amp;INDEX(Tabelle6[Aktorkanal],MATCH(Tabelle7[[#This Row],[Gesamtcode]],Tabelle6[Gesamtcode],0))</f>
        <v>#N/A</v>
      </c>
    </row>
    <row r="162" spans="2:15" x14ac:dyDescent="0.25">
      <c r="B162" t="s">
        <v>287</v>
      </c>
      <c r="C162" t="e">
        <f>INDEX(Tabelle132[Zone],MATCH(Tabelle7[[#This Row],[Gesamtcode]],Tabelle132[Gesamtcode],0))</f>
        <v>#N/A</v>
      </c>
      <c r="D162" t="e">
        <f>INDEX(Tabelle132[Raum],MATCH(Tabelle7[[#This Row],[Gesamtcode]],Tabelle132[Gesamtcode],0))</f>
        <v>#N/A</v>
      </c>
      <c r="E162" t="e">
        <f>INDEX(Tabelle132[Bezeichnung],MATCH(Tabelle7[[#This Row],[Gesamtcode]],Tabelle132[Gesamtcode],0))</f>
        <v>#N/A</v>
      </c>
      <c r="F162" t="e">
        <f>"_"&amp;INDEX(Tabelle132[Geräte/Gewerke],MATCH(Tabelle7[[#This Row],[Gesamtcode]],Tabelle132[Gesamtcode],0))</f>
        <v>#N/A</v>
      </c>
      <c r="G162" t="e">
        <f>INDEX(Tabelle13[Gewerknr.],MATCH(Tabelle7[[#This Row],[Gewerke]],Tabelle13[Hauptgruppe],0))</f>
        <v>#N/A</v>
      </c>
      <c r="H162" t="s">
        <v>255</v>
      </c>
      <c r="I162" t="e">
        <f ca="1">INDEX(Tabelle134[Funktionsbereichsnr.],MATCH(Tabelle7[[#This Row],[Funktionsbereiche]],INDIRECT("Tabelle134["&amp;Tabelle7[[#This Row],[Gewerke]]&amp;"]"),0))</f>
        <v>#N/A</v>
      </c>
      <c r="J162" t="e">
        <f>Tabelle7[[#This Row],[Gesamtcode]]&amp;"_"&amp;Tabelle7[[#This Row],[Zone]]&amp;"_"&amp;Tabelle7[[#This Row],[Raum]]&amp;"_"&amp;Tabelle7[[#This Row],[Bezeichnung]]</f>
        <v>#N/A</v>
      </c>
      <c r="K162">
        <v>14</v>
      </c>
      <c r="L162" t="e">
        <f>Tabelle7[[#This Row],[Hauptgruppe]]&amp;"/-/-"</f>
        <v>#N/A</v>
      </c>
      <c r="M162" t="e">
        <f ca="1">Tabelle7[[#This Row],[Hauptgruppe]]&amp;"/"&amp;Tabelle7[[#This Row],[Mittelgruppe]]&amp;"/-"</f>
        <v>#N/A</v>
      </c>
      <c r="N162" t="e">
        <f ca="1">Tabelle7[[#This Row],[Hauptgruppe]]&amp;"/"&amp;Tabelle7[[#This Row],[Mittelgruppe]]&amp;"/"&amp;Tabelle7[[#This Row],[Untergruppe]]</f>
        <v>#N/A</v>
      </c>
      <c r="O162" t="e">
        <f>INDEX(Tabelle6[Aktor],MATCH(Tabelle7[[#This Row],[Gesamtcode]],Tabelle6[Gesamtcode],0))&amp;" "&amp;INDEX(Tabelle6[Aktorkanal],MATCH(Tabelle7[[#This Row],[Gesamtcode]],Tabelle6[Gesamtcode],0))</f>
        <v>#N/A</v>
      </c>
    </row>
    <row r="163" spans="2:15" x14ac:dyDescent="0.25">
      <c r="B163" t="s">
        <v>288</v>
      </c>
      <c r="C163" t="e">
        <f>INDEX(Tabelle132[Zone],MATCH(Tabelle7[[#This Row],[Gesamtcode]],Tabelle132[Gesamtcode],0))</f>
        <v>#N/A</v>
      </c>
      <c r="D163" t="e">
        <f>INDEX(Tabelle132[Raum],MATCH(Tabelle7[[#This Row],[Gesamtcode]],Tabelle132[Gesamtcode],0))</f>
        <v>#N/A</v>
      </c>
      <c r="E163" t="e">
        <f>INDEX(Tabelle132[Bezeichnung],MATCH(Tabelle7[[#This Row],[Gesamtcode]],Tabelle132[Gesamtcode],0))</f>
        <v>#N/A</v>
      </c>
      <c r="F163" t="e">
        <f>"_"&amp;INDEX(Tabelle132[Geräte/Gewerke],MATCH(Tabelle7[[#This Row],[Gesamtcode]],Tabelle132[Gesamtcode],0))</f>
        <v>#N/A</v>
      </c>
      <c r="G163" t="e">
        <f>INDEX(Tabelle13[Gewerknr.],MATCH(Tabelle7[[#This Row],[Gewerke]],Tabelle13[Hauptgruppe],0))</f>
        <v>#N/A</v>
      </c>
      <c r="H163" t="s">
        <v>255</v>
      </c>
      <c r="I163" t="e">
        <f ca="1">INDEX(Tabelle134[Funktionsbereichsnr.],MATCH(Tabelle7[[#This Row],[Funktionsbereiche]],INDIRECT("Tabelle134["&amp;Tabelle7[[#This Row],[Gewerke]]&amp;"]"),0))</f>
        <v>#N/A</v>
      </c>
      <c r="J163" t="e">
        <f>Tabelle7[[#This Row],[Gesamtcode]]&amp;"_"&amp;Tabelle7[[#This Row],[Zone]]&amp;"_"&amp;Tabelle7[[#This Row],[Raum]]&amp;"_"&amp;Tabelle7[[#This Row],[Bezeichnung]]</f>
        <v>#N/A</v>
      </c>
      <c r="K163">
        <v>15</v>
      </c>
      <c r="L163" t="e">
        <f>Tabelle7[[#This Row],[Hauptgruppe]]&amp;"/-/-"</f>
        <v>#N/A</v>
      </c>
      <c r="M163" t="e">
        <f ca="1">Tabelle7[[#This Row],[Hauptgruppe]]&amp;"/"&amp;Tabelle7[[#This Row],[Mittelgruppe]]&amp;"/-"</f>
        <v>#N/A</v>
      </c>
      <c r="N163" t="e">
        <f ca="1">Tabelle7[[#This Row],[Hauptgruppe]]&amp;"/"&amp;Tabelle7[[#This Row],[Mittelgruppe]]&amp;"/"&amp;Tabelle7[[#This Row],[Untergruppe]]</f>
        <v>#N/A</v>
      </c>
      <c r="O163" t="e">
        <f>INDEX(Tabelle6[Aktor],MATCH(Tabelle7[[#This Row],[Gesamtcode]],Tabelle6[Gesamtcode],0))&amp;" "&amp;INDEX(Tabelle6[Aktorkanal],MATCH(Tabelle7[[#This Row],[Gesamtcode]],Tabelle6[Gesamtcode],0))</f>
        <v>#N/A</v>
      </c>
    </row>
    <row r="164" spans="2:15" x14ac:dyDescent="0.25">
      <c r="B164" t="s">
        <v>289</v>
      </c>
      <c r="C164" t="e">
        <f>INDEX(Tabelle132[Zone],MATCH(Tabelle7[[#This Row],[Gesamtcode]],Tabelle132[Gesamtcode],0))</f>
        <v>#N/A</v>
      </c>
      <c r="D164" t="e">
        <f>INDEX(Tabelle132[Raum],MATCH(Tabelle7[[#This Row],[Gesamtcode]],Tabelle132[Gesamtcode],0))</f>
        <v>#N/A</v>
      </c>
      <c r="E164" t="e">
        <f>INDEX(Tabelle132[Bezeichnung],MATCH(Tabelle7[[#This Row],[Gesamtcode]],Tabelle132[Gesamtcode],0))</f>
        <v>#N/A</v>
      </c>
      <c r="F164" t="e">
        <f>"_"&amp;INDEX(Tabelle132[Geräte/Gewerke],MATCH(Tabelle7[[#This Row],[Gesamtcode]],Tabelle132[Gesamtcode],0))</f>
        <v>#N/A</v>
      </c>
      <c r="G164" t="e">
        <f>INDEX(Tabelle13[Gewerknr.],MATCH(Tabelle7[[#This Row],[Gewerke]],Tabelle13[Hauptgruppe],0))</f>
        <v>#N/A</v>
      </c>
      <c r="H164" t="s">
        <v>255</v>
      </c>
      <c r="I164" t="e">
        <f ca="1">INDEX(Tabelle134[Funktionsbereichsnr.],MATCH(Tabelle7[[#This Row],[Funktionsbereiche]],INDIRECT("Tabelle134["&amp;Tabelle7[[#This Row],[Gewerke]]&amp;"]"),0))</f>
        <v>#N/A</v>
      </c>
      <c r="J164" t="e">
        <f>Tabelle7[[#This Row],[Gesamtcode]]&amp;"_"&amp;Tabelle7[[#This Row],[Zone]]&amp;"_"&amp;Tabelle7[[#This Row],[Raum]]&amp;"_"&amp;Tabelle7[[#This Row],[Bezeichnung]]</f>
        <v>#N/A</v>
      </c>
      <c r="K164">
        <v>16</v>
      </c>
      <c r="L164" t="e">
        <f>Tabelle7[[#This Row],[Hauptgruppe]]&amp;"/-/-"</f>
        <v>#N/A</v>
      </c>
      <c r="M164" t="e">
        <f ca="1">Tabelle7[[#This Row],[Hauptgruppe]]&amp;"/"&amp;Tabelle7[[#This Row],[Mittelgruppe]]&amp;"/-"</f>
        <v>#N/A</v>
      </c>
      <c r="N164" t="e">
        <f ca="1">Tabelle7[[#This Row],[Hauptgruppe]]&amp;"/"&amp;Tabelle7[[#This Row],[Mittelgruppe]]&amp;"/"&amp;Tabelle7[[#This Row],[Untergruppe]]</f>
        <v>#N/A</v>
      </c>
      <c r="O164" t="e">
        <f>INDEX(Tabelle6[Aktor],MATCH(Tabelle7[[#This Row],[Gesamtcode]],Tabelle6[Gesamtcode],0))&amp;" "&amp;INDEX(Tabelle6[Aktorkanal],MATCH(Tabelle7[[#This Row],[Gesamtcode]],Tabelle6[Gesamtcode],0))</f>
        <v>#N/A</v>
      </c>
    </row>
    <row r="165" spans="2:15" x14ac:dyDescent="0.25">
      <c r="B165" t="s">
        <v>290</v>
      </c>
      <c r="C165" t="e">
        <f>INDEX(Tabelle132[Zone],MATCH(Tabelle7[[#This Row],[Gesamtcode]],Tabelle132[Gesamtcode],0))</f>
        <v>#N/A</v>
      </c>
      <c r="D165" t="e">
        <f>INDEX(Tabelle132[Raum],MATCH(Tabelle7[[#This Row],[Gesamtcode]],Tabelle132[Gesamtcode],0))</f>
        <v>#N/A</v>
      </c>
      <c r="E165" t="e">
        <f>INDEX(Tabelle132[Bezeichnung],MATCH(Tabelle7[[#This Row],[Gesamtcode]],Tabelle132[Gesamtcode],0))</f>
        <v>#N/A</v>
      </c>
      <c r="F165" t="e">
        <f>"_"&amp;INDEX(Tabelle132[Geräte/Gewerke],MATCH(Tabelle7[[#This Row],[Gesamtcode]],Tabelle132[Gesamtcode],0))</f>
        <v>#N/A</v>
      </c>
      <c r="G165" t="e">
        <f>INDEX(Tabelle13[Gewerknr.],MATCH(Tabelle7[[#This Row],[Gewerke]],Tabelle13[Hauptgruppe],0))</f>
        <v>#N/A</v>
      </c>
      <c r="H165" t="s">
        <v>255</v>
      </c>
      <c r="I165" t="e">
        <f ca="1">INDEX(Tabelle134[Funktionsbereichsnr.],MATCH(Tabelle7[[#This Row],[Funktionsbereiche]],INDIRECT("Tabelle134["&amp;Tabelle7[[#This Row],[Gewerke]]&amp;"]"),0))</f>
        <v>#N/A</v>
      </c>
      <c r="J165" t="e">
        <f>Tabelle7[[#This Row],[Gesamtcode]]&amp;"_"&amp;Tabelle7[[#This Row],[Zone]]&amp;"_"&amp;Tabelle7[[#This Row],[Raum]]&amp;"_"&amp;Tabelle7[[#This Row],[Bezeichnung]]</f>
        <v>#N/A</v>
      </c>
      <c r="K165">
        <v>17</v>
      </c>
      <c r="L165" t="e">
        <f>Tabelle7[[#This Row],[Hauptgruppe]]&amp;"/-/-"</f>
        <v>#N/A</v>
      </c>
      <c r="M165" t="e">
        <f ca="1">Tabelle7[[#This Row],[Hauptgruppe]]&amp;"/"&amp;Tabelle7[[#This Row],[Mittelgruppe]]&amp;"/-"</f>
        <v>#N/A</v>
      </c>
      <c r="N165" t="e">
        <f ca="1">Tabelle7[[#This Row],[Hauptgruppe]]&amp;"/"&amp;Tabelle7[[#This Row],[Mittelgruppe]]&amp;"/"&amp;Tabelle7[[#This Row],[Untergruppe]]</f>
        <v>#N/A</v>
      </c>
      <c r="O165" t="e">
        <f>INDEX(Tabelle6[Aktor],MATCH(Tabelle7[[#This Row],[Gesamtcode]],Tabelle6[Gesamtcode],0))&amp;" "&amp;INDEX(Tabelle6[Aktorkanal],MATCH(Tabelle7[[#This Row],[Gesamtcode]],Tabelle6[Gesamtcode],0))</f>
        <v>#N/A</v>
      </c>
    </row>
    <row r="166" spans="2:15" x14ac:dyDescent="0.25">
      <c r="B166" t="s">
        <v>291</v>
      </c>
      <c r="C166" t="e">
        <f>INDEX(Tabelle132[Zone],MATCH(Tabelle7[[#This Row],[Gesamtcode]],Tabelle132[Gesamtcode],0))</f>
        <v>#N/A</v>
      </c>
      <c r="D166" t="e">
        <f>INDEX(Tabelle132[Raum],MATCH(Tabelle7[[#This Row],[Gesamtcode]],Tabelle132[Gesamtcode],0))</f>
        <v>#N/A</v>
      </c>
      <c r="E166" t="e">
        <f>INDEX(Tabelle132[Bezeichnung],MATCH(Tabelle7[[#This Row],[Gesamtcode]],Tabelle132[Gesamtcode],0))</f>
        <v>#N/A</v>
      </c>
      <c r="F166" t="e">
        <f>"_"&amp;INDEX(Tabelle132[Geräte/Gewerke],MATCH(Tabelle7[[#This Row],[Gesamtcode]],Tabelle132[Gesamtcode],0))</f>
        <v>#N/A</v>
      </c>
      <c r="G166" t="e">
        <f>INDEX(Tabelle13[Gewerknr.],MATCH(Tabelle7[[#This Row],[Gewerke]],Tabelle13[Hauptgruppe],0))</f>
        <v>#N/A</v>
      </c>
      <c r="H166" t="s">
        <v>255</v>
      </c>
      <c r="I166" t="e">
        <f ca="1">INDEX(Tabelle134[Funktionsbereichsnr.],MATCH(Tabelle7[[#This Row],[Funktionsbereiche]],INDIRECT("Tabelle134["&amp;Tabelle7[[#This Row],[Gewerke]]&amp;"]"),0))</f>
        <v>#N/A</v>
      </c>
      <c r="J166" t="e">
        <f>Tabelle7[[#This Row],[Gesamtcode]]&amp;"_"&amp;Tabelle7[[#This Row],[Zone]]&amp;"_"&amp;Tabelle7[[#This Row],[Raum]]&amp;"_"&amp;Tabelle7[[#This Row],[Bezeichnung]]</f>
        <v>#N/A</v>
      </c>
      <c r="K166">
        <v>18</v>
      </c>
      <c r="L166" t="e">
        <f>Tabelle7[[#This Row],[Hauptgruppe]]&amp;"/-/-"</f>
        <v>#N/A</v>
      </c>
      <c r="M166" t="e">
        <f ca="1">Tabelle7[[#This Row],[Hauptgruppe]]&amp;"/"&amp;Tabelle7[[#This Row],[Mittelgruppe]]&amp;"/-"</f>
        <v>#N/A</v>
      </c>
      <c r="N166" t="e">
        <f ca="1">Tabelle7[[#This Row],[Hauptgruppe]]&amp;"/"&amp;Tabelle7[[#This Row],[Mittelgruppe]]&amp;"/"&amp;Tabelle7[[#This Row],[Untergruppe]]</f>
        <v>#N/A</v>
      </c>
      <c r="O166" t="e">
        <f>INDEX(Tabelle6[Aktor],MATCH(Tabelle7[[#This Row],[Gesamtcode]],Tabelle6[Gesamtcode],0))&amp;" "&amp;INDEX(Tabelle6[Aktorkanal],MATCH(Tabelle7[[#This Row],[Gesamtcode]],Tabelle6[Gesamtcode],0))</f>
        <v>#N/A</v>
      </c>
    </row>
    <row r="167" spans="2:15" x14ac:dyDescent="0.25">
      <c r="B167" t="s">
        <v>292</v>
      </c>
      <c r="C167" t="e">
        <f>INDEX(Tabelle132[Zone],MATCH(Tabelle7[[#This Row],[Gesamtcode]],Tabelle132[Gesamtcode],0))</f>
        <v>#N/A</v>
      </c>
      <c r="D167" t="e">
        <f>INDEX(Tabelle132[Raum],MATCH(Tabelle7[[#This Row],[Gesamtcode]],Tabelle132[Gesamtcode],0))</f>
        <v>#N/A</v>
      </c>
      <c r="E167" t="e">
        <f>INDEX(Tabelle132[Bezeichnung],MATCH(Tabelle7[[#This Row],[Gesamtcode]],Tabelle132[Gesamtcode],0))</f>
        <v>#N/A</v>
      </c>
      <c r="F167" t="e">
        <f>"_"&amp;INDEX(Tabelle132[Geräte/Gewerke],MATCH(Tabelle7[[#This Row],[Gesamtcode]],Tabelle132[Gesamtcode],0))</f>
        <v>#N/A</v>
      </c>
      <c r="G167" t="e">
        <f>INDEX(Tabelle13[Gewerknr.],MATCH(Tabelle7[[#This Row],[Gewerke]],Tabelle13[Hauptgruppe],0))</f>
        <v>#N/A</v>
      </c>
      <c r="H167" t="s">
        <v>255</v>
      </c>
      <c r="I167" t="e">
        <f ca="1">INDEX(Tabelle134[Funktionsbereichsnr.],MATCH(Tabelle7[[#This Row],[Funktionsbereiche]],INDIRECT("Tabelle134["&amp;Tabelle7[[#This Row],[Gewerke]]&amp;"]"),0))</f>
        <v>#N/A</v>
      </c>
      <c r="J167" t="e">
        <f>Tabelle7[[#This Row],[Gesamtcode]]&amp;"_"&amp;Tabelle7[[#This Row],[Zone]]&amp;"_"&amp;Tabelle7[[#This Row],[Raum]]&amp;"_"&amp;Tabelle7[[#This Row],[Bezeichnung]]</f>
        <v>#N/A</v>
      </c>
      <c r="K167">
        <v>19</v>
      </c>
      <c r="L167" t="e">
        <f>Tabelle7[[#This Row],[Hauptgruppe]]&amp;"/-/-"</f>
        <v>#N/A</v>
      </c>
      <c r="M167" t="e">
        <f ca="1">Tabelle7[[#This Row],[Hauptgruppe]]&amp;"/"&amp;Tabelle7[[#This Row],[Mittelgruppe]]&amp;"/-"</f>
        <v>#N/A</v>
      </c>
      <c r="N167" t="e">
        <f ca="1">Tabelle7[[#This Row],[Hauptgruppe]]&amp;"/"&amp;Tabelle7[[#This Row],[Mittelgruppe]]&amp;"/"&amp;Tabelle7[[#This Row],[Untergruppe]]</f>
        <v>#N/A</v>
      </c>
      <c r="O167" t="e">
        <f>INDEX(Tabelle6[Aktor],MATCH(Tabelle7[[#This Row],[Gesamtcode]],Tabelle6[Gesamtcode],0))&amp;" "&amp;INDEX(Tabelle6[Aktorkanal],MATCH(Tabelle7[[#This Row],[Gesamtcode]],Tabelle6[Gesamtcode],0))</f>
        <v>#N/A</v>
      </c>
    </row>
    <row r="168" spans="2:15" x14ac:dyDescent="0.25">
      <c r="B168" t="s">
        <v>293</v>
      </c>
      <c r="C168" t="e">
        <f>INDEX(Tabelle132[Zone],MATCH(Tabelle7[[#This Row],[Gesamtcode]],Tabelle132[Gesamtcode],0))</f>
        <v>#N/A</v>
      </c>
      <c r="D168" t="e">
        <f>INDEX(Tabelle132[Raum],MATCH(Tabelle7[[#This Row],[Gesamtcode]],Tabelle132[Gesamtcode],0))</f>
        <v>#N/A</v>
      </c>
      <c r="E168" t="e">
        <f>INDEX(Tabelle132[Bezeichnung],MATCH(Tabelle7[[#This Row],[Gesamtcode]],Tabelle132[Gesamtcode],0))</f>
        <v>#N/A</v>
      </c>
      <c r="F168" t="e">
        <f>"_"&amp;INDEX(Tabelle132[Geräte/Gewerke],MATCH(Tabelle7[[#This Row],[Gesamtcode]],Tabelle132[Gesamtcode],0))</f>
        <v>#N/A</v>
      </c>
      <c r="G168" t="e">
        <f>INDEX(Tabelle13[Gewerknr.],MATCH(Tabelle7[[#This Row],[Gewerke]],Tabelle13[Hauptgruppe],0))</f>
        <v>#N/A</v>
      </c>
      <c r="H168" t="s">
        <v>255</v>
      </c>
      <c r="I168" t="e">
        <f ca="1">INDEX(Tabelle134[Funktionsbereichsnr.],MATCH(Tabelle7[[#This Row],[Funktionsbereiche]],INDIRECT("Tabelle134["&amp;Tabelle7[[#This Row],[Gewerke]]&amp;"]"),0))</f>
        <v>#N/A</v>
      </c>
      <c r="J168" t="e">
        <f>Tabelle7[[#This Row],[Gesamtcode]]&amp;"_"&amp;Tabelle7[[#This Row],[Zone]]&amp;"_"&amp;Tabelle7[[#This Row],[Raum]]&amp;"_"&amp;Tabelle7[[#This Row],[Bezeichnung]]</f>
        <v>#N/A</v>
      </c>
      <c r="K168">
        <v>2</v>
      </c>
      <c r="L168" t="e">
        <f>Tabelle7[[#This Row],[Hauptgruppe]]&amp;"/-/-"</f>
        <v>#N/A</v>
      </c>
      <c r="M168" t="e">
        <f ca="1">Tabelle7[[#This Row],[Hauptgruppe]]&amp;"/"&amp;Tabelle7[[#This Row],[Mittelgruppe]]&amp;"/-"</f>
        <v>#N/A</v>
      </c>
      <c r="N168" t="e">
        <f ca="1">Tabelle7[[#This Row],[Hauptgruppe]]&amp;"/"&amp;Tabelle7[[#This Row],[Mittelgruppe]]&amp;"/"&amp;Tabelle7[[#This Row],[Untergruppe]]</f>
        <v>#N/A</v>
      </c>
      <c r="O168" t="e">
        <f>INDEX(Tabelle6[Aktor],MATCH(Tabelle7[[#This Row],[Gesamtcode]],Tabelle6[Gesamtcode],0))&amp;" "&amp;INDEX(Tabelle6[Aktorkanal],MATCH(Tabelle7[[#This Row],[Gesamtcode]],Tabelle6[Gesamtcode],0))</f>
        <v>#N/A</v>
      </c>
    </row>
    <row r="169" spans="2:15" x14ac:dyDescent="0.25">
      <c r="B169" t="s">
        <v>294</v>
      </c>
      <c r="C169" t="e">
        <f>INDEX(Tabelle132[Zone],MATCH(Tabelle7[[#This Row],[Gesamtcode]],Tabelle132[Gesamtcode],0))</f>
        <v>#N/A</v>
      </c>
      <c r="D169" t="e">
        <f>INDEX(Tabelle132[Raum],MATCH(Tabelle7[[#This Row],[Gesamtcode]],Tabelle132[Gesamtcode],0))</f>
        <v>#N/A</v>
      </c>
      <c r="E169" t="e">
        <f>INDEX(Tabelle132[Bezeichnung],MATCH(Tabelle7[[#This Row],[Gesamtcode]],Tabelle132[Gesamtcode],0))</f>
        <v>#N/A</v>
      </c>
      <c r="F169" t="e">
        <f>"_"&amp;INDEX(Tabelle132[Geräte/Gewerke],MATCH(Tabelle7[[#This Row],[Gesamtcode]],Tabelle132[Gesamtcode],0))</f>
        <v>#N/A</v>
      </c>
      <c r="G169" t="e">
        <f>INDEX(Tabelle13[Gewerknr.],MATCH(Tabelle7[[#This Row],[Gewerke]],Tabelle13[Hauptgruppe],0))</f>
        <v>#N/A</v>
      </c>
      <c r="H169" t="s">
        <v>255</v>
      </c>
      <c r="I169" t="e">
        <f ca="1">INDEX(Tabelle134[Funktionsbereichsnr.],MATCH(Tabelle7[[#This Row],[Funktionsbereiche]],INDIRECT("Tabelle134["&amp;Tabelle7[[#This Row],[Gewerke]]&amp;"]"),0))</f>
        <v>#N/A</v>
      </c>
      <c r="J169" t="e">
        <f>Tabelle7[[#This Row],[Gesamtcode]]&amp;"_"&amp;Tabelle7[[#This Row],[Zone]]&amp;"_"&amp;Tabelle7[[#This Row],[Raum]]&amp;"_"&amp;Tabelle7[[#This Row],[Bezeichnung]]</f>
        <v>#N/A</v>
      </c>
      <c r="K169">
        <v>20</v>
      </c>
      <c r="L169" t="e">
        <f>Tabelle7[[#This Row],[Hauptgruppe]]&amp;"/-/-"</f>
        <v>#N/A</v>
      </c>
      <c r="M169" t="e">
        <f ca="1">Tabelle7[[#This Row],[Hauptgruppe]]&amp;"/"&amp;Tabelle7[[#This Row],[Mittelgruppe]]&amp;"/-"</f>
        <v>#N/A</v>
      </c>
      <c r="N169" t="e">
        <f ca="1">Tabelle7[[#This Row],[Hauptgruppe]]&amp;"/"&amp;Tabelle7[[#This Row],[Mittelgruppe]]&amp;"/"&amp;Tabelle7[[#This Row],[Untergruppe]]</f>
        <v>#N/A</v>
      </c>
      <c r="O169" t="e">
        <f>INDEX(Tabelle6[Aktor],MATCH(Tabelle7[[#This Row],[Gesamtcode]],Tabelle6[Gesamtcode],0))&amp;" "&amp;INDEX(Tabelle6[Aktorkanal],MATCH(Tabelle7[[#This Row],[Gesamtcode]],Tabelle6[Gesamtcode],0))</f>
        <v>#N/A</v>
      </c>
    </row>
    <row r="170" spans="2:15" x14ac:dyDescent="0.25">
      <c r="B170" t="s">
        <v>295</v>
      </c>
      <c r="C170" t="e">
        <f>INDEX(Tabelle132[Zone],MATCH(Tabelle7[[#This Row],[Gesamtcode]],Tabelle132[Gesamtcode],0))</f>
        <v>#N/A</v>
      </c>
      <c r="D170" t="e">
        <f>INDEX(Tabelle132[Raum],MATCH(Tabelle7[[#This Row],[Gesamtcode]],Tabelle132[Gesamtcode],0))</f>
        <v>#N/A</v>
      </c>
      <c r="E170" t="e">
        <f>INDEX(Tabelle132[Bezeichnung],MATCH(Tabelle7[[#This Row],[Gesamtcode]],Tabelle132[Gesamtcode],0))</f>
        <v>#N/A</v>
      </c>
      <c r="F170" t="e">
        <f>"_"&amp;INDEX(Tabelle132[Geräte/Gewerke],MATCH(Tabelle7[[#This Row],[Gesamtcode]],Tabelle132[Gesamtcode],0))</f>
        <v>#N/A</v>
      </c>
      <c r="G170" t="e">
        <f>INDEX(Tabelle13[Gewerknr.],MATCH(Tabelle7[[#This Row],[Gewerke]],Tabelle13[Hauptgruppe],0))</f>
        <v>#N/A</v>
      </c>
      <c r="H170" t="s">
        <v>255</v>
      </c>
      <c r="I170" t="e">
        <f ca="1">INDEX(Tabelle134[Funktionsbereichsnr.],MATCH(Tabelle7[[#This Row],[Funktionsbereiche]],INDIRECT("Tabelle134["&amp;Tabelle7[[#This Row],[Gewerke]]&amp;"]"),0))</f>
        <v>#N/A</v>
      </c>
      <c r="J170" t="e">
        <f>Tabelle7[[#This Row],[Gesamtcode]]&amp;"_"&amp;Tabelle7[[#This Row],[Zone]]&amp;"_"&amp;Tabelle7[[#This Row],[Raum]]&amp;"_"&amp;Tabelle7[[#This Row],[Bezeichnung]]</f>
        <v>#N/A</v>
      </c>
      <c r="K170">
        <v>21</v>
      </c>
      <c r="L170" t="e">
        <f>Tabelle7[[#This Row],[Hauptgruppe]]&amp;"/-/-"</f>
        <v>#N/A</v>
      </c>
      <c r="M170" t="e">
        <f ca="1">Tabelle7[[#This Row],[Hauptgruppe]]&amp;"/"&amp;Tabelle7[[#This Row],[Mittelgruppe]]&amp;"/-"</f>
        <v>#N/A</v>
      </c>
      <c r="N170" t="e">
        <f ca="1">Tabelle7[[#This Row],[Hauptgruppe]]&amp;"/"&amp;Tabelle7[[#This Row],[Mittelgruppe]]&amp;"/"&amp;Tabelle7[[#This Row],[Untergruppe]]</f>
        <v>#N/A</v>
      </c>
      <c r="O170" t="e">
        <f>INDEX(Tabelle6[Aktor],MATCH(Tabelle7[[#This Row],[Gesamtcode]],Tabelle6[Gesamtcode],0))&amp;" "&amp;INDEX(Tabelle6[Aktorkanal],MATCH(Tabelle7[[#This Row],[Gesamtcode]],Tabelle6[Gesamtcode],0))</f>
        <v>#N/A</v>
      </c>
    </row>
    <row r="171" spans="2:15" x14ac:dyDescent="0.25">
      <c r="B171" t="s">
        <v>296</v>
      </c>
      <c r="C171" t="e">
        <f>INDEX(Tabelle132[Zone],MATCH(Tabelle7[[#This Row],[Gesamtcode]],Tabelle132[Gesamtcode],0))</f>
        <v>#N/A</v>
      </c>
      <c r="D171" t="e">
        <f>INDEX(Tabelle132[Raum],MATCH(Tabelle7[[#This Row],[Gesamtcode]],Tabelle132[Gesamtcode],0))</f>
        <v>#N/A</v>
      </c>
      <c r="E171" t="e">
        <f>INDEX(Tabelle132[Bezeichnung],MATCH(Tabelle7[[#This Row],[Gesamtcode]],Tabelle132[Gesamtcode],0))</f>
        <v>#N/A</v>
      </c>
      <c r="F171" t="e">
        <f>"_"&amp;INDEX(Tabelle132[Geräte/Gewerke],MATCH(Tabelle7[[#This Row],[Gesamtcode]],Tabelle132[Gesamtcode],0))</f>
        <v>#N/A</v>
      </c>
      <c r="G171" t="e">
        <f>INDEX(Tabelle13[Gewerknr.],MATCH(Tabelle7[[#This Row],[Gewerke]],Tabelle13[Hauptgruppe],0))</f>
        <v>#N/A</v>
      </c>
      <c r="H171" t="s">
        <v>255</v>
      </c>
      <c r="I171" t="e">
        <f ca="1">INDEX(Tabelle134[Funktionsbereichsnr.],MATCH(Tabelle7[[#This Row],[Funktionsbereiche]],INDIRECT("Tabelle134["&amp;Tabelle7[[#This Row],[Gewerke]]&amp;"]"),0))</f>
        <v>#N/A</v>
      </c>
      <c r="J171" t="e">
        <f>Tabelle7[[#This Row],[Gesamtcode]]&amp;"_"&amp;Tabelle7[[#This Row],[Zone]]&amp;"_"&amp;Tabelle7[[#This Row],[Raum]]&amp;"_"&amp;Tabelle7[[#This Row],[Bezeichnung]]</f>
        <v>#N/A</v>
      </c>
      <c r="K171">
        <v>22</v>
      </c>
      <c r="L171" t="e">
        <f>Tabelle7[[#This Row],[Hauptgruppe]]&amp;"/-/-"</f>
        <v>#N/A</v>
      </c>
      <c r="M171" t="e">
        <f ca="1">Tabelle7[[#This Row],[Hauptgruppe]]&amp;"/"&amp;Tabelle7[[#This Row],[Mittelgruppe]]&amp;"/-"</f>
        <v>#N/A</v>
      </c>
      <c r="N171" t="e">
        <f ca="1">Tabelle7[[#This Row],[Hauptgruppe]]&amp;"/"&amp;Tabelle7[[#This Row],[Mittelgruppe]]&amp;"/"&amp;Tabelle7[[#This Row],[Untergruppe]]</f>
        <v>#N/A</v>
      </c>
      <c r="O171" t="e">
        <f>INDEX(Tabelle6[Aktor],MATCH(Tabelle7[[#This Row],[Gesamtcode]],Tabelle6[Gesamtcode],0))&amp;" "&amp;INDEX(Tabelle6[Aktorkanal],MATCH(Tabelle7[[#This Row],[Gesamtcode]],Tabelle6[Gesamtcode],0))</f>
        <v>#N/A</v>
      </c>
    </row>
    <row r="172" spans="2:15" x14ac:dyDescent="0.25">
      <c r="B172" t="s">
        <v>297</v>
      </c>
      <c r="C172" t="e">
        <f>INDEX(Tabelle132[Zone],MATCH(Tabelle7[[#This Row],[Gesamtcode]],Tabelle132[Gesamtcode],0))</f>
        <v>#N/A</v>
      </c>
      <c r="D172" t="e">
        <f>INDEX(Tabelle132[Raum],MATCH(Tabelle7[[#This Row],[Gesamtcode]],Tabelle132[Gesamtcode],0))</f>
        <v>#N/A</v>
      </c>
      <c r="E172" t="e">
        <f>INDEX(Tabelle132[Bezeichnung],MATCH(Tabelle7[[#This Row],[Gesamtcode]],Tabelle132[Gesamtcode],0))</f>
        <v>#N/A</v>
      </c>
      <c r="F172" t="e">
        <f>"_"&amp;INDEX(Tabelle132[Geräte/Gewerke],MATCH(Tabelle7[[#This Row],[Gesamtcode]],Tabelle132[Gesamtcode],0))</f>
        <v>#N/A</v>
      </c>
      <c r="G172" t="e">
        <f>INDEX(Tabelle13[Gewerknr.],MATCH(Tabelle7[[#This Row],[Gewerke]],Tabelle13[Hauptgruppe],0))</f>
        <v>#N/A</v>
      </c>
      <c r="H172" t="s">
        <v>255</v>
      </c>
      <c r="I172" t="e">
        <f ca="1">INDEX(Tabelle134[Funktionsbereichsnr.],MATCH(Tabelle7[[#This Row],[Funktionsbereiche]],INDIRECT("Tabelle134["&amp;Tabelle7[[#This Row],[Gewerke]]&amp;"]"),0))</f>
        <v>#N/A</v>
      </c>
      <c r="J172" t="e">
        <f>Tabelle7[[#This Row],[Gesamtcode]]&amp;"_"&amp;Tabelle7[[#This Row],[Zone]]&amp;"_"&amp;Tabelle7[[#This Row],[Raum]]&amp;"_"&amp;Tabelle7[[#This Row],[Bezeichnung]]</f>
        <v>#N/A</v>
      </c>
      <c r="K172">
        <v>3</v>
      </c>
      <c r="L172" t="e">
        <f>Tabelle7[[#This Row],[Hauptgruppe]]&amp;"/-/-"</f>
        <v>#N/A</v>
      </c>
      <c r="M172" t="e">
        <f ca="1">Tabelle7[[#This Row],[Hauptgruppe]]&amp;"/"&amp;Tabelle7[[#This Row],[Mittelgruppe]]&amp;"/-"</f>
        <v>#N/A</v>
      </c>
      <c r="N172" t="e">
        <f ca="1">Tabelle7[[#This Row],[Hauptgruppe]]&amp;"/"&amp;Tabelle7[[#This Row],[Mittelgruppe]]&amp;"/"&amp;Tabelle7[[#This Row],[Untergruppe]]</f>
        <v>#N/A</v>
      </c>
      <c r="O172" t="e">
        <f>INDEX(Tabelle6[Aktor],MATCH(Tabelle7[[#This Row],[Gesamtcode]],Tabelle6[Gesamtcode],0))&amp;" "&amp;INDEX(Tabelle6[Aktorkanal],MATCH(Tabelle7[[#This Row],[Gesamtcode]],Tabelle6[Gesamtcode],0))</f>
        <v>#N/A</v>
      </c>
    </row>
    <row r="173" spans="2:15" x14ac:dyDescent="0.25">
      <c r="B173" t="s">
        <v>298</v>
      </c>
      <c r="C173" t="e">
        <f>INDEX(Tabelle132[Zone],MATCH(Tabelle7[[#This Row],[Gesamtcode]],Tabelle132[Gesamtcode],0))</f>
        <v>#N/A</v>
      </c>
      <c r="D173" t="e">
        <f>INDEX(Tabelle132[Raum],MATCH(Tabelle7[[#This Row],[Gesamtcode]],Tabelle132[Gesamtcode],0))</f>
        <v>#N/A</v>
      </c>
      <c r="E173" t="e">
        <f>INDEX(Tabelle132[Bezeichnung],MATCH(Tabelle7[[#This Row],[Gesamtcode]],Tabelle132[Gesamtcode],0))</f>
        <v>#N/A</v>
      </c>
      <c r="F173" t="e">
        <f>"_"&amp;INDEX(Tabelle132[Geräte/Gewerke],MATCH(Tabelle7[[#This Row],[Gesamtcode]],Tabelle132[Gesamtcode],0))</f>
        <v>#N/A</v>
      </c>
      <c r="G173" t="e">
        <f>INDEX(Tabelle13[Gewerknr.],MATCH(Tabelle7[[#This Row],[Gewerke]],Tabelle13[Hauptgruppe],0))</f>
        <v>#N/A</v>
      </c>
      <c r="H173" t="s">
        <v>255</v>
      </c>
      <c r="I173" t="e">
        <f ca="1">INDEX(Tabelle134[Funktionsbereichsnr.],MATCH(Tabelle7[[#This Row],[Funktionsbereiche]],INDIRECT("Tabelle134["&amp;Tabelle7[[#This Row],[Gewerke]]&amp;"]"),0))</f>
        <v>#N/A</v>
      </c>
      <c r="J173" t="e">
        <f>Tabelle7[[#This Row],[Gesamtcode]]&amp;"_"&amp;Tabelle7[[#This Row],[Zone]]&amp;"_"&amp;Tabelle7[[#This Row],[Raum]]&amp;"_"&amp;Tabelle7[[#This Row],[Bezeichnung]]</f>
        <v>#N/A</v>
      </c>
      <c r="K173">
        <v>4</v>
      </c>
      <c r="L173" t="e">
        <f>Tabelle7[[#This Row],[Hauptgruppe]]&amp;"/-/-"</f>
        <v>#N/A</v>
      </c>
      <c r="M173" t="e">
        <f ca="1">Tabelle7[[#This Row],[Hauptgruppe]]&amp;"/"&amp;Tabelle7[[#This Row],[Mittelgruppe]]&amp;"/-"</f>
        <v>#N/A</v>
      </c>
      <c r="N173" t="e">
        <f ca="1">Tabelle7[[#This Row],[Hauptgruppe]]&amp;"/"&amp;Tabelle7[[#This Row],[Mittelgruppe]]&amp;"/"&amp;Tabelle7[[#This Row],[Untergruppe]]</f>
        <v>#N/A</v>
      </c>
      <c r="O173" t="e">
        <f>INDEX(Tabelle6[Aktor],MATCH(Tabelle7[[#This Row],[Gesamtcode]],Tabelle6[Gesamtcode],0))&amp;" "&amp;INDEX(Tabelle6[Aktorkanal],MATCH(Tabelle7[[#This Row],[Gesamtcode]],Tabelle6[Gesamtcode],0))</f>
        <v>#N/A</v>
      </c>
    </row>
    <row r="174" spans="2:15" x14ac:dyDescent="0.25">
      <c r="B174" t="s">
        <v>299</v>
      </c>
      <c r="C174" t="e">
        <f>INDEX(Tabelle132[Zone],MATCH(Tabelle7[[#This Row],[Gesamtcode]],Tabelle132[Gesamtcode],0))</f>
        <v>#N/A</v>
      </c>
      <c r="D174" t="e">
        <f>INDEX(Tabelle132[Raum],MATCH(Tabelle7[[#This Row],[Gesamtcode]],Tabelle132[Gesamtcode],0))</f>
        <v>#N/A</v>
      </c>
      <c r="E174" t="e">
        <f>INDEX(Tabelle132[Bezeichnung],MATCH(Tabelle7[[#This Row],[Gesamtcode]],Tabelle132[Gesamtcode],0))</f>
        <v>#N/A</v>
      </c>
      <c r="F174" t="e">
        <f>"_"&amp;INDEX(Tabelle132[Geräte/Gewerke],MATCH(Tabelle7[[#This Row],[Gesamtcode]],Tabelle132[Gesamtcode],0))</f>
        <v>#N/A</v>
      </c>
      <c r="G174" t="e">
        <f>INDEX(Tabelle13[Gewerknr.],MATCH(Tabelle7[[#This Row],[Gewerke]],Tabelle13[Hauptgruppe],0))</f>
        <v>#N/A</v>
      </c>
      <c r="H174" t="s">
        <v>255</v>
      </c>
      <c r="I174" t="e">
        <f ca="1">INDEX(Tabelle134[Funktionsbereichsnr.],MATCH(Tabelle7[[#This Row],[Funktionsbereiche]],INDIRECT("Tabelle134["&amp;Tabelle7[[#This Row],[Gewerke]]&amp;"]"),0))</f>
        <v>#N/A</v>
      </c>
      <c r="J174" t="e">
        <f>Tabelle7[[#This Row],[Gesamtcode]]&amp;"_"&amp;Tabelle7[[#This Row],[Zone]]&amp;"_"&amp;Tabelle7[[#This Row],[Raum]]&amp;"_"&amp;Tabelle7[[#This Row],[Bezeichnung]]</f>
        <v>#N/A</v>
      </c>
      <c r="K174">
        <v>5</v>
      </c>
      <c r="L174" t="e">
        <f>Tabelle7[[#This Row],[Hauptgruppe]]&amp;"/-/-"</f>
        <v>#N/A</v>
      </c>
      <c r="M174" t="e">
        <f ca="1">Tabelle7[[#This Row],[Hauptgruppe]]&amp;"/"&amp;Tabelle7[[#This Row],[Mittelgruppe]]&amp;"/-"</f>
        <v>#N/A</v>
      </c>
      <c r="N174" t="e">
        <f ca="1">Tabelle7[[#This Row],[Hauptgruppe]]&amp;"/"&amp;Tabelle7[[#This Row],[Mittelgruppe]]&amp;"/"&amp;Tabelle7[[#This Row],[Untergruppe]]</f>
        <v>#N/A</v>
      </c>
      <c r="O174" t="e">
        <f>INDEX(Tabelle6[Aktor],MATCH(Tabelle7[[#This Row],[Gesamtcode]],Tabelle6[Gesamtcode],0))&amp;" "&amp;INDEX(Tabelle6[Aktorkanal],MATCH(Tabelle7[[#This Row],[Gesamtcode]],Tabelle6[Gesamtcode],0))</f>
        <v>#N/A</v>
      </c>
    </row>
    <row r="175" spans="2:15" x14ac:dyDescent="0.25">
      <c r="B175" t="s">
        <v>300</v>
      </c>
      <c r="C175" t="e">
        <f>INDEX(Tabelle132[Zone],MATCH(Tabelle7[[#This Row],[Gesamtcode]],Tabelle132[Gesamtcode],0))</f>
        <v>#N/A</v>
      </c>
      <c r="D175" t="e">
        <f>INDEX(Tabelle132[Raum],MATCH(Tabelle7[[#This Row],[Gesamtcode]],Tabelle132[Gesamtcode],0))</f>
        <v>#N/A</v>
      </c>
      <c r="E175" t="e">
        <f>INDEX(Tabelle132[Bezeichnung],MATCH(Tabelle7[[#This Row],[Gesamtcode]],Tabelle132[Gesamtcode],0))</f>
        <v>#N/A</v>
      </c>
      <c r="F175" t="e">
        <f>"_"&amp;INDEX(Tabelle132[Geräte/Gewerke],MATCH(Tabelle7[[#This Row],[Gesamtcode]],Tabelle132[Gesamtcode],0))</f>
        <v>#N/A</v>
      </c>
      <c r="G175" t="e">
        <f>INDEX(Tabelle13[Gewerknr.],MATCH(Tabelle7[[#This Row],[Gewerke]],Tabelle13[Hauptgruppe],0))</f>
        <v>#N/A</v>
      </c>
      <c r="H175" t="s">
        <v>255</v>
      </c>
      <c r="I175" t="e">
        <f ca="1">INDEX(Tabelle134[Funktionsbereichsnr.],MATCH(Tabelle7[[#This Row],[Funktionsbereiche]],INDIRECT("Tabelle134["&amp;Tabelle7[[#This Row],[Gewerke]]&amp;"]"),0))</f>
        <v>#N/A</v>
      </c>
      <c r="J175" t="e">
        <f>Tabelle7[[#This Row],[Gesamtcode]]&amp;"_"&amp;Tabelle7[[#This Row],[Zone]]&amp;"_"&amp;Tabelle7[[#This Row],[Raum]]&amp;"_"&amp;Tabelle7[[#This Row],[Bezeichnung]]</f>
        <v>#N/A</v>
      </c>
      <c r="K175">
        <v>6</v>
      </c>
      <c r="L175" t="e">
        <f>Tabelle7[[#This Row],[Hauptgruppe]]&amp;"/-/-"</f>
        <v>#N/A</v>
      </c>
      <c r="M175" t="e">
        <f ca="1">Tabelle7[[#This Row],[Hauptgruppe]]&amp;"/"&amp;Tabelle7[[#This Row],[Mittelgruppe]]&amp;"/-"</f>
        <v>#N/A</v>
      </c>
      <c r="N175" t="e">
        <f ca="1">Tabelle7[[#This Row],[Hauptgruppe]]&amp;"/"&amp;Tabelle7[[#This Row],[Mittelgruppe]]&amp;"/"&amp;Tabelle7[[#This Row],[Untergruppe]]</f>
        <v>#N/A</v>
      </c>
      <c r="O175" t="e">
        <f>INDEX(Tabelle6[Aktor],MATCH(Tabelle7[[#This Row],[Gesamtcode]],Tabelle6[Gesamtcode],0))&amp;" "&amp;INDEX(Tabelle6[Aktorkanal],MATCH(Tabelle7[[#This Row],[Gesamtcode]],Tabelle6[Gesamtcode],0))</f>
        <v>#N/A</v>
      </c>
    </row>
    <row r="176" spans="2:15" x14ac:dyDescent="0.25">
      <c r="B176" t="s">
        <v>301</v>
      </c>
      <c r="C176" t="e">
        <f>INDEX(Tabelle132[Zone],MATCH(Tabelle7[[#This Row],[Gesamtcode]],Tabelle132[Gesamtcode],0))</f>
        <v>#N/A</v>
      </c>
      <c r="D176" t="e">
        <f>INDEX(Tabelle132[Raum],MATCH(Tabelle7[[#This Row],[Gesamtcode]],Tabelle132[Gesamtcode],0))</f>
        <v>#N/A</v>
      </c>
      <c r="E176" t="e">
        <f>INDEX(Tabelle132[Bezeichnung],MATCH(Tabelle7[[#This Row],[Gesamtcode]],Tabelle132[Gesamtcode],0))</f>
        <v>#N/A</v>
      </c>
      <c r="F176" t="e">
        <f>"_"&amp;INDEX(Tabelle132[Geräte/Gewerke],MATCH(Tabelle7[[#This Row],[Gesamtcode]],Tabelle132[Gesamtcode],0))</f>
        <v>#N/A</v>
      </c>
      <c r="G176" t="e">
        <f>INDEX(Tabelle13[Gewerknr.],MATCH(Tabelle7[[#This Row],[Gewerke]],Tabelle13[Hauptgruppe],0))</f>
        <v>#N/A</v>
      </c>
      <c r="H176" t="s">
        <v>255</v>
      </c>
      <c r="I176" t="e">
        <f ca="1">INDEX(Tabelle134[Funktionsbereichsnr.],MATCH(Tabelle7[[#This Row],[Funktionsbereiche]],INDIRECT("Tabelle134["&amp;Tabelle7[[#This Row],[Gewerke]]&amp;"]"),0))</f>
        <v>#N/A</v>
      </c>
      <c r="J176" t="e">
        <f>Tabelle7[[#This Row],[Gesamtcode]]&amp;"_"&amp;Tabelle7[[#This Row],[Zone]]&amp;"_"&amp;Tabelle7[[#This Row],[Raum]]&amp;"_"&amp;Tabelle7[[#This Row],[Bezeichnung]]</f>
        <v>#N/A</v>
      </c>
      <c r="K176">
        <v>7</v>
      </c>
      <c r="L176" t="e">
        <f>Tabelle7[[#This Row],[Hauptgruppe]]&amp;"/-/-"</f>
        <v>#N/A</v>
      </c>
      <c r="M176" t="e">
        <f ca="1">Tabelle7[[#This Row],[Hauptgruppe]]&amp;"/"&amp;Tabelle7[[#This Row],[Mittelgruppe]]&amp;"/-"</f>
        <v>#N/A</v>
      </c>
      <c r="N176" t="e">
        <f ca="1">Tabelle7[[#This Row],[Hauptgruppe]]&amp;"/"&amp;Tabelle7[[#This Row],[Mittelgruppe]]&amp;"/"&amp;Tabelle7[[#This Row],[Untergruppe]]</f>
        <v>#N/A</v>
      </c>
      <c r="O176" t="e">
        <f>INDEX(Tabelle6[Aktor],MATCH(Tabelle7[[#This Row],[Gesamtcode]],Tabelle6[Gesamtcode],0))&amp;" "&amp;INDEX(Tabelle6[Aktorkanal],MATCH(Tabelle7[[#This Row],[Gesamtcode]],Tabelle6[Gesamtcode],0))</f>
        <v>#N/A</v>
      </c>
    </row>
    <row r="177" spans="2:15" x14ac:dyDescent="0.25">
      <c r="B177" t="s">
        <v>302</v>
      </c>
      <c r="C177" t="e">
        <f>INDEX(Tabelle132[Zone],MATCH(Tabelle7[[#This Row],[Gesamtcode]],Tabelle132[Gesamtcode],0))</f>
        <v>#N/A</v>
      </c>
      <c r="D177" t="e">
        <f>INDEX(Tabelle132[Raum],MATCH(Tabelle7[[#This Row],[Gesamtcode]],Tabelle132[Gesamtcode],0))</f>
        <v>#N/A</v>
      </c>
      <c r="E177" t="e">
        <f>INDEX(Tabelle132[Bezeichnung],MATCH(Tabelle7[[#This Row],[Gesamtcode]],Tabelle132[Gesamtcode],0))</f>
        <v>#N/A</v>
      </c>
      <c r="F177" t="e">
        <f>"_"&amp;INDEX(Tabelle132[Geräte/Gewerke],MATCH(Tabelle7[[#This Row],[Gesamtcode]],Tabelle132[Gesamtcode],0))</f>
        <v>#N/A</v>
      </c>
      <c r="G177" t="e">
        <f>INDEX(Tabelle13[Gewerknr.],MATCH(Tabelle7[[#This Row],[Gewerke]],Tabelle13[Hauptgruppe],0))</f>
        <v>#N/A</v>
      </c>
      <c r="H177" t="s">
        <v>255</v>
      </c>
      <c r="I177" t="e">
        <f ca="1">INDEX(Tabelle134[Funktionsbereichsnr.],MATCH(Tabelle7[[#This Row],[Funktionsbereiche]],INDIRECT("Tabelle134["&amp;Tabelle7[[#This Row],[Gewerke]]&amp;"]"),0))</f>
        <v>#N/A</v>
      </c>
      <c r="J177" t="e">
        <f>Tabelle7[[#This Row],[Gesamtcode]]&amp;"_"&amp;Tabelle7[[#This Row],[Zone]]&amp;"_"&amp;Tabelle7[[#This Row],[Raum]]&amp;"_"&amp;Tabelle7[[#This Row],[Bezeichnung]]</f>
        <v>#N/A</v>
      </c>
      <c r="K177">
        <v>8</v>
      </c>
      <c r="L177" t="e">
        <f>Tabelle7[[#This Row],[Hauptgruppe]]&amp;"/-/-"</f>
        <v>#N/A</v>
      </c>
      <c r="M177" t="e">
        <f ca="1">Tabelle7[[#This Row],[Hauptgruppe]]&amp;"/"&amp;Tabelle7[[#This Row],[Mittelgruppe]]&amp;"/-"</f>
        <v>#N/A</v>
      </c>
      <c r="N177" t="e">
        <f ca="1">Tabelle7[[#This Row],[Hauptgruppe]]&amp;"/"&amp;Tabelle7[[#This Row],[Mittelgruppe]]&amp;"/"&amp;Tabelle7[[#This Row],[Untergruppe]]</f>
        <v>#N/A</v>
      </c>
      <c r="O177" t="e">
        <f>INDEX(Tabelle6[Aktor],MATCH(Tabelle7[[#This Row],[Gesamtcode]],Tabelle6[Gesamtcode],0))&amp;" "&amp;INDEX(Tabelle6[Aktorkanal],MATCH(Tabelle7[[#This Row],[Gesamtcode]],Tabelle6[Gesamtcode],0))</f>
        <v>#N/A</v>
      </c>
    </row>
    <row r="178" spans="2:15" x14ac:dyDescent="0.25">
      <c r="B178" t="s">
        <v>303</v>
      </c>
      <c r="C178" t="e">
        <f>INDEX(Tabelle132[Zone],MATCH(Tabelle7[[#This Row],[Gesamtcode]],Tabelle132[Gesamtcode],0))</f>
        <v>#N/A</v>
      </c>
      <c r="D178" t="e">
        <f>INDEX(Tabelle132[Raum],MATCH(Tabelle7[[#This Row],[Gesamtcode]],Tabelle132[Gesamtcode],0))</f>
        <v>#N/A</v>
      </c>
      <c r="E178" t="e">
        <f>INDEX(Tabelle132[Bezeichnung],MATCH(Tabelle7[[#This Row],[Gesamtcode]],Tabelle132[Gesamtcode],0))</f>
        <v>#N/A</v>
      </c>
      <c r="F178" t="e">
        <f>"_"&amp;INDEX(Tabelle132[Geräte/Gewerke],MATCH(Tabelle7[[#This Row],[Gesamtcode]],Tabelle132[Gesamtcode],0))</f>
        <v>#N/A</v>
      </c>
      <c r="G178" t="e">
        <f>INDEX(Tabelle13[Gewerknr.],MATCH(Tabelle7[[#This Row],[Gewerke]],Tabelle13[Hauptgruppe],0))</f>
        <v>#N/A</v>
      </c>
      <c r="H178" t="s">
        <v>255</v>
      </c>
      <c r="I178" t="e">
        <f ca="1">INDEX(Tabelle134[Funktionsbereichsnr.],MATCH(Tabelle7[[#This Row],[Funktionsbereiche]],INDIRECT("Tabelle134["&amp;Tabelle7[[#This Row],[Gewerke]]&amp;"]"),0))</f>
        <v>#N/A</v>
      </c>
      <c r="J178" t="e">
        <f>Tabelle7[[#This Row],[Gesamtcode]]&amp;"_"&amp;Tabelle7[[#This Row],[Zone]]&amp;"_"&amp;Tabelle7[[#This Row],[Raum]]&amp;"_"&amp;Tabelle7[[#This Row],[Bezeichnung]]</f>
        <v>#N/A</v>
      </c>
      <c r="K178">
        <v>9</v>
      </c>
      <c r="L178" t="e">
        <f>Tabelle7[[#This Row],[Hauptgruppe]]&amp;"/-/-"</f>
        <v>#N/A</v>
      </c>
      <c r="M178" t="e">
        <f ca="1">Tabelle7[[#This Row],[Hauptgruppe]]&amp;"/"&amp;Tabelle7[[#This Row],[Mittelgruppe]]&amp;"/-"</f>
        <v>#N/A</v>
      </c>
      <c r="N178" t="e">
        <f ca="1">Tabelle7[[#This Row],[Hauptgruppe]]&amp;"/"&amp;Tabelle7[[#This Row],[Mittelgruppe]]&amp;"/"&amp;Tabelle7[[#This Row],[Untergruppe]]</f>
        <v>#N/A</v>
      </c>
      <c r="O178" t="e">
        <f>INDEX(Tabelle6[Aktor],MATCH(Tabelle7[[#This Row],[Gesamtcode]],Tabelle6[Gesamtcode],0))&amp;" "&amp;INDEX(Tabelle6[Aktorkanal],MATCH(Tabelle7[[#This Row],[Gesamtcode]],Tabelle6[Gesamtcode],0))</f>
        <v>#N/A</v>
      </c>
    </row>
    <row r="179" spans="2:15" x14ac:dyDescent="0.25">
      <c r="B179" t="s">
        <v>281</v>
      </c>
      <c r="C179" t="e">
        <f>INDEX(Tabelle132[Zone],MATCH(Tabelle7[[#This Row],[Gesamtcode]],Tabelle132[Gesamtcode],0))</f>
        <v>#N/A</v>
      </c>
      <c r="D179" t="e">
        <f>INDEX(Tabelle132[Raum],MATCH(Tabelle7[[#This Row],[Gesamtcode]],Tabelle132[Gesamtcode],0))</f>
        <v>#N/A</v>
      </c>
      <c r="E179" t="e">
        <f>INDEX(Tabelle132[Bezeichnung],MATCH(Tabelle7[[#This Row],[Gesamtcode]],Tabelle132[Gesamtcode],0))</f>
        <v>#N/A</v>
      </c>
      <c r="F179" t="e">
        <f>"_"&amp;INDEX(Tabelle132[Geräte/Gewerke],MATCH(Tabelle7[[#This Row],[Gesamtcode]],Tabelle132[Gesamtcode],0))</f>
        <v>#N/A</v>
      </c>
      <c r="G179" t="e">
        <f>INDEX(Tabelle13[Gewerknr.],MATCH(Tabelle7[[#This Row],[Gewerke]],Tabelle13[Hauptgruppe],0))</f>
        <v>#N/A</v>
      </c>
      <c r="H179" t="s">
        <v>286</v>
      </c>
      <c r="I179" t="e">
        <f ca="1">INDEX(Tabelle134[Funktionsbereichsnr.],MATCH(Tabelle7[[#This Row],[Funktionsbereiche]],INDIRECT("Tabelle134["&amp;Tabelle7[[#This Row],[Gewerke]]&amp;"]"),0))</f>
        <v>#N/A</v>
      </c>
      <c r="J179" t="e">
        <f>Tabelle7[[#This Row],[Gesamtcode]]&amp;"_"&amp;Tabelle7[[#This Row],[Zone]]&amp;"_"&amp;Tabelle7[[#This Row],[Raum]]&amp;"_"&amp;Tabelle7[[#This Row],[Bezeichnung]]</f>
        <v>#N/A</v>
      </c>
      <c r="K179">
        <v>0</v>
      </c>
      <c r="L179" t="e">
        <f>Tabelle7[[#This Row],[Hauptgruppe]]&amp;"/-/-"</f>
        <v>#N/A</v>
      </c>
      <c r="M179" t="e">
        <f ca="1">Tabelle7[[#This Row],[Hauptgruppe]]&amp;"/"&amp;Tabelle7[[#This Row],[Mittelgruppe]]&amp;"/-"</f>
        <v>#N/A</v>
      </c>
      <c r="N179" t="e">
        <f ca="1">Tabelle7[[#This Row],[Hauptgruppe]]&amp;"/"&amp;Tabelle7[[#This Row],[Mittelgruppe]]&amp;"/"&amp;Tabelle7[[#This Row],[Untergruppe]]</f>
        <v>#N/A</v>
      </c>
      <c r="O179" t="e">
        <f>INDEX(Tabelle6[Aktor],MATCH(Tabelle7[[#This Row],[Gesamtcode]],Tabelle6[Gesamtcode],0))&amp;" "&amp;INDEX(Tabelle6[Aktorkanal],MATCH(Tabelle7[[#This Row],[Gesamtcode]],Tabelle6[Gesamtcode],0))</f>
        <v>#N/A</v>
      </c>
    </row>
    <row r="180" spans="2:15" x14ac:dyDescent="0.25">
      <c r="B180" t="s">
        <v>282</v>
      </c>
      <c r="C180" t="e">
        <f>INDEX(Tabelle132[Zone],MATCH(Tabelle7[[#This Row],[Gesamtcode]],Tabelle132[Gesamtcode],0))</f>
        <v>#N/A</v>
      </c>
      <c r="D180" t="e">
        <f>INDEX(Tabelle132[Raum],MATCH(Tabelle7[[#This Row],[Gesamtcode]],Tabelle132[Gesamtcode],0))</f>
        <v>#N/A</v>
      </c>
      <c r="E180" t="e">
        <f>INDEX(Tabelle132[Bezeichnung],MATCH(Tabelle7[[#This Row],[Gesamtcode]],Tabelle132[Gesamtcode],0))</f>
        <v>#N/A</v>
      </c>
      <c r="F180" t="e">
        <f>"_"&amp;INDEX(Tabelle132[Geräte/Gewerke],MATCH(Tabelle7[[#This Row],[Gesamtcode]],Tabelle132[Gesamtcode],0))</f>
        <v>#N/A</v>
      </c>
      <c r="G180" t="e">
        <f>INDEX(Tabelle13[Gewerknr.],MATCH(Tabelle7[[#This Row],[Gewerke]],Tabelle13[Hauptgruppe],0))</f>
        <v>#N/A</v>
      </c>
      <c r="H180" t="s">
        <v>286</v>
      </c>
      <c r="I180" t="e">
        <f ca="1">INDEX(Tabelle134[Funktionsbereichsnr.],MATCH(Tabelle7[[#This Row],[Funktionsbereiche]],INDIRECT("Tabelle134["&amp;Tabelle7[[#This Row],[Gewerke]]&amp;"]"),0))</f>
        <v>#N/A</v>
      </c>
      <c r="J180" t="e">
        <f>Tabelle7[[#This Row],[Gesamtcode]]&amp;"_"&amp;Tabelle7[[#This Row],[Zone]]&amp;"_"&amp;Tabelle7[[#This Row],[Raum]]&amp;"_"&amp;Tabelle7[[#This Row],[Bezeichnung]]</f>
        <v>#N/A</v>
      </c>
      <c r="K180">
        <v>1</v>
      </c>
      <c r="L180" t="e">
        <f>Tabelle7[[#This Row],[Hauptgruppe]]&amp;"/-/-"</f>
        <v>#N/A</v>
      </c>
      <c r="M180" t="e">
        <f ca="1">Tabelle7[[#This Row],[Hauptgruppe]]&amp;"/"&amp;Tabelle7[[#This Row],[Mittelgruppe]]&amp;"/-"</f>
        <v>#N/A</v>
      </c>
      <c r="N180" t="e">
        <f ca="1">Tabelle7[[#This Row],[Hauptgruppe]]&amp;"/"&amp;Tabelle7[[#This Row],[Mittelgruppe]]&amp;"/"&amp;Tabelle7[[#This Row],[Untergruppe]]</f>
        <v>#N/A</v>
      </c>
      <c r="O180" t="e">
        <f>INDEX(Tabelle6[Aktor],MATCH(Tabelle7[[#This Row],[Gesamtcode]],Tabelle6[Gesamtcode],0))&amp;" "&amp;INDEX(Tabelle6[Aktorkanal],MATCH(Tabelle7[[#This Row],[Gesamtcode]],Tabelle6[Gesamtcode],0))</f>
        <v>#N/A</v>
      </c>
    </row>
    <row r="181" spans="2:15" x14ac:dyDescent="0.25">
      <c r="B181" t="s">
        <v>283</v>
      </c>
      <c r="C181" t="e">
        <f>INDEX(Tabelle132[Zone],MATCH(Tabelle7[[#This Row],[Gesamtcode]],Tabelle132[Gesamtcode],0))</f>
        <v>#N/A</v>
      </c>
      <c r="D181" t="e">
        <f>INDEX(Tabelle132[Raum],MATCH(Tabelle7[[#This Row],[Gesamtcode]],Tabelle132[Gesamtcode],0))</f>
        <v>#N/A</v>
      </c>
      <c r="E181" t="e">
        <f>INDEX(Tabelle132[Bezeichnung],MATCH(Tabelle7[[#This Row],[Gesamtcode]],Tabelle132[Gesamtcode],0))</f>
        <v>#N/A</v>
      </c>
      <c r="F181" t="e">
        <f>"_"&amp;INDEX(Tabelle132[Geräte/Gewerke],MATCH(Tabelle7[[#This Row],[Gesamtcode]],Tabelle132[Gesamtcode],0))</f>
        <v>#N/A</v>
      </c>
      <c r="G181" t="e">
        <f>INDEX(Tabelle13[Gewerknr.],MATCH(Tabelle7[[#This Row],[Gewerke]],Tabelle13[Hauptgruppe],0))</f>
        <v>#N/A</v>
      </c>
      <c r="H181" t="s">
        <v>286</v>
      </c>
      <c r="I181" t="e">
        <f ca="1">INDEX(Tabelle134[Funktionsbereichsnr.],MATCH(Tabelle7[[#This Row],[Funktionsbereiche]],INDIRECT("Tabelle134["&amp;Tabelle7[[#This Row],[Gewerke]]&amp;"]"),0))</f>
        <v>#N/A</v>
      </c>
      <c r="J181" t="e">
        <f>Tabelle7[[#This Row],[Gesamtcode]]&amp;"_"&amp;Tabelle7[[#This Row],[Zone]]&amp;"_"&amp;Tabelle7[[#This Row],[Raum]]&amp;"_"&amp;Tabelle7[[#This Row],[Bezeichnung]]</f>
        <v>#N/A</v>
      </c>
      <c r="K181">
        <v>10</v>
      </c>
      <c r="L181" t="e">
        <f>Tabelle7[[#This Row],[Hauptgruppe]]&amp;"/-/-"</f>
        <v>#N/A</v>
      </c>
      <c r="M181" t="e">
        <f ca="1">Tabelle7[[#This Row],[Hauptgruppe]]&amp;"/"&amp;Tabelle7[[#This Row],[Mittelgruppe]]&amp;"/-"</f>
        <v>#N/A</v>
      </c>
      <c r="N181" t="e">
        <f ca="1">Tabelle7[[#This Row],[Hauptgruppe]]&amp;"/"&amp;Tabelle7[[#This Row],[Mittelgruppe]]&amp;"/"&amp;Tabelle7[[#This Row],[Untergruppe]]</f>
        <v>#N/A</v>
      </c>
      <c r="O181" t="e">
        <f>INDEX(Tabelle6[Aktor],MATCH(Tabelle7[[#This Row],[Gesamtcode]],Tabelle6[Gesamtcode],0))&amp;" "&amp;INDEX(Tabelle6[Aktorkanal],MATCH(Tabelle7[[#This Row],[Gesamtcode]],Tabelle6[Gesamtcode],0))</f>
        <v>#N/A</v>
      </c>
    </row>
    <row r="182" spans="2:15" x14ac:dyDescent="0.25">
      <c r="B182" t="s">
        <v>284</v>
      </c>
      <c r="C182" t="e">
        <f>INDEX(Tabelle132[Zone],MATCH(Tabelle7[[#This Row],[Gesamtcode]],Tabelle132[Gesamtcode],0))</f>
        <v>#N/A</v>
      </c>
      <c r="D182" t="e">
        <f>INDEX(Tabelle132[Raum],MATCH(Tabelle7[[#This Row],[Gesamtcode]],Tabelle132[Gesamtcode],0))</f>
        <v>#N/A</v>
      </c>
      <c r="E182" t="e">
        <f>INDEX(Tabelle132[Bezeichnung],MATCH(Tabelle7[[#This Row],[Gesamtcode]],Tabelle132[Gesamtcode],0))</f>
        <v>#N/A</v>
      </c>
      <c r="F182" t="e">
        <f>"_"&amp;INDEX(Tabelle132[Geräte/Gewerke],MATCH(Tabelle7[[#This Row],[Gesamtcode]],Tabelle132[Gesamtcode],0))</f>
        <v>#N/A</v>
      </c>
      <c r="G182" t="e">
        <f>INDEX(Tabelle13[Gewerknr.],MATCH(Tabelle7[[#This Row],[Gewerke]],Tabelle13[Hauptgruppe],0))</f>
        <v>#N/A</v>
      </c>
      <c r="H182" t="s">
        <v>286</v>
      </c>
      <c r="I182" t="e">
        <f ca="1">INDEX(Tabelle134[Funktionsbereichsnr.],MATCH(Tabelle7[[#This Row],[Funktionsbereiche]],INDIRECT("Tabelle134["&amp;Tabelle7[[#This Row],[Gewerke]]&amp;"]"),0))</f>
        <v>#N/A</v>
      </c>
      <c r="J182" t="e">
        <f>Tabelle7[[#This Row],[Gesamtcode]]&amp;"_"&amp;Tabelle7[[#This Row],[Zone]]&amp;"_"&amp;Tabelle7[[#This Row],[Raum]]&amp;"_"&amp;Tabelle7[[#This Row],[Bezeichnung]]</f>
        <v>#N/A</v>
      </c>
      <c r="K182">
        <v>11</v>
      </c>
      <c r="L182" t="e">
        <f>Tabelle7[[#This Row],[Hauptgruppe]]&amp;"/-/-"</f>
        <v>#N/A</v>
      </c>
      <c r="M182" t="e">
        <f ca="1">Tabelle7[[#This Row],[Hauptgruppe]]&amp;"/"&amp;Tabelle7[[#This Row],[Mittelgruppe]]&amp;"/-"</f>
        <v>#N/A</v>
      </c>
      <c r="N182" t="e">
        <f ca="1">Tabelle7[[#This Row],[Hauptgruppe]]&amp;"/"&amp;Tabelle7[[#This Row],[Mittelgruppe]]&amp;"/"&amp;Tabelle7[[#This Row],[Untergruppe]]</f>
        <v>#N/A</v>
      </c>
      <c r="O182" t="e">
        <f>INDEX(Tabelle6[Aktor],MATCH(Tabelle7[[#This Row],[Gesamtcode]],Tabelle6[Gesamtcode],0))&amp;" "&amp;INDEX(Tabelle6[Aktorkanal],MATCH(Tabelle7[[#This Row],[Gesamtcode]],Tabelle6[Gesamtcode],0))</f>
        <v>#N/A</v>
      </c>
    </row>
    <row r="183" spans="2:15" x14ac:dyDescent="0.25">
      <c r="B183" t="s">
        <v>285</v>
      </c>
      <c r="C183" t="e">
        <f>INDEX(Tabelle132[Zone],MATCH(Tabelle7[[#This Row],[Gesamtcode]],Tabelle132[Gesamtcode],0))</f>
        <v>#N/A</v>
      </c>
      <c r="D183" t="e">
        <f>INDEX(Tabelle132[Raum],MATCH(Tabelle7[[#This Row],[Gesamtcode]],Tabelle132[Gesamtcode],0))</f>
        <v>#N/A</v>
      </c>
      <c r="E183" t="e">
        <f>INDEX(Tabelle132[Bezeichnung],MATCH(Tabelle7[[#This Row],[Gesamtcode]],Tabelle132[Gesamtcode],0))</f>
        <v>#N/A</v>
      </c>
      <c r="F183" t="e">
        <f>"_"&amp;INDEX(Tabelle132[Geräte/Gewerke],MATCH(Tabelle7[[#This Row],[Gesamtcode]],Tabelle132[Gesamtcode],0))</f>
        <v>#N/A</v>
      </c>
      <c r="G183" t="e">
        <f>INDEX(Tabelle13[Gewerknr.],MATCH(Tabelle7[[#This Row],[Gewerke]],Tabelle13[Hauptgruppe],0))</f>
        <v>#N/A</v>
      </c>
      <c r="H183" t="s">
        <v>304</v>
      </c>
      <c r="I183" t="e">
        <f ca="1">INDEX(Tabelle134[Funktionsbereichsnr.],MATCH(Tabelle7[[#This Row],[Funktionsbereiche]],INDIRECT("Tabelle134["&amp;Tabelle7[[#This Row],[Gewerke]]&amp;"]"),0))</f>
        <v>#N/A</v>
      </c>
      <c r="J183" t="e">
        <f>Tabelle7[[#This Row],[Gesamtcode]]&amp;"_"&amp;Tabelle7[[#This Row],[Zone]]&amp;"_"&amp;Tabelle7[[#This Row],[Raum]]&amp;"_"&amp;Tabelle7[[#This Row],[Bezeichnung]]</f>
        <v>#N/A</v>
      </c>
      <c r="K183">
        <v>12</v>
      </c>
      <c r="L183" t="e">
        <f>Tabelle7[[#This Row],[Hauptgruppe]]&amp;"/-/-"</f>
        <v>#N/A</v>
      </c>
      <c r="M183" t="e">
        <f ca="1">Tabelle7[[#This Row],[Hauptgruppe]]&amp;"/"&amp;Tabelle7[[#This Row],[Mittelgruppe]]&amp;"/-"</f>
        <v>#N/A</v>
      </c>
      <c r="N183" t="e">
        <f ca="1">Tabelle7[[#This Row],[Hauptgruppe]]&amp;"/"&amp;Tabelle7[[#This Row],[Mittelgruppe]]&amp;"/"&amp;Tabelle7[[#This Row],[Untergruppe]]</f>
        <v>#N/A</v>
      </c>
      <c r="O183" t="e">
        <f>INDEX(Tabelle6[Aktor],MATCH(Tabelle7[[#This Row],[Gesamtcode]],Tabelle6[Gesamtcode],0))&amp;" "&amp;INDEX(Tabelle6[Aktorkanal],MATCH(Tabelle7[[#This Row],[Gesamtcode]],Tabelle6[Gesamtcode],0))</f>
        <v>#N/A</v>
      </c>
    </row>
    <row r="184" spans="2:15" x14ac:dyDescent="0.25">
      <c r="B184" t="s">
        <v>285</v>
      </c>
      <c r="C184" t="e">
        <f>INDEX(Tabelle132[Zone],MATCH(Tabelle7[[#This Row],[Gesamtcode]],Tabelle132[Gesamtcode],0))</f>
        <v>#N/A</v>
      </c>
      <c r="D184" t="e">
        <f>INDEX(Tabelle132[Raum],MATCH(Tabelle7[[#This Row],[Gesamtcode]],Tabelle132[Gesamtcode],0))</f>
        <v>#N/A</v>
      </c>
      <c r="E184" t="e">
        <f>INDEX(Tabelle132[Bezeichnung],MATCH(Tabelle7[[#This Row],[Gesamtcode]],Tabelle132[Gesamtcode],0))</f>
        <v>#N/A</v>
      </c>
      <c r="F184" t="e">
        <f>"_"&amp;INDEX(Tabelle132[Geräte/Gewerke],MATCH(Tabelle7[[#This Row],[Gesamtcode]],Tabelle132[Gesamtcode],0))</f>
        <v>#N/A</v>
      </c>
      <c r="G184" t="e">
        <f>INDEX(Tabelle13[Gewerknr.],MATCH(Tabelle7[[#This Row],[Gewerke]],Tabelle13[Hauptgruppe],0))</f>
        <v>#N/A</v>
      </c>
      <c r="H184" t="s">
        <v>305</v>
      </c>
      <c r="I184" t="e">
        <f ca="1">INDEX(Tabelle134[Funktionsbereichsnr.],MATCH(Tabelle7[[#This Row],[Funktionsbereiche]],INDIRECT("Tabelle134["&amp;Tabelle7[[#This Row],[Gewerke]]&amp;"]"),0))</f>
        <v>#N/A</v>
      </c>
      <c r="J184" t="e">
        <f>Tabelle7[[#This Row],[Gesamtcode]]&amp;"_"&amp;Tabelle7[[#This Row],[Zone]]&amp;"_"&amp;Tabelle7[[#This Row],[Raum]]&amp;"_"&amp;Tabelle7[[#This Row],[Bezeichnung]]</f>
        <v>#N/A</v>
      </c>
      <c r="K184">
        <v>12</v>
      </c>
      <c r="L184" t="e">
        <f>Tabelle7[[#This Row],[Hauptgruppe]]&amp;"/-/-"</f>
        <v>#N/A</v>
      </c>
      <c r="M184" t="e">
        <f ca="1">Tabelle7[[#This Row],[Hauptgruppe]]&amp;"/"&amp;Tabelle7[[#This Row],[Mittelgruppe]]&amp;"/-"</f>
        <v>#N/A</v>
      </c>
      <c r="N184" t="e">
        <f ca="1">Tabelle7[[#This Row],[Hauptgruppe]]&amp;"/"&amp;Tabelle7[[#This Row],[Mittelgruppe]]&amp;"/"&amp;Tabelle7[[#This Row],[Untergruppe]]</f>
        <v>#N/A</v>
      </c>
      <c r="O184" t="e">
        <f>INDEX(Tabelle6[Aktor],MATCH(Tabelle7[[#This Row],[Gesamtcode]],Tabelle6[Gesamtcode],0))&amp;" "&amp;INDEX(Tabelle6[Aktorkanal],MATCH(Tabelle7[[#This Row],[Gesamtcode]],Tabelle6[Gesamtcode],0))</f>
        <v>#N/A</v>
      </c>
    </row>
    <row r="185" spans="2:15" x14ac:dyDescent="0.25">
      <c r="B185" t="s">
        <v>287</v>
      </c>
      <c r="C185" t="e">
        <f>INDEX(Tabelle132[Zone],MATCH(Tabelle7[[#This Row],[Gesamtcode]],Tabelle132[Gesamtcode],0))</f>
        <v>#N/A</v>
      </c>
      <c r="D185" t="e">
        <f>INDEX(Tabelle132[Raum],MATCH(Tabelle7[[#This Row],[Gesamtcode]],Tabelle132[Gesamtcode],0))</f>
        <v>#N/A</v>
      </c>
      <c r="E185" t="e">
        <f>INDEX(Tabelle132[Bezeichnung],MATCH(Tabelle7[[#This Row],[Gesamtcode]],Tabelle132[Gesamtcode],0))</f>
        <v>#N/A</v>
      </c>
      <c r="F185" t="e">
        <f>"_"&amp;INDEX(Tabelle132[Geräte/Gewerke],MATCH(Tabelle7[[#This Row],[Gesamtcode]],Tabelle132[Gesamtcode],0))</f>
        <v>#N/A</v>
      </c>
      <c r="G185" t="e">
        <f>INDEX(Tabelle13[Gewerknr.],MATCH(Tabelle7[[#This Row],[Gewerke]],Tabelle13[Hauptgruppe],0))</f>
        <v>#N/A</v>
      </c>
      <c r="H185" t="s">
        <v>286</v>
      </c>
      <c r="I185" t="e">
        <f ca="1">INDEX(Tabelle134[Funktionsbereichsnr.],MATCH(Tabelle7[[#This Row],[Funktionsbereiche]],INDIRECT("Tabelle134["&amp;Tabelle7[[#This Row],[Gewerke]]&amp;"]"),0))</f>
        <v>#N/A</v>
      </c>
      <c r="J185" t="e">
        <f>Tabelle7[[#This Row],[Gesamtcode]]&amp;"_"&amp;Tabelle7[[#This Row],[Zone]]&amp;"_"&amp;Tabelle7[[#This Row],[Raum]]&amp;"_"&amp;Tabelle7[[#This Row],[Bezeichnung]]</f>
        <v>#N/A</v>
      </c>
      <c r="K185">
        <v>14</v>
      </c>
      <c r="L185" t="e">
        <f>Tabelle7[[#This Row],[Hauptgruppe]]&amp;"/-/-"</f>
        <v>#N/A</v>
      </c>
      <c r="M185" t="e">
        <f ca="1">Tabelle7[[#This Row],[Hauptgruppe]]&amp;"/"&amp;Tabelle7[[#This Row],[Mittelgruppe]]&amp;"/-"</f>
        <v>#N/A</v>
      </c>
      <c r="N185" t="e">
        <f ca="1">Tabelle7[[#This Row],[Hauptgruppe]]&amp;"/"&amp;Tabelle7[[#This Row],[Mittelgruppe]]&amp;"/"&amp;Tabelle7[[#This Row],[Untergruppe]]</f>
        <v>#N/A</v>
      </c>
      <c r="O185" t="e">
        <f>INDEX(Tabelle6[Aktor],MATCH(Tabelle7[[#This Row],[Gesamtcode]],Tabelle6[Gesamtcode],0))&amp;" "&amp;INDEX(Tabelle6[Aktorkanal],MATCH(Tabelle7[[#This Row],[Gesamtcode]],Tabelle6[Gesamtcode],0))</f>
        <v>#N/A</v>
      </c>
    </row>
    <row r="186" spans="2:15" x14ac:dyDescent="0.25">
      <c r="B186" t="s">
        <v>288</v>
      </c>
      <c r="C186" t="e">
        <f>INDEX(Tabelle132[Zone],MATCH(Tabelle7[[#This Row],[Gesamtcode]],Tabelle132[Gesamtcode],0))</f>
        <v>#N/A</v>
      </c>
      <c r="D186" t="e">
        <f>INDEX(Tabelle132[Raum],MATCH(Tabelle7[[#This Row],[Gesamtcode]],Tabelle132[Gesamtcode],0))</f>
        <v>#N/A</v>
      </c>
      <c r="E186" t="e">
        <f>INDEX(Tabelle132[Bezeichnung],MATCH(Tabelle7[[#This Row],[Gesamtcode]],Tabelle132[Gesamtcode],0))</f>
        <v>#N/A</v>
      </c>
      <c r="F186" t="e">
        <f>"_"&amp;INDEX(Tabelle132[Geräte/Gewerke],MATCH(Tabelle7[[#This Row],[Gesamtcode]],Tabelle132[Gesamtcode],0))</f>
        <v>#N/A</v>
      </c>
      <c r="G186" t="e">
        <f>INDEX(Tabelle13[Gewerknr.],MATCH(Tabelle7[[#This Row],[Gewerke]],Tabelle13[Hauptgruppe],0))</f>
        <v>#N/A</v>
      </c>
      <c r="H186" t="s">
        <v>286</v>
      </c>
      <c r="I186" t="e">
        <f ca="1">INDEX(Tabelle134[Funktionsbereichsnr.],MATCH(Tabelle7[[#This Row],[Funktionsbereiche]],INDIRECT("Tabelle134["&amp;Tabelle7[[#This Row],[Gewerke]]&amp;"]"),0))</f>
        <v>#N/A</v>
      </c>
      <c r="J186" t="e">
        <f>Tabelle7[[#This Row],[Gesamtcode]]&amp;"_"&amp;Tabelle7[[#This Row],[Zone]]&amp;"_"&amp;Tabelle7[[#This Row],[Raum]]&amp;"_"&amp;Tabelle7[[#This Row],[Bezeichnung]]</f>
        <v>#N/A</v>
      </c>
      <c r="K186">
        <v>15</v>
      </c>
      <c r="L186" t="e">
        <f>Tabelle7[[#This Row],[Hauptgruppe]]&amp;"/-/-"</f>
        <v>#N/A</v>
      </c>
      <c r="M186" t="e">
        <f ca="1">Tabelle7[[#This Row],[Hauptgruppe]]&amp;"/"&amp;Tabelle7[[#This Row],[Mittelgruppe]]&amp;"/-"</f>
        <v>#N/A</v>
      </c>
      <c r="N186" t="e">
        <f ca="1">Tabelle7[[#This Row],[Hauptgruppe]]&amp;"/"&amp;Tabelle7[[#This Row],[Mittelgruppe]]&amp;"/"&amp;Tabelle7[[#This Row],[Untergruppe]]</f>
        <v>#N/A</v>
      </c>
      <c r="O186" t="e">
        <f>INDEX(Tabelle6[Aktor],MATCH(Tabelle7[[#This Row],[Gesamtcode]],Tabelle6[Gesamtcode],0))&amp;" "&amp;INDEX(Tabelle6[Aktorkanal],MATCH(Tabelle7[[#This Row],[Gesamtcode]],Tabelle6[Gesamtcode],0))</f>
        <v>#N/A</v>
      </c>
    </row>
    <row r="187" spans="2:15" x14ac:dyDescent="0.25">
      <c r="B187" t="s">
        <v>289</v>
      </c>
      <c r="C187" t="e">
        <f>INDEX(Tabelle132[Zone],MATCH(Tabelle7[[#This Row],[Gesamtcode]],Tabelle132[Gesamtcode],0))</f>
        <v>#N/A</v>
      </c>
      <c r="D187" t="e">
        <f>INDEX(Tabelle132[Raum],MATCH(Tabelle7[[#This Row],[Gesamtcode]],Tabelle132[Gesamtcode],0))</f>
        <v>#N/A</v>
      </c>
      <c r="E187" t="e">
        <f>INDEX(Tabelle132[Bezeichnung],MATCH(Tabelle7[[#This Row],[Gesamtcode]],Tabelle132[Gesamtcode],0))</f>
        <v>#N/A</v>
      </c>
      <c r="F187" t="e">
        <f>"_"&amp;INDEX(Tabelle132[Geräte/Gewerke],MATCH(Tabelle7[[#This Row],[Gesamtcode]],Tabelle132[Gesamtcode],0))</f>
        <v>#N/A</v>
      </c>
      <c r="G187" t="e">
        <f>INDEX(Tabelle13[Gewerknr.],MATCH(Tabelle7[[#This Row],[Gewerke]],Tabelle13[Hauptgruppe],0))</f>
        <v>#N/A</v>
      </c>
      <c r="H187" t="s">
        <v>286</v>
      </c>
      <c r="I187" t="e">
        <f ca="1">INDEX(Tabelle134[Funktionsbereichsnr.],MATCH(Tabelle7[[#This Row],[Funktionsbereiche]],INDIRECT("Tabelle134["&amp;Tabelle7[[#This Row],[Gewerke]]&amp;"]"),0))</f>
        <v>#N/A</v>
      </c>
      <c r="J187" t="e">
        <f>Tabelle7[[#This Row],[Gesamtcode]]&amp;"_"&amp;Tabelle7[[#This Row],[Zone]]&amp;"_"&amp;Tabelle7[[#This Row],[Raum]]&amp;"_"&amp;Tabelle7[[#This Row],[Bezeichnung]]</f>
        <v>#N/A</v>
      </c>
      <c r="K187">
        <v>16</v>
      </c>
      <c r="L187" t="e">
        <f>Tabelle7[[#This Row],[Hauptgruppe]]&amp;"/-/-"</f>
        <v>#N/A</v>
      </c>
      <c r="M187" t="e">
        <f ca="1">Tabelle7[[#This Row],[Hauptgruppe]]&amp;"/"&amp;Tabelle7[[#This Row],[Mittelgruppe]]&amp;"/-"</f>
        <v>#N/A</v>
      </c>
      <c r="N187" t="e">
        <f ca="1">Tabelle7[[#This Row],[Hauptgruppe]]&amp;"/"&amp;Tabelle7[[#This Row],[Mittelgruppe]]&amp;"/"&amp;Tabelle7[[#This Row],[Untergruppe]]</f>
        <v>#N/A</v>
      </c>
      <c r="O187" t="e">
        <f>INDEX(Tabelle6[Aktor],MATCH(Tabelle7[[#This Row],[Gesamtcode]],Tabelle6[Gesamtcode],0))&amp;" "&amp;INDEX(Tabelle6[Aktorkanal],MATCH(Tabelle7[[#This Row],[Gesamtcode]],Tabelle6[Gesamtcode],0))</f>
        <v>#N/A</v>
      </c>
    </row>
    <row r="188" spans="2:15" x14ac:dyDescent="0.25">
      <c r="B188" t="s">
        <v>290</v>
      </c>
      <c r="C188" t="e">
        <f>INDEX(Tabelle132[Zone],MATCH(Tabelle7[[#This Row],[Gesamtcode]],Tabelle132[Gesamtcode],0))</f>
        <v>#N/A</v>
      </c>
      <c r="D188" t="e">
        <f>INDEX(Tabelle132[Raum],MATCH(Tabelle7[[#This Row],[Gesamtcode]],Tabelle132[Gesamtcode],0))</f>
        <v>#N/A</v>
      </c>
      <c r="E188" t="e">
        <f>INDEX(Tabelle132[Bezeichnung],MATCH(Tabelle7[[#This Row],[Gesamtcode]],Tabelle132[Gesamtcode],0))</f>
        <v>#N/A</v>
      </c>
      <c r="F188" t="e">
        <f>"_"&amp;INDEX(Tabelle132[Geräte/Gewerke],MATCH(Tabelle7[[#This Row],[Gesamtcode]],Tabelle132[Gesamtcode],0))</f>
        <v>#N/A</v>
      </c>
      <c r="G188" t="e">
        <f>INDEX(Tabelle13[Gewerknr.],MATCH(Tabelle7[[#This Row],[Gewerke]],Tabelle13[Hauptgruppe],0))</f>
        <v>#N/A</v>
      </c>
      <c r="H188" t="s">
        <v>286</v>
      </c>
      <c r="I188" t="e">
        <f ca="1">INDEX(Tabelle134[Funktionsbereichsnr.],MATCH(Tabelle7[[#This Row],[Funktionsbereiche]],INDIRECT("Tabelle134["&amp;Tabelle7[[#This Row],[Gewerke]]&amp;"]"),0))</f>
        <v>#N/A</v>
      </c>
      <c r="J188" t="e">
        <f>Tabelle7[[#This Row],[Gesamtcode]]&amp;"_"&amp;Tabelle7[[#This Row],[Zone]]&amp;"_"&amp;Tabelle7[[#This Row],[Raum]]&amp;"_"&amp;Tabelle7[[#This Row],[Bezeichnung]]</f>
        <v>#N/A</v>
      </c>
      <c r="K188">
        <v>17</v>
      </c>
      <c r="L188" t="e">
        <f>Tabelle7[[#This Row],[Hauptgruppe]]&amp;"/-/-"</f>
        <v>#N/A</v>
      </c>
      <c r="M188" t="e">
        <f ca="1">Tabelle7[[#This Row],[Hauptgruppe]]&amp;"/"&amp;Tabelle7[[#This Row],[Mittelgruppe]]&amp;"/-"</f>
        <v>#N/A</v>
      </c>
      <c r="N188" t="e">
        <f ca="1">Tabelle7[[#This Row],[Hauptgruppe]]&amp;"/"&amp;Tabelle7[[#This Row],[Mittelgruppe]]&amp;"/"&amp;Tabelle7[[#This Row],[Untergruppe]]</f>
        <v>#N/A</v>
      </c>
      <c r="O188" t="e">
        <f>INDEX(Tabelle6[Aktor],MATCH(Tabelle7[[#This Row],[Gesamtcode]],Tabelle6[Gesamtcode],0))&amp;" "&amp;INDEX(Tabelle6[Aktorkanal],MATCH(Tabelle7[[#This Row],[Gesamtcode]],Tabelle6[Gesamtcode],0))</f>
        <v>#N/A</v>
      </c>
    </row>
    <row r="189" spans="2:15" x14ac:dyDescent="0.25">
      <c r="B189" t="s">
        <v>291</v>
      </c>
      <c r="C189" t="e">
        <f>INDEX(Tabelle132[Zone],MATCH(Tabelle7[[#This Row],[Gesamtcode]],Tabelle132[Gesamtcode],0))</f>
        <v>#N/A</v>
      </c>
      <c r="D189" t="e">
        <f>INDEX(Tabelle132[Raum],MATCH(Tabelle7[[#This Row],[Gesamtcode]],Tabelle132[Gesamtcode],0))</f>
        <v>#N/A</v>
      </c>
      <c r="E189" t="e">
        <f>INDEX(Tabelle132[Bezeichnung],MATCH(Tabelle7[[#This Row],[Gesamtcode]],Tabelle132[Gesamtcode],0))</f>
        <v>#N/A</v>
      </c>
      <c r="F189" t="e">
        <f>"_"&amp;INDEX(Tabelle132[Geräte/Gewerke],MATCH(Tabelle7[[#This Row],[Gesamtcode]],Tabelle132[Gesamtcode],0))</f>
        <v>#N/A</v>
      </c>
      <c r="G189" t="e">
        <f>INDEX(Tabelle13[Gewerknr.],MATCH(Tabelle7[[#This Row],[Gewerke]],Tabelle13[Hauptgruppe],0))</f>
        <v>#N/A</v>
      </c>
      <c r="H189" t="s">
        <v>286</v>
      </c>
      <c r="I189" t="e">
        <f ca="1">INDEX(Tabelle134[Funktionsbereichsnr.],MATCH(Tabelle7[[#This Row],[Funktionsbereiche]],INDIRECT("Tabelle134["&amp;Tabelle7[[#This Row],[Gewerke]]&amp;"]"),0))</f>
        <v>#N/A</v>
      </c>
      <c r="J189" t="e">
        <f>Tabelle7[[#This Row],[Gesamtcode]]&amp;"_"&amp;Tabelle7[[#This Row],[Zone]]&amp;"_"&amp;Tabelle7[[#This Row],[Raum]]&amp;"_"&amp;Tabelle7[[#This Row],[Bezeichnung]]</f>
        <v>#N/A</v>
      </c>
      <c r="K189">
        <v>18</v>
      </c>
      <c r="L189" t="e">
        <f>Tabelle7[[#This Row],[Hauptgruppe]]&amp;"/-/-"</f>
        <v>#N/A</v>
      </c>
      <c r="M189" t="e">
        <f ca="1">Tabelle7[[#This Row],[Hauptgruppe]]&amp;"/"&amp;Tabelle7[[#This Row],[Mittelgruppe]]&amp;"/-"</f>
        <v>#N/A</v>
      </c>
      <c r="N189" t="e">
        <f ca="1">Tabelle7[[#This Row],[Hauptgruppe]]&amp;"/"&amp;Tabelle7[[#This Row],[Mittelgruppe]]&amp;"/"&amp;Tabelle7[[#This Row],[Untergruppe]]</f>
        <v>#N/A</v>
      </c>
      <c r="O189" t="e">
        <f>INDEX(Tabelle6[Aktor],MATCH(Tabelle7[[#This Row],[Gesamtcode]],Tabelle6[Gesamtcode],0))&amp;" "&amp;INDEX(Tabelle6[Aktorkanal],MATCH(Tabelle7[[#This Row],[Gesamtcode]],Tabelle6[Gesamtcode],0))</f>
        <v>#N/A</v>
      </c>
    </row>
    <row r="190" spans="2:15" x14ac:dyDescent="0.25">
      <c r="B190" t="s">
        <v>292</v>
      </c>
      <c r="C190" t="e">
        <f>INDEX(Tabelle132[Zone],MATCH(Tabelle7[[#This Row],[Gesamtcode]],Tabelle132[Gesamtcode],0))</f>
        <v>#N/A</v>
      </c>
      <c r="D190" t="e">
        <f>INDEX(Tabelle132[Raum],MATCH(Tabelle7[[#This Row],[Gesamtcode]],Tabelle132[Gesamtcode],0))</f>
        <v>#N/A</v>
      </c>
      <c r="E190" t="e">
        <f>INDEX(Tabelle132[Bezeichnung],MATCH(Tabelle7[[#This Row],[Gesamtcode]],Tabelle132[Gesamtcode],0))</f>
        <v>#N/A</v>
      </c>
      <c r="F190" t="e">
        <f>"_"&amp;INDEX(Tabelle132[Geräte/Gewerke],MATCH(Tabelle7[[#This Row],[Gesamtcode]],Tabelle132[Gesamtcode],0))</f>
        <v>#N/A</v>
      </c>
      <c r="G190" t="e">
        <f>INDEX(Tabelle13[Gewerknr.],MATCH(Tabelle7[[#This Row],[Gewerke]],Tabelle13[Hauptgruppe],0))</f>
        <v>#N/A</v>
      </c>
      <c r="H190" t="s">
        <v>286</v>
      </c>
      <c r="I190" t="e">
        <f ca="1">INDEX(Tabelle134[Funktionsbereichsnr.],MATCH(Tabelle7[[#This Row],[Funktionsbereiche]],INDIRECT("Tabelle134["&amp;Tabelle7[[#This Row],[Gewerke]]&amp;"]"),0))</f>
        <v>#N/A</v>
      </c>
      <c r="J190" t="e">
        <f>Tabelle7[[#This Row],[Gesamtcode]]&amp;"_"&amp;Tabelle7[[#This Row],[Zone]]&amp;"_"&amp;Tabelle7[[#This Row],[Raum]]&amp;"_"&amp;Tabelle7[[#This Row],[Bezeichnung]]</f>
        <v>#N/A</v>
      </c>
      <c r="K190">
        <v>19</v>
      </c>
      <c r="L190" t="e">
        <f>Tabelle7[[#This Row],[Hauptgruppe]]&amp;"/-/-"</f>
        <v>#N/A</v>
      </c>
      <c r="M190" t="e">
        <f ca="1">Tabelle7[[#This Row],[Hauptgruppe]]&amp;"/"&amp;Tabelle7[[#This Row],[Mittelgruppe]]&amp;"/-"</f>
        <v>#N/A</v>
      </c>
      <c r="N190" t="e">
        <f ca="1">Tabelle7[[#This Row],[Hauptgruppe]]&amp;"/"&amp;Tabelle7[[#This Row],[Mittelgruppe]]&amp;"/"&amp;Tabelle7[[#This Row],[Untergruppe]]</f>
        <v>#N/A</v>
      </c>
      <c r="O190" t="e">
        <f>INDEX(Tabelle6[Aktor],MATCH(Tabelle7[[#This Row],[Gesamtcode]],Tabelle6[Gesamtcode],0))&amp;" "&amp;INDEX(Tabelle6[Aktorkanal],MATCH(Tabelle7[[#This Row],[Gesamtcode]],Tabelle6[Gesamtcode],0))</f>
        <v>#N/A</v>
      </c>
    </row>
    <row r="191" spans="2:15" x14ac:dyDescent="0.25">
      <c r="B191" t="s">
        <v>293</v>
      </c>
      <c r="C191" t="e">
        <f>INDEX(Tabelle132[Zone],MATCH(Tabelle7[[#This Row],[Gesamtcode]],Tabelle132[Gesamtcode],0))</f>
        <v>#N/A</v>
      </c>
      <c r="D191" t="e">
        <f>INDEX(Tabelle132[Raum],MATCH(Tabelle7[[#This Row],[Gesamtcode]],Tabelle132[Gesamtcode],0))</f>
        <v>#N/A</v>
      </c>
      <c r="E191" t="e">
        <f>INDEX(Tabelle132[Bezeichnung],MATCH(Tabelle7[[#This Row],[Gesamtcode]],Tabelle132[Gesamtcode],0))</f>
        <v>#N/A</v>
      </c>
      <c r="F191" t="e">
        <f>"_"&amp;INDEX(Tabelle132[Geräte/Gewerke],MATCH(Tabelle7[[#This Row],[Gesamtcode]],Tabelle132[Gesamtcode],0))</f>
        <v>#N/A</v>
      </c>
      <c r="G191" t="e">
        <f>INDEX(Tabelle13[Gewerknr.],MATCH(Tabelle7[[#This Row],[Gewerke]],Tabelle13[Hauptgruppe],0))</f>
        <v>#N/A</v>
      </c>
      <c r="H191" t="s">
        <v>286</v>
      </c>
      <c r="I191" t="e">
        <f ca="1">INDEX(Tabelle134[Funktionsbereichsnr.],MATCH(Tabelle7[[#This Row],[Funktionsbereiche]],INDIRECT("Tabelle134["&amp;Tabelle7[[#This Row],[Gewerke]]&amp;"]"),0))</f>
        <v>#N/A</v>
      </c>
      <c r="J191" t="e">
        <f>Tabelle7[[#This Row],[Gesamtcode]]&amp;"_"&amp;Tabelle7[[#This Row],[Zone]]&amp;"_"&amp;Tabelle7[[#This Row],[Raum]]&amp;"_"&amp;Tabelle7[[#This Row],[Bezeichnung]]</f>
        <v>#N/A</v>
      </c>
      <c r="K191">
        <v>2</v>
      </c>
      <c r="L191" t="e">
        <f>Tabelle7[[#This Row],[Hauptgruppe]]&amp;"/-/-"</f>
        <v>#N/A</v>
      </c>
      <c r="M191" t="e">
        <f ca="1">Tabelle7[[#This Row],[Hauptgruppe]]&amp;"/"&amp;Tabelle7[[#This Row],[Mittelgruppe]]&amp;"/-"</f>
        <v>#N/A</v>
      </c>
      <c r="N191" t="e">
        <f ca="1">Tabelle7[[#This Row],[Hauptgruppe]]&amp;"/"&amp;Tabelle7[[#This Row],[Mittelgruppe]]&amp;"/"&amp;Tabelle7[[#This Row],[Untergruppe]]</f>
        <v>#N/A</v>
      </c>
      <c r="O191" t="e">
        <f>INDEX(Tabelle6[Aktor],MATCH(Tabelle7[[#This Row],[Gesamtcode]],Tabelle6[Gesamtcode],0))&amp;" "&amp;INDEX(Tabelle6[Aktorkanal],MATCH(Tabelle7[[#This Row],[Gesamtcode]],Tabelle6[Gesamtcode],0))</f>
        <v>#N/A</v>
      </c>
    </row>
    <row r="192" spans="2:15" x14ac:dyDescent="0.25">
      <c r="B192" t="s">
        <v>294</v>
      </c>
      <c r="C192" t="e">
        <f>INDEX(Tabelle132[Zone],MATCH(Tabelle7[[#This Row],[Gesamtcode]],Tabelle132[Gesamtcode],0))</f>
        <v>#N/A</v>
      </c>
      <c r="D192" t="e">
        <f>INDEX(Tabelle132[Raum],MATCH(Tabelle7[[#This Row],[Gesamtcode]],Tabelle132[Gesamtcode],0))</f>
        <v>#N/A</v>
      </c>
      <c r="E192" t="e">
        <f>INDEX(Tabelle132[Bezeichnung],MATCH(Tabelle7[[#This Row],[Gesamtcode]],Tabelle132[Gesamtcode],0))</f>
        <v>#N/A</v>
      </c>
      <c r="F192" t="e">
        <f>"_"&amp;INDEX(Tabelle132[Geräte/Gewerke],MATCH(Tabelle7[[#This Row],[Gesamtcode]],Tabelle132[Gesamtcode],0))</f>
        <v>#N/A</v>
      </c>
      <c r="G192" t="e">
        <f>INDEX(Tabelle13[Gewerknr.],MATCH(Tabelle7[[#This Row],[Gewerke]],Tabelle13[Hauptgruppe],0))</f>
        <v>#N/A</v>
      </c>
      <c r="H192" t="s">
        <v>286</v>
      </c>
      <c r="I192" t="e">
        <f ca="1">INDEX(Tabelle134[Funktionsbereichsnr.],MATCH(Tabelle7[[#This Row],[Funktionsbereiche]],INDIRECT("Tabelle134["&amp;Tabelle7[[#This Row],[Gewerke]]&amp;"]"),0))</f>
        <v>#N/A</v>
      </c>
      <c r="J192" t="e">
        <f>Tabelle7[[#This Row],[Gesamtcode]]&amp;"_"&amp;Tabelle7[[#This Row],[Zone]]&amp;"_"&amp;Tabelle7[[#This Row],[Raum]]&amp;"_"&amp;Tabelle7[[#This Row],[Bezeichnung]]</f>
        <v>#N/A</v>
      </c>
      <c r="K192">
        <v>20</v>
      </c>
      <c r="L192" t="e">
        <f>Tabelle7[[#This Row],[Hauptgruppe]]&amp;"/-/-"</f>
        <v>#N/A</v>
      </c>
      <c r="M192" t="e">
        <f ca="1">Tabelle7[[#This Row],[Hauptgruppe]]&amp;"/"&amp;Tabelle7[[#This Row],[Mittelgruppe]]&amp;"/-"</f>
        <v>#N/A</v>
      </c>
      <c r="N192" t="e">
        <f ca="1">Tabelle7[[#This Row],[Hauptgruppe]]&amp;"/"&amp;Tabelle7[[#This Row],[Mittelgruppe]]&amp;"/"&amp;Tabelle7[[#This Row],[Untergruppe]]</f>
        <v>#N/A</v>
      </c>
      <c r="O192" t="e">
        <f>INDEX(Tabelle6[Aktor],MATCH(Tabelle7[[#This Row],[Gesamtcode]],Tabelle6[Gesamtcode],0))&amp;" "&amp;INDEX(Tabelle6[Aktorkanal],MATCH(Tabelle7[[#This Row],[Gesamtcode]],Tabelle6[Gesamtcode],0))</f>
        <v>#N/A</v>
      </c>
    </row>
    <row r="193" spans="2:15" x14ac:dyDescent="0.25">
      <c r="B193" t="s">
        <v>295</v>
      </c>
      <c r="C193" t="e">
        <f>INDEX(Tabelle132[Zone],MATCH(Tabelle7[[#This Row],[Gesamtcode]],Tabelle132[Gesamtcode],0))</f>
        <v>#N/A</v>
      </c>
      <c r="D193" t="e">
        <f>INDEX(Tabelle132[Raum],MATCH(Tabelle7[[#This Row],[Gesamtcode]],Tabelle132[Gesamtcode],0))</f>
        <v>#N/A</v>
      </c>
      <c r="E193" t="e">
        <f>INDEX(Tabelle132[Bezeichnung],MATCH(Tabelle7[[#This Row],[Gesamtcode]],Tabelle132[Gesamtcode],0))</f>
        <v>#N/A</v>
      </c>
      <c r="F193" t="e">
        <f>"_"&amp;INDEX(Tabelle132[Geräte/Gewerke],MATCH(Tabelle7[[#This Row],[Gesamtcode]],Tabelle132[Gesamtcode],0))</f>
        <v>#N/A</v>
      </c>
      <c r="G193" t="e">
        <f>INDEX(Tabelle13[Gewerknr.],MATCH(Tabelle7[[#This Row],[Gewerke]],Tabelle13[Hauptgruppe],0))</f>
        <v>#N/A</v>
      </c>
      <c r="H193" t="s">
        <v>286</v>
      </c>
      <c r="I193" t="e">
        <f ca="1">INDEX(Tabelle134[Funktionsbereichsnr.],MATCH(Tabelle7[[#This Row],[Funktionsbereiche]],INDIRECT("Tabelle134["&amp;Tabelle7[[#This Row],[Gewerke]]&amp;"]"),0))</f>
        <v>#N/A</v>
      </c>
      <c r="J193" t="e">
        <f>Tabelle7[[#This Row],[Gesamtcode]]&amp;"_"&amp;Tabelle7[[#This Row],[Zone]]&amp;"_"&amp;Tabelle7[[#This Row],[Raum]]&amp;"_"&amp;Tabelle7[[#This Row],[Bezeichnung]]</f>
        <v>#N/A</v>
      </c>
      <c r="K193">
        <v>21</v>
      </c>
      <c r="L193" t="e">
        <f>Tabelle7[[#This Row],[Hauptgruppe]]&amp;"/-/-"</f>
        <v>#N/A</v>
      </c>
      <c r="M193" t="e">
        <f ca="1">Tabelle7[[#This Row],[Hauptgruppe]]&amp;"/"&amp;Tabelle7[[#This Row],[Mittelgruppe]]&amp;"/-"</f>
        <v>#N/A</v>
      </c>
      <c r="N193" t="e">
        <f ca="1">Tabelle7[[#This Row],[Hauptgruppe]]&amp;"/"&amp;Tabelle7[[#This Row],[Mittelgruppe]]&amp;"/"&amp;Tabelle7[[#This Row],[Untergruppe]]</f>
        <v>#N/A</v>
      </c>
      <c r="O193" t="e">
        <f>INDEX(Tabelle6[Aktor],MATCH(Tabelle7[[#This Row],[Gesamtcode]],Tabelle6[Gesamtcode],0))&amp;" "&amp;INDEX(Tabelle6[Aktorkanal],MATCH(Tabelle7[[#This Row],[Gesamtcode]],Tabelle6[Gesamtcode],0))</f>
        <v>#N/A</v>
      </c>
    </row>
    <row r="194" spans="2:15" x14ac:dyDescent="0.25">
      <c r="B194" t="s">
        <v>296</v>
      </c>
      <c r="C194" t="e">
        <f>INDEX(Tabelle132[Zone],MATCH(Tabelle7[[#This Row],[Gesamtcode]],Tabelle132[Gesamtcode],0))</f>
        <v>#N/A</v>
      </c>
      <c r="D194" t="e">
        <f>INDEX(Tabelle132[Raum],MATCH(Tabelle7[[#This Row],[Gesamtcode]],Tabelle132[Gesamtcode],0))</f>
        <v>#N/A</v>
      </c>
      <c r="E194" t="e">
        <f>INDEX(Tabelle132[Bezeichnung],MATCH(Tabelle7[[#This Row],[Gesamtcode]],Tabelle132[Gesamtcode],0))</f>
        <v>#N/A</v>
      </c>
      <c r="F194" t="e">
        <f>"_"&amp;INDEX(Tabelle132[Geräte/Gewerke],MATCH(Tabelle7[[#This Row],[Gesamtcode]],Tabelle132[Gesamtcode],0))</f>
        <v>#N/A</v>
      </c>
      <c r="G194" t="e">
        <f>INDEX(Tabelle13[Gewerknr.],MATCH(Tabelle7[[#This Row],[Gewerke]],Tabelle13[Hauptgruppe],0))</f>
        <v>#N/A</v>
      </c>
      <c r="H194" t="s">
        <v>286</v>
      </c>
      <c r="I194" t="e">
        <f ca="1">INDEX(Tabelle134[Funktionsbereichsnr.],MATCH(Tabelle7[[#This Row],[Funktionsbereiche]],INDIRECT("Tabelle134["&amp;Tabelle7[[#This Row],[Gewerke]]&amp;"]"),0))</f>
        <v>#N/A</v>
      </c>
      <c r="J194" t="e">
        <f>Tabelle7[[#This Row],[Gesamtcode]]&amp;"_"&amp;Tabelle7[[#This Row],[Zone]]&amp;"_"&amp;Tabelle7[[#This Row],[Raum]]&amp;"_"&amp;Tabelle7[[#This Row],[Bezeichnung]]</f>
        <v>#N/A</v>
      </c>
      <c r="K194">
        <v>22</v>
      </c>
      <c r="L194" t="e">
        <f>Tabelle7[[#This Row],[Hauptgruppe]]&amp;"/-/-"</f>
        <v>#N/A</v>
      </c>
      <c r="M194" t="e">
        <f ca="1">Tabelle7[[#This Row],[Hauptgruppe]]&amp;"/"&amp;Tabelle7[[#This Row],[Mittelgruppe]]&amp;"/-"</f>
        <v>#N/A</v>
      </c>
      <c r="N194" t="e">
        <f ca="1">Tabelle7[[#This Row],[Hauptgruppe]]&amp;"/"&amp;Tabelle7[[#This Row],[Mittelgruppe]]&amp;"/"&amp;Tabelle7[[#This Row],[Untergruppe]]</f>
        <v>#N/A</v>
      </c>
      <c r="O194" t="e">
        <f>INDEX(Tabelle6[Aktor],MATCH(Tabelle7[[#This Row],[Gesamtcode]],Tabelle6[Gesamtcode],0))&amp;" "&amp;INDEX(Tabelle6[Aktorkanal],MATCH(Tabelle7[[#This Row],[Gesamtcode]],Tabelle6[Gesamtcode],0))</f>
        <v>#N/A</v>
      </c>
    </row>
    <row r="195" spans="2:15" x14ac:dyDescent="0.25">
      <c r="B195" t="s">
        <v>297</v>
      </c>
      <c r="C195" t="e">
        <f>INDEX(Tabelle132[Zone],MATCH(Tabelle7[[#This Row],[Gesamtcode]],Tabelle132[Gesamtcode],0))</f>
        <v>#N/A</v>
      </c>
      <c r="D195" t="e">
        <f>INDEX(Tabelle132[Raum],MATCH(Tabelle7[[#This Row],[Gesamtcode]],Tabelle132[Gesamtcode],0))</f>
        <v>#N/A</v>
      </c>
      <c r="E195" t="e">
        <f>INDEX(Tabelle132[Bezeichnung],MATCH(Tabelle7[[#This Row],[Gesamtcode]],Tabelle132[Gesamtcode],0))</f>
        <v>#N/A</v>
      </c>
      <c r="F195" t="e">
        <f>"_"&amp;INDEX(Tabelle132[Geräte/Gewerke],MATCH(Tabelle7[[#This Row],[Gesamtcode]],Tabelle132[Gesamtcode],0))</f>
        <v>#N/A</v>
      </c>
      <c r="G195" t="e">
        <f>INDEX(Tabelle13[Gewerknr.],MATCH(Tabelle7[[#This Row],[Gewerke]],Tabelle13[Hauptgruppe],0))</f>
        <v>#N/A</v>
      </c>
      <c r="H195" t="s">
        <v>286</v>
      </c>
      <c r="I195" t="e">
        <f ca="1">INDEX(Tabelle134[Funktionsbereichsnr.],MATCH(Tabelle7[[#This Row],[Funktionsbereiche]],INDIRECT("Tabelle134["&amp;Tabelle7[[#This Row],[Gewerke]]&amp;"]"),0))</f>
        <v>#N/A</v>
      </c>
      <c r="J195" t="e">
        <f>Tabelle7[[#This Row],[Gesamtcode]]&amp;"_"&amp;Tabelle7[[#This Row],[Zone]]&amp;"_"&amp;Tabelle7[[#This Row],[Raum]]&amp;"_"&amp;Tabelle7[[#This Row],[Bezeichnung]]</f>
        <v>#N/A</v>
      </c>
      <c r="K195">
        <v>3</v>
      </c>
      <c r="L195" t="e">
        <f>Tabelle7[[#This Row],[Hauptgruppe]]&amp;"/-/-"</f>
        <v>#N/A</v>
      </c>
      <c r="M195" t="e">
        <f ca="1">Tabelle7[[#This Row],[Hauptgruppe]]&amp;"/"&amp;Tabelle7[[#This Row],[Mittelgruppe]]&amp;"/-"</f>
        <v>#N/A</v>
      </c>
      <c r="N195" t="e">
        <f ca="1">Tabelle7[[#This Row],[Hauptgruppe]]&amp;"/"&amp;Tabelle7[[#This Row],[Mittelgruppe]]&amp;"/"&amp;Tabelle7[[#This Row],[Untergruppe]]</f>
        <v>#N/A</v>
      </c>
      <c r="O195" t="e">
        <f>INDEX(Tabelle6[Aktor],MATCH(Tabelle7[[#This Row],[Gesamtcode]],Tabelle6[Gesamtcode],0))&amp;" "&amp;INDEX(Tabelle6[Aktorkanal],MATCH(Tabelle7[[#This Row],[Gesamtcode]],Tabelle6[Gesamtcode],0))</f>
        <v>#N/A</v>
      </c>
    </row>
    <row r="196" spans="2:15" x14ac:dyDescent="0.25">
      <c r="B196" t="s">
        <v>298</v>
      </c>
      <c r="C196" t="e">
        <f>INDEX(Tabelle132[Zone],MATCH(Tabelle7[[#This Row],[Gesamtcode]],Tabelle132[Gesamtcode],0))</f>
        <v>#N/A</v>
      </c>
      <c r="D196" t="e">
        <f>INDEX(Tabelle132[Raum],MATCH(Tabelle7[[#This Row],[Gesamtcode]],Tabelle132[Gesamtcode],0))</f>
        <v>#N/A</v>
      </c>
      <c r="E196" t="e">
        <f>INDEX(Tabelle132[Bezeichnung],MATCH(Tabelle7[[#This Row],[Gesamtcode]],Tabelle132[Gesamtcode],0))</f>
        <v>#N/A</v>
      </c>
      <c r="F196" t="e">
        <f>"_"&amp;INDEX(Tabelle132[Geräte/Gewerke],MATCH(Tabelle7[[#This Row],[Gesamtcode]],Tabelle132[Gesamtcode],0))</f>
        <v>#N/A</v>
      </c>
      <c r="G196" t="e">
        <f>INDEX(Tabelle13[Gewerknr.],MATCH(Tabelle7[[#This Row],[Gewerke]],Tabelle13[Hauptgruppe],0))</f>
        <v>#N/A</v>
      </c>
      <c r="H196" t="s">
        <v>286</v>
      </c>
      <c r="I196" t="e">
        <f ca="1">INDEX(Tabelle134[Funktionsbereichsnr.],MATCH(Tabelle7[[#This Row],[Funktionsbereiche]],INDIRECT("Tabelle134["&amp;Tabelle7[[#This Row],[Gewerke]]&amp;"]"),0))</f>
        <v>#N/A</v>
      </c>
      <c r="J196" t="e">
        <f>Tabelle7[[#This Row],[Gesamtcode]]&amp;"_"&amp;Tabelle7[[#This Row],[Zone]]&amp;"_"&amp;Tabelle7[[#This Row],[Raum]]&amp;"_"&amp;Tabelle7[[#This Row],[Bezeichnung]]</f>
        <v>#N/A</v>
      </c>
      <c r="K196">
        <v>4</v>
      </c>
      <c r="L196" t="e">
        <f>Tabelle7[[#This Row],[Hauptgruppe]]&amp;"/-/-"</f>
        <v>#N/A</v>
      </c>
      <c r="M196" t="e">
        <f ca="1">Tabelle7[[#This Row],[Hauptgruppe]]&amp;"/"&amp;Tabelle7[[#This Row],[Mittelgruppe]]&amp;"/-"</f>
        <v>#N/A</v>
      </c>
      <c r="N196" t="e">
        <f ca="1">Tabelle7[[#This Row],[Hauptgruppe]]&amp;"/"&amp;Tabelle7[[#This Row],[Mittelgruppe]]&amp;"/"&amp;Tabelle7[[#This Row],[Untergruppe]]</f>
        <v>#N/A</v>
      </c>
      <c r="O196" t="e">
        <f>INDEX(Tabelle6[Aktor],MATCH(Tabelle7[[#This Row],[Gesamtcode]],Tabelle6[Gesamtcode],0))&amp;" "&amp;INDEX(Tabelle6[Aktorkanal],MATCH(Tabelle7[[#This Row],[Gesamtcode]],Tabelle6[Gesamtcode],0))</f>
        <v>#N/A</v>
      </c>
    </row>
    <row r="197" spans="2:15" x14ac:dyDescent="0.25">
      <c r="B197" t="s">
        <v>299</v>
      </c>
      <c r="C197" t="e">
        <f>INDEX(Tabelle132[Zone],MATCH(Tabelle7[[#This Row],[Gesamtcode]],Tabelle132[Gesamtcode],0))</f>
        <v>#N/A</v>
      </c>
      <c r="D197" t="e">
        <f>INDEX(Tabelle132[Raum],MATCH(Tabelle7[[#This Row],[Gesamtcode]],Tabelle132[Gesamtcode],0))</f>
        <v>#N/A</v>
      </c>
      <c r="E197" t="e">
        <f>INDEX(Tabelle132[Bezeichnung],MATCH(Tabelle7[[#This Row],[Gesamtcode]],Tabelle132[Gesamtcode],0))</f>
        <v>#N/A</v>
      </c>
      <c r="F197" t="e">
        <f>"_"&amp;INDEX(Tabelle132[Geräte/Gewerke],MATCH(Tabelle7[[#This Row],[Gesamtcode]],Tabelle132[Gesamtcode],0))</f>
        <v>#N/A</v>
      </c>
      <c r="G197" t="e">
        <f>INDEX(Tabelle13[Gewerknr.],MATCH(Tabelle7[[#This Row],[Gewerke]],Tabelle13[Hauptgruppe],0))</f>
        <v>#N/A</v>
      </c>
      <c r="H197" t="s">
        <v>286</v>
      </c>
      <c r="I197" t="e">
        <f ca="1">INDEX(Tabelle134[Funktionsbereichsnr.],MATCH(Tabelle7[[#This Row],[Funktionsbereiche]],INDIRECT("Tabelle134["&amp;Tabelle7[[#This Row],[Gewerke]]&amp;"]"),0))</f>
        <v>#N/A</v>
      </c>
      <c r="J197" t="e">
        <f>Tabelle7[[#This Row],[Gesamtcode]]&amp;"_"&amp;Tabelle7[[#This Row],[Zone]]&amp;"_"&amp;Tabelle7[[#This Row],[Raum]]&amp;"_"&amp;Tabelle7[[#This Row],[Bezeichnung]]</f>
        <v>#N/A</v>
      </c>
      <c r="K197">
        <v>5</v>
      </c>
      <c r="L197" t="e">
        <f>Tabelle7[[#This Row],[Hauptgruppe]]&amp;"/-/-"</f>
        <v>#N/A</v>
      </c>
      <c r="M197" t="e">
        <f ca="1">Tabelle7[[#This Row],[Hauptgruppe]]&amp;"/"&amp;Tabelle7[[#This Row],[Mittelgruppe]]&amp;"/-"</f>
        <v>#N/A</v>
      </c>
      <c r="N197" t="e">
        <f ca="1">Tabelle7[[#This Row],[Hauptgruppe]]&amp;"/"&amp;Tabelle7[[#This Row],[Mittelgruppe]]&amp;"/"&amp;Tabelle7[[#This Row],[Untergruppe]]</f>
        <v>#N/A</v>
      </c>
      <c r="O197" t="e">
        <f>INDEX(Tabelle6[Aktor],MATCH(Tabelle7[[#This Row],[Gesamtcode]],Tabelle6[Gesamtcode],0))&amp;" "&amp;INDEX(Tabelle6[Aktorkanal],MATCH(Tabelle7[[#This Row],[Gesamtcode]],Tabelle6[Gesamtcode],0))</f>
        <v>#N/A</v>
      </c>
    </row>
    <row r="198" spans="2:15" x14ac:dyDescent="0.25">
      <c r="B198" t="s">
        <v>300</v>
      </c>
      <c r="C198" t="e">
        <f>INDEX(Tabelle132[Zone],MATCH(Tabelle7[[#This Row],[Gesamtcode]],Tabelle132[Gesamtcode],0))</f>
        <v>#N/A</v>
      </c>
      <c r="D198" t="e">
        <f>INDEX(Tabelle132[Raum],MATCH(Tabelle7[[#This Row],[Gesamtcode]],Tabelle132[Gesamtcode],0))</f>
        <v>#N/A</v>
      </c>
      <c r="E198" t="e">
        <f>INDEX(Tabelle132[Bezeichnung],MATCH(Tabelle7[[#This Row],[Gesamtcode]],Tabelle132[Gesamtcode],0))</f>
        <v>#N/A</v>
      </c>
      <c r="F198" t="e">
        <f>"_"&amp;INDEX(Tabelle132[Geräte/Gewerke],MATCH(Tabelle7[[#This Row],[Gesamtcode]],Tabelle132[Gesamtcode],0))</f>
        <v>#N/A</v>
      </c>
      <c r="G198" t="e">
        <f>INDEX(Tabelle13[Gewerknr.],MATCH(Tabelle7[[#This Row],[Gewerke]],Tabelle13[Hauptgruppe],0))</f>
        <v>#N/A</v>
      </c>
      <c r="H198" t="s">
        <v>286</v>
      </c>
      <c r="I198" t="e">
        <f ca="1">INDEX(Tabelle134[Funktionsbereichsnr.],MATCH(Tabelle7[[#This Row],[Funktionsbereiche]],INDIRECT("Tabelle134["&amp;Tabelle7[[#This Row],[Gewerke]]&amp;"]"),0))</f>
        <v>#N/A</v>
      </c>
      <c r="J198" t="e">
        <f>Tabelle7[[#This Row],[Gesamtcode]]&amp;"_"&amp;Tabelle7[[#This Row],[Zone]]&amp;"_"&amp;Tabelle7[[#This Row],[Raum]]&amp;"_"&amp;Tabelle7[[#This Row],[Bezeichnung]]</f>
        <v>#N/A</v>
      </c>
      <c r="K198">
        <v>6</v>
      </c>
      <c r="L198" t="e">
        <f>Tabelle7[[#This Row],[Hauptgruppe]]&amp;"/-/-"</f>
        <v>#N/A</v>
      </c>
      <c r="M198" t="e">
        <f ca="1">Tabelle7[[#This Row],[Hauptgruppe]]&amp;"/"&amp;Tabelle7[[#This Row],[Mittelgruppe]]&amp;"/-"</f>
        <v>#N/A</v>
      </c>
      <c r="N198" t="e">
        <f ca="1">Tabelle7[[#This Row],[Hauptgruppe]]&amp;"/"&amp;Tabelle7[[#This Row],[Mittelgruppe]]&amp;"/"&amp;Tabelle7[[#This Row],[Untergruppe]]</f>
        <v>#N/A</v>
      </c>
      <c r="O198" t="e">
        <f>INDEX(Tabelle6[Aktor],MATCH(Tabelle7[[#This Row],[Gesamtcode]],Tabelle6[Gesamtcode],0))&amp;" "&amp;INDEX(Tabelle6[Aktorkanal],MATCH(Tabelle7[[#This Row],[Gesamtcode]],Tabelle6[Gesamtcode],0))</f>
        <v>#N/A</v>
      </c>
    </row>
    <row r="199" spans="2:15" x14ac:dyDescent="0.25">
      <c r="B199" t="s">
        <v>301</v>
      </c>
      <c r="C199" t="e">
        <f>INDEX(Tabelle132[Zone],MATCH(Tabelle7[[#This Row],[Gesamtcode]],Tabelle132[Gesamtcode],0))</f>
        <v>#N/A</v>
      </c>
      <c r="D199" t="e">
        <f>INDEX(Tabelle132[Raum],MATCH(Tabelle7[[#This Row],[Gesamtcode]],Tabelle132[Gesamtcode],0))</f>
        <v>#N/A</v>
      </c>
      <c r="E199" t="e">
        <f>INDEX(Tabelle132[Bezeichnung],MATCH(Tabelle7[[#This Row],[Gesamtcode]],Tabelle132[Gesamtcode],0))</f>
        <v>#N/A</v>
      </c>
      <c r="F199" t="e">
        <f>"_"&amp;INDEX(Tabelle132[Geräte/Gewerke],MATCH(Tabelle7[[#This Row],[Gesamtcode]],Tabelle132[Gesamtcode],0))</f>
        <v>#N/A</v>
      </c>
      <c r="G199" t="e">
        <f>INDEX(Tabelle13[Gewerknr.],MATCH(Tabelle7[[#This Row],[Gewerke]],Tabelle13[Hauptgruppe],0))</f>
        <v>#N/A</v>
      </c>
      <c r="H199" t="s">
        <v>286</v>
      </c>
      <c r="I199" t="e">
        <f ca="1">INDEX(Tabelle134[Funktionsbereichsnr.],MATCH(Tabelle7[[#This Row],[Funktionsbereiche]],INDIRECT("Tabelle134["&amp;Tabelle7[[#This Row],[Gewerke]]&amp;"]"),0))</f>
        <v>#N/A</v>
      </c>
      <c r="J199" t="e">
        <f>Tabelle7[[#This Row],[Gesamtcode]]&amp;"_"&amp;Tabelle7[[#This Row],[Zone]]&amp;"_"&amp;Tabelle7[[#This Row],[Raum]]&amp;"_"&amp;Tabelle7[[#This Row],[Bezeichnung]]</f>
        <v>#N/A</v>
      </c>
      <c r="K199">
        <v>7</v>
      </c>
      <c r="L199" t="e">
        <f>Tabelle7[[#This Row],[Hauptgruppe]]&amp;"/-/-"</f>
        <v>#N/A</v>
      </c>
      <c r="M199" t="e">
        <f ca="1">Tabelle7[[#This Row],[Hauptgruppe]]&amp;"/"&amp;Tabelle7[[#This Row],[Mittelgruppe]]&amp;"/-"</f>
        <v>#N/A</v>
      </c>
      <c r="N199" t="e">
        <f ca="1">Tabelle7[[#This Row],[Hauptgruppe]]&amp;"/"&amp;Tabelle7[[#This Row],[Mittelgruppe]]&amp;"/"&amp;Tabelle7[[#This Row],[Untergruppe]]</f>
        <v>#N/A</v>
      </c>
      <c r="O199" t="e">
        <f>INDEX(Tabelle6[Aktor],MATCH(Tabelle7[[#This Row],[Gesamtcode]],Tabelle6[Gesamtcode],0))&amp;" "&amp;INDEX(Tabelle6[Aktorkanal],MATCH(Tabelle7[[#This Row],[Gesamtcode]],Tabelle6[Gesamtcode],0))</f>
        <v>#N/A</v>
      </c>
    </row>
    <row r="200" spans="2:15" x14ac:dyDescent="0.25">
      <c r="B200" t="s">
        <v>302</v>
      </c>
      <c r="C200" t="e">
        <f>INDEX(Tabelle132[Zone],MATCH(Tabelle7[[#This Row],[Gesamtcode]],Tabelle132[Gesamtcode],0))</f>
        <v>#N/A</v>
      </c>
      <c r="D200" t="e">
        <f>INDEX(Tabelle132[Raum],MATCH(Tabelle7[[#This Row],[Gesamtcode]],Tabelle132[Gesamtcode],0))</f>
        <v>#N/A</v>
      </c>
      <c r="E200" t="e">
        <f>INDEX(Tabelle132[Bezeichnung],MATCH(Tabelle7[[#This Row],[Gesamtcode]],Tabelle132[Gesamtcode],0))</f>
        <v>#N/A</v>
      </c>
      <c r="F200" t="e">
        <f>"_"&amp;INDEX(Tabelle132[Geräte/Gewerke],MATCH(Tabelle7[[#This Row],[Gesamtcode]],Tabelle132[Gesamtcode],0))</f>
        <v>#N/A</v>
      </c>
      <c r="G200" t="e">
        <f>INDEX(Tabelle13[Gewerknr.],MATCH(Tabelle7[[#This Row],[Gewerke]],Tabelle13[Hauptgruppe],0))</f>
        <v>#N/A</v>
      </c>
      <c r="H200" t="s">
        <v>286</v>
      </c>
      <c r="I200" t="e">
        <f ca="1">INDEX(Tabelle134[Funktionsbereichsnr.],MATCH(Tabelle7[[#This Row],[Funktionsbereiche]],INDIRECT("Tabelle134["&amp;Tabelle7[[#This Row],[Gewerke]]&amp;"]"),0))</f>
        <v>#N/A</v>
      </c>
      <c r="J200" t="e">
        <f>Tabelle7[[#This Row],[Gesamtcode]]&amp;"_"&amp;Tabelle7[[#This Row],[Zone]]&amp;"_"&amp;Tabelle7[[#This Row],[Raum]]&amp;"_"&amp;Tabelle7[[#This Row],[Bezeichnung]]</f>
        <v>#N/A</v>
      </c>
      <c r="K200">
        <v>8</v>
      </c>
      <c r="L200" t="e">
        <f>Tabelle7[[#This Row],[Hauptgruppe]]&amp;"/-/-"</f>
        <v>#N/A</v>
      </c>
      <c r="M200" t="e">
        <f ca="1">Tabelle7[[#This Row],[Hauptgruppe]]&amp;"/"&amp;Tabelle7[[#This Row],[Mittelgruppe]]&amp;"/-"</f>
        <v>#N/A</v>
      </c>
      <c r="N200" t="e">
        <f ca="1">Tabelle7[[#This Row],[Hauptgruppe]]&amp;"/"&amp;Tabelle7[[#This Row],[Mittelgruppe]]&amp;"/"&amp;Tabelle7[[#This Row],[Untergruppe]]</f>
        <v>#N/A</v>
      </c>
      <c r="O200" t="e">
        <f>INDEX(Tabelle6[Aktor],MATCH(Tabelle7[[#This Row],[Gesamtcode]],Tabelle6[Gesamtcode],0))&amp;" "&amp;INDEX(Tabelle6[Aktorkanal],MATCH(Tabelle7[[#This Row],[Gesamtcode]],Tabelle6[Gesamtcode],0))</f>
        <v>#N/A</v>
      </c>
    </row>
    <row r="201" spans="2:15" x14ac:dyDescent="0.25">
      <c r="B201" t="s">
        <v>303</v>
      </c>
      <c r="C201" t="e">
        <f>INDEX(Tabelle132[Zone],MATCH(Tabelle7[[#This Row],[Gesamtcode]],Tabelle132[Gesamtcode],0))</f>
        <v>#N/A</v>
      </c>
      <c r="D201" t="e">
        <f>INDEX(Tabelle132[Raum],MATCH(Tabelle7[[#This Row],[Gesamtcode]],Tabelle132[Gesamtcode],0))</f>
        <v>#N/A</v>
      </c>
      <c r="E201" t="e">
        <f>INDEX(Tabelle132[Bezeichnung],MATCH(Tabelle7[[#This Row],[Gesamtcode]],Tabelle132[Gesamtcode],0))</f>
        <v>#N/A</v>
      </c>
      <c r="F201" t="e">
        <f>"_"&amp;INDEX(Tabelle132[Geräte/Gewerke],MATCH(Tabelle7[[#This Row],[Gesamtcode]],Tabelle132[Gesamtcode],0))</f>
        <v>#N/A</v>
      </c>
      <c r="G201" t="e">
        <f>INDEX(Tabelle13[Gewerknr.],MATCH(Tabelle7[[#This Row],[Gewerke]],Tabelle13[Hauptgruppe],0))</f>
        <v>#N/A</v>
      </c>
      <c r="H201" t="s">
        <v>286</v>
      </c>
      <c r="I201" t="e">
        <f ca="1">INDEX(Tabelle134[Funktionsbereichsnr.],MATCH(Tabelle7[[#This Row],[Funktionsbereiche]],INDIRECT("Tabelle134["&amp;Tabelle7[[#This Row],[Gewerke]]&amp;"]"),0))</f>
        <v>#N/A</v>
      </c>
      <c r="J201" t="e">
        <f>Tabelle7[[#This Row],[Gesamtcode]]&amp;"_"&amp;Tabelle7[[#This Row],[Zone]]&amp;"_"&amp;Tabelle7[[#This Row],[Raum]]&amp;"_"&amp;Tabelle7[[#This Row],[Bezeichnung]]</f>
        <v>#N/A</v>
      </c>
      <c r="K201">
        <v>9</v>
      </c>
      <c r="L201" t="e">
        <f>Tabelle7[[#This Row],[Hauptgruppe]]&amp;"/-/-"</f>
        <v>#N/A</v>
      </c>
      <c r="M201" t="e">
        <f ca="1">Tabelle7[[#This Row],[Hauptgruppe]]&amp;"/"&amp;Tabelle7[[#This Row],[Mittelgruppe]]&amp;"/-"</f>
        <v>#N/A</v>
      </c>
      <c r="N201" t="e">
        <f ca="1">Tabelle7[[#This Row],[Hauptgruppe]]&amp;"/"&amp;Tabelle7[[#This Row],[Mittelgruppe]]&amp;"/"&amp;Tabelle7[[#This Row],[Untergruppe]]</f>
        <v>#N/A</v>
      </c>
      <c r="O201" t="e">
        <f>INDEX(Tabelle6[Aktor],MATCH(Tabelle7[[#This Row],[Gesamtcode]],Tabelle6[Gesamtcode],0))&amp;" "&amp;INDEX(Tabelle6[Aktorkanal],MATCH(Tabelle7[[#This Row],[Gesamtcode]],Tabelle6[Gesamtcode],0))</f>
        <v>#N/A</v>
      </c>
    </row>
    <row r="202" spans="2:15" x14ac:dyDescent="0.25">
      <c r="B202" t="s">
        <v>281</v>
      </c>
      <c r="C202" t="e">
        <f>INDEX(Tabelle132[Zone],MATCH(Tabelle7[[#This Row],[Gesamtcode]],Tabelle132[Gesamtcode],0))</f>
        <v>#N/A</v>
      </c>
      <c r="D202" t="e">
        <f>INDEX(Tabelle132[Raum],MATCH(Tabelle7[[#This Row],[Gesamtcode]],Tabelle132[Gesamtcode],0))</f>
        <v>#N/A</v>
      </c>
      <c r="E202" t="e">
        <f>INDEX(Tabelle132[Bezeichnung],MATCH(Tabelle7[[#This Row],[Gesamtcode]],Tabelle132[Gesamtcode],0))</f>
        <v>#N/A</v>
      </c>
      <c r="F202" t="e">
        <f>"_"&amp;INDEX(Tabelle132[Geräte/Gewerke],MATCH(Tabelle7[[#This Row],[Gesamtcode]],Tabelle132[Gesamtcode],0))</f>
        <v>#N/A</v>
      </c>
      <c r="G202" t="e">
        <f>INDEX(Tabelle13[Gewerknr.],MATCH(Tabelle7[[#This Row],[Gewerke]],Tabelle13[Hauptgruppe],0))</f>
        <v>#N/A</v>
      </c>
      <c r="H202" t="s">
        <v>304</v>
      </c>
      <c r="I202" t="e">
        <f ca="1">INDEX(Tabelle134[Funktionsbereichsnr.],MATCH(Tabelle7[[#This Row],[Funktionsbereiche]],INDIRECT("Tabelle134["&amp;Tabelle7[[#This Row],[Gewerke]]&amp;"]"),0))</f>
        <v>#N/A</v>
      </c>
      <c r="J202" t="e">
        <f>Tabelle7[[#This Row],[Gesamtcode]]&amp;"_"&amp;Tabelle7[[#This Row],[Zone]]&amp;"_"&amp;Tabelle7[[#This Row],[Raum]]&amp;"_"&amp;Tabelle7[[#This Row],[Bezeichnung]]</f>
        <v>#N/A</v>
      </c>
      <c r="K202">
        <v>0</v>
      </c>
      <c r="L202" t="e">
        <f>Tabelle7[[#This Row],[Hauptgruppe]]&amp;"/-/-"</f>
        <v>#N/A</v>
      </c>
      <c r="M202" t="e">
        <f ca="1">Tabelle7[[#This Row],[Hauptgruppe]]&amp;"/"&amp;Tabelle7[[#This Row],[Mittelgruppe]]&amp;"/-"</f>
        <v>#N/A</v>
      </c>
      <c r="N202" t="e">
        <f ca="1">Tabelle7[[#This Row],[Hauptgruppe]]&amp;"/"&amp;Tabelle7[[#This Row],[Mittelgruppe]]&amp;"/"&amp;Tabelle7[[#This Row],[Untergruppe]]</f>
        <v>#N/A</v>
      </c>
      <c r="O202" t="e">
        <f>INDEX(Tabelle6[Aktor],MATCH(Tabelle7[[#This Row],[Gesamtcode]],Tabelle6[Gesamtcode],0))&amp;" "&amp;INDEX(Tabelle6[Aktorkanal],MATCH(Tabelle7[[#This Row],[Gesamtcode]],Tabelle6[Gesamtcode],0))</f>
        <v>#N/A</v>
      </c>
    </row>
    <row r="203" spans="2:15" x14ac:dyDescent="0.25">
      <c r="B203" t="s">
        <v>282</v>
      </c>
      <c r="C203" t="e">
        <f>INDEX(Tabelle132[Zone],MATCH(Tabelle7[[#This Row],[Gesamtcode]],Tabelle132[Gesamtcode],0))</f>
        <v>#N/A</v>
      </c>
      <c r="D203" t="e">
        <f>INDEX(Tabelle132[Raum],MATCH(Tabelle7[[#This Row],[Gesamtcode]],Tabelle132[Gesamtcode],0))</f>
        <v>#N/A</v>
      </c>
      <c r="E203" t="e">
        <f>INDEX(Tabelle132[Bezeichnung],MATCH(Tabelle7[[#This Row],[Gesamtcode]],Tabelle132[Gesamtcode],0))</f>
        <v>#N/A</v>
      </c>
      <c r="F203" t="e">
        <f>"_"&amp;INDEX(Tabelle132[Geräte/Gewerke],MATCH(Tabelle7[[#This Row],[Gesamtcode]],Tabelle132[Gesamtcode],0))</f>
        <v>#N/A</v>
      </c>
      <c r="G203" t="e">
        <f>INDEX(Tabelle13[Gewerknr.],MATCH(Tabelle7[[#This Row],[Gewerke]],Tabelle13[Hauptgruppe],0))</f>
        <v>#N/A</v>
      </c>
      <c r="H203" t="s">
        <v>304</v>
      </c>
      <c r="I203" t="e">
        <f ca="1">INDEX(Tabelle134[Funktionsbereichsnr.],MATCH(Tabelle7[[#This Row],[Funktionsbereiche]],INDIRECT("Tabelle134["&amp;Tabelle7[[#This Row],[Gewerke]]&amp;"]"),0))</f>
        <v>#N/A</v>
      </c>
      <c r="J203" t="e">
        <f>Tabelle7[[#This Row],[Gesamtcode]]&amp;"_"&amp;Tabelle7[[#This Row],[Zone]]&amp;"_"&amp;Tabelle7[[#This Row],[Raum]]&amp;"_"&amp;Tabelle7[[#This Row],[Bezeichnung]]</f>
        <v>#N/A</v>
      </c>
      <c r="K203">
        <v>1</v>
      </c>
      <c r="L203" t="e">
        <f>Tabelle7[[#This Row],[Hauptgruppe]]&amp;"/-/-"</f>
        <v>#N/A</v>
      </c>
      <c r="M203" t="e">
        <f ca="1">Tabelle7[[#This Row],[Hauptgruppe]]&amp;"/"&amp;Tabelle7[[#This Row],[Mittelgruppe]]&amp;"/-"</f>
        <v>#N/A</v>
      </c>
      <c r="N203" t="e">
        <f ca="1">Tabelle7[[#This Row],[Hauptgruppe]]&amp;"/"&amp;Tabelle7[[#This Row],[Mittelgruppe]]&amp;"/"&amp;Tabelle7[[#This Row],[Untergruppe]]</f>
        <v>#N/A</v>
      </c>
      <c r="O203" t="e">
        <f>INDEX(Tabelle6[Aktor],MATCH(Tabelle7[[#This Row],[Gesamtcode]],Tabelle6[Gesamtcode],0))&amp;" "&amp;INDEX(Tabelle6[Aktorkanal],MATCH(Tabelle7[[#This Row],[Gesamtcode]],Tabelle6[Gesamtcode],0))</f>
        <v>#N/A</v>
      </c>
    </row>
    <row r="204" spans="2:15" x14ac:dyDescent="0.25">
      <c r="B204" t="s">
        <v>283</v>
      </c>
      <c r="C204" t="e">
        <f>INDEX(Tabelle132[Zone],MATCH(Tabelle7[[#This Row],[Gesamtcode]],Tabelle132[Gesamtcode],0))</f>
        <v>#N/A</v>
      </c>
      <c r="D204" t="e">
        <f>INDEX(Tabelle132[Raum],MATCH(Tabelle7[[#This Row],[Gesamtcode]],Tabelle132[Gesamtcode],0))</f>
        <v>#N/A</v>
      </c>
      <c r="E204" t="e">
        <f>INDEX(Tabelle132[Bezeichnung],MATCH(Tabelle7[[#This Row],[Gesamtcode]],Tabelle132[Gesamtcode],0))</f>
        <v>#N/A</v>
      </c>
      <c r="F204" t="e">
        <f>"_"&amp;INDEX(Tabelle132[Geräte/Gewerke],MATCH(Tabelle7[[#This Row],[Gesamtcode]],Tabelle132[Gesamtcode],0))</f>
        <v>#N/A</v>
      </c>
      <c r="G204" t="e">
        <f>INDEX(Tabelle13[Gewerknr.],MATCH(Tabelle7[[#This Row],[Gewerke]],Tabelle13[Hauptgruppe],0))</f>
        <v>#N/A</v>
      </c>
      <c r="H204" t="s">
        <v>304</v>
      </c>
      <c r="I204" t="e">
        <f ca="1">INDEX(Tabelle134[Funktionsbereichsnr.],MATCH(Tabelle7[[#This Row],[Funktionsbereiche]],INDIRECT("Tabelle134["&amp;Tabelle7[[#This Row],[Gewerke]]&amp;"]"),0))</f>
        <v>#N/A</v>
      </c>
      <c r="J204" t="e">
        <f>Tabelle7[[#This Row],[Gesamtcode]]&amp;"_"&amp;Tabelle7[[#This Row],[Zone]]&amp;"_"&amp;Tabelle7[[#This Row],[Raum]]&amp;"_"&amp;Tabelle7[[#This Row],[Bezeichnung]]</f>
        <v>#N/A</v>
      </c>
      <c r="K204">
        <v>10</v>
      </c>
      <c r="L204" t="e">
        <f>Tabelle7[[#This Row],[Hauptgruppe]]&amp;"/-/-"</f>
        <v>#N/A</v>
      </c>
      <c r="M204" t="e">
        <f ca="1">Tabelle7[[#This Row],[Hauptgruppe]]&amp;"/"&amp;Tabelle7[[#This Row],[Mittelgruppe]]&amp;"/-"</f>
        <v>#N/A</v>
      </c>
      <c r="N204" t="e">
        <f ca="1">Tabelle7[[#This Row],[Hauptgruppe]]&amp;"/"&amp;Tabelle7[[#This Row],[Mittelgruppe]]&amp;"/"&amp;Tabelle7[[#This Row],[Untergruppe]]</f>
        <v>#N/A</v>
      </c>
      <c r="O204" t="e">
        <f>INDEX(Tabelle6[Aktor],MATCH(Tabelle7[[#This Row],[Gesamtcode]],Tabelle6[Gesamtcode],0))&amp;" "&amp;INDEX(Tabelle6[Aktorkanal],MATCH(Tabelle7[[#This Row],[Gesamtcode]],Tabelle6[Gesamtcode],0))</f>
        <v>#N/A</v>
      </c>
    </row>
    <row r="205" spans="2:15" x14ac:dyDescent="0.25">
      <c r="B205" t="s">
        <v>284</v>
      </c>
      <c r="C205" t="e">
        <f>INDEX(Tabelle132[Zone],MATCH(Tabelle7[[#This Row],[Gesamtcode]],Tabelle132[Gesamtcode],0))</f>
        <v>#N/A</v>
      </c>
      <c r="D205" t="e">
        <f>INDEX(Tabelle132[Raum],MATCH(Tabelle7[[#This Row],[Gesamtcode]],Tabelle132[Gesamtcode],0))</f>
        <v>#N/A</v>
      </c>
      <c r="E205" t="e">
        <f>INDEX(Tabelle132[Bezeichnung],MATCH(Tabelle7[[#This Row],[Gesamtcode]],Tabelle132[Gesamtcode],0))</f>
        <v>#N/A</v>
      </c>
      <c r="F205" t="e">
        <f>"_"&amp;INDEX(Tabelle132[Geräte/Gewerke],MATCH(Tabelle7[[#This Row],[Gesamtcode]],Tabelle132[Gesamtcode],0))</f>
        <v>#N/A</v>
      </c>
      <c r="G205" t="e">
        <f>INDEX(Tabelle13[Gewerknr.],MATCH(Tabelle7[[#This Row],[Gewerke]],Tabelle13[Hauptgruppe],0))</f>
        <v>#N/A</v>
      </c>
      <c r="H205" t="s">
        <v>304</v>
      </c>
      <c r="I205" t="e">
        <f ca="1">INDEX(Tabelle134[Funktionsbereichsnr.],MATCH(Tabelle7[[#This Row],[Funktionsbereiche]],INDIRECT("Tabelle134["&amp;Tabelle7[[#This Row],[Gewerke]]&amp;"]"),0))</f>
        <v>#N/A</v>
      </c>
      <c r="J205" t="e">
        <f>Tabelle7[[#This Row],[Gesamtcode]]&amp;"_"&amp;Tabelle7[[#This Row],[Zone]]&amp;"_"&amp;Tabelle7[[#This Row],[Raum]]&amp;"_"&amp;Tabelle7[[#This Row],[Bezeichnung]]</f>
        <v>#N/A</v>
      </c>
      <c r="K205">
        <v>11</v>
      </c>
      <c r="L205" t="e">
        <f>Tabelle7[[#This Row],[Hauptgruppe]]&amp;"/-/-"</f>
        <v>#N/A</v>
      </c>
      <c r="M205" t="e">
        <f ca="1">Tabelle7[[#This Row],[Hauptgruppe]]&amp;"/"&amp;Tabelle7[[#This Row],[Mittelgruppe]]&amp;"/-"</f>
        <v>#N/A</v>
      </c>
      <c r="N205" t="e">
        <f ca="1">Tabelle7[[#This Row],[Hauptgruppe]]&amp;"/"&amp;Tabelle7[[#This Row],[Mittelgruppe]]&amp;"/"&amp;Tabelle7[[#This Row],[Untergruppe]]</f>
        <v>#N/A</v>
      </c>
      <c r="O205" t="e">
        <f>INDEX(Tabelle6[Aktor],MATCH(Tabelle7[[#This Row],[Gesamtcode]],Tabelle6[Gesamtcode],0))&amp;" "&amp;INDEX(Tabelle6[Aktorkanal],MATCH(Tabelle7[[#This Row],[Gesamtcode]],Tabelle6[Gesamtcode],0))</f>
        <v>#N/A</v>
      </c>
    </row>
    <row r="206" spans="2:15" x14ac:dyDescent="0.25">
      <c r="B206" t="s">
        <v>285</v>
      </c>
      <c r="C206" t="e">
        <f>INDEX(Tabelle132[Zone],MATCH(Tabelle7[[#This Row],[Gesamtcode]],Tabelle132[Gesamtcode],0))</f>
        <v>#N/A</v>
      </c>
      <c r="D206" t="e">
        <f>INDEX(Tabelle132[Raum],MATCH(Tabelle7[[#This Row],[Gesamtcode]],Tabelle132[Gesamtcode],0))</f>
        <v>#N/A</v>
      </c>
      <c r="E206" t="e">
        <f>INDEX(Tabelle132[Bezeichnung],MATCH(Tabelle7[[#This Row],[Gesamtcode]],Tabelle132[Gesamtcode],0))</f>
        <v>#N/A</v>
      </c>
      <c r="F206" t="e">
        <f>"_"&amp;INDEX(Tabelle132[Geräte/Gewerke],MATCH(Tabelle7[[#This Row],[Gesamtcode]],Tabelle132[Gesamtcode],0))</f>
        <v>#N/A</v>
      </c>
      <c r="G206" t="e">
        <f>INDEX(Tabelle13[Gewerknr.],MATCH(Tabelle7[[#This Row],[Gewerke]],Tabelle13[Hauptgruppe],0))</f>
        <v>#N/A</v>
      </c>
      <c r="H206" t="s">
        <v>306</v>
      </c>
      <c r="I206" t="e">
        <f ca="1">INDEX(Tabelle134[Funktionsbereichsnr.],MATCH(Tabelle7[[#This Row],[Funktionsbereiche]],INDIRECT("Tabelle134["&amp;Tabelle7[[#This Row],[Gewerke]]&amp;"]"),0))</f>
        <v>#N/A</v>
      </c>
      <c r="J206" t="e">
        <f>Tabelle7[[#This Row],[Gesamtcode]]&amp;"_"&amp;Tabelle7[[#This Row],[Zone]]&amp;"_"&amp;Tabelle7[[#This Row],[Raum]]&amp;"_"&amp;Tabelle7[[#This Row],[Bezeichnung]]</f>
        <v>#N/A</v>
      </c>
      <c r="K206">
        <v>12</v>
      </c>
      <c r="L206" t="e">
        <f>Tabelle7[[#This Row],[Hauptgruppe]]&amp;"/-/-"</f>
        <v>#N/A</v>
      </c>
      <c r="M206" t="e">
        <f ca="1">Tabelle7[[#This Row],[Hauptgruppe]]&amp;"/"&amp;Tabelle7[[#This Row],[Mittelgruppe]]&amp;"/-"</f>
        <v>#N/A</v>
      </c>
      <c r="N206" t="e">
        <f ca="1">Tabelle7[[#This Row],[Hauptgruppe]]&amp;"/"&amp;Tabelle7[[#This Row],[Mittelgruppe]]&amp;"/"&amp;Tabelle7[[#This Row],[Untergruppe]]</f>
        <v>#N/A</v>
      </c>
      <c r="O206" t="e">
        <f>INDEX(Tabelle6[Aktor],MATCH(Tabelle7[[#This Row],[Gesamtcode]],Tabelle6[Gesamtcode],0))&amp;" "&amp;INDEX(Tabelle6[Aktorkanal],MATCH(Tabelle7[[#This Row],[Gesamtcode]],Tabelle6[Gesamtcode],0))</f>
        <v>#N/A</v>
      </c>
    </row>
    <row r="207" spans="2:15" x14ac:dyDescent="0.25">
      <c r="B207" t="s">
        <v>285</v>
      </c>
      <c r="C207" t="e">
        <f>INDEX(Tabelle132[Zone],MATCH(Tabelle7[[#This Row],[Gesamtcode]],Tabelle132[Gesamtcode],0))</f>
        <v>#N/A</v>
      </c>
      <c r="D207" t="e">
        <f>INDEX(Tabelle132[Raum],MATCH(Tabelle7[[#This Row],[Gesamtcode]],Tabelle132[Gesamtcode],0))</f>
        <v>#N/A</v>
      </c>
      <c r="E207" t="e">
        <f>INDEX(Tabelle132[Bezeichnung],MATCH(Tabelle7[[#This Row],[Gesamtcode]],Tabelle132[Gesamtcode],0))</f>
        <v>#N/A</v>
      </c>
      <c r="F207" t="e">
        <f>"_"&amp;INDEX(Tabelle132[Geräte/Gewerke],MATCH(Tabelle7[[#This Row],[Gesamtcode]],Tabelle132[Gesamtcode],0))</f>
        <v>#N/A</v>
      </c>
      <c r="G207" t="e">
        <f>INDEX(Tabelle13[Gewerknr.],MATCH(Tabelle7[[#This Row],[Gewerke]],Tabelle13[Hauptgruppe],0))</f>
        <v>#N/A</v>
      </c>
      <c r="H207" t="s">
        <v>307</v>
      </c>
      <c r="I207" t="e">
        <f ca="1">INDEX(Tabelle134[Funktionsbereichsnr.],MATCH(Tabelle7[[#This Row],[Funktionsbereiche]],INDIRECT("Tabelle134["&amp;Tabelle7[[#This Row],[Gewerke]]&amp;"]"),0))</f>
        <v>#N/A</v>
      </c>
      <c r="J207" t="e">
        <f>Tabelle7[[#This Row],[Gesamtcode]]&amp;"_"&amp;Tabelle7[[#This Row],[Zone]]&amp;"_"&amp;Tabelle7[[#This Row],[Raum]]&amp;"_"&amp;Tabelle7[[#This Row],[Bezeichnung]]</f>
        <v>#N/A</v>
      </c>
      <c r="K207">
        <v>12</v>
      </c>
      <c r="L207" t="e">
        <f>Tabelle7[[#This Row],[Hauptgruppe]]&amp;"/-/-"</f>
        <v>#N/A</v>
      </c>
      <c r="M207" t="e">
        <f ca="1">Tabelle7[[#This Row],[Hauptgruppe]]&amp;"/"&amp;Tabelle7[[#This Row],[Mittelgruppe]]&amp;"/-"</f>
        <v>#N/A</v>
      </c>
      <c r="N207" t="e">
        <f ca="1">Tabelle7[[#This Row],[Hauptgruppe]]&amp;"/"&amp;Tabelle7[[#This Row],[Mittelgruppe]]&amp;"/"&amp;Tabelle7[[#This Row],[Untergruppe]]</f>
        <v>#N/A</v>
      </c>
      <c r="O207" t="e">
        <f>INDEX(Tabelle6[Aktor],MATCH(Tabelle7[[#This Row],[Gesamtcode]],Tabelle6[Gesamtcode],0))&amp;" "&amp;INDEX(Tabelle6[Aktorkanal],MATCH(Tabelle7[[#This Row],[Gesamtcode]],Tabelle6[Gesamtcode],0))</f>
        <v>#N/A</v>
      </c>
    </row>
    <row r="208" spans="2:15" x14ac:dyDescent="0.25">
      <c r="B208" t="s">
        <v>287</v>
      </c>
      <c r="C208" t="e">
        <f>INDEX(Tabelle132[Zone],MATCH(Tabelle7[[#This Row],[Gesamtcode]],Tabelle132[Gesamtcode],0))</f>
        <v>#N/A</v>
      </c>
      <c r="D208" t="e">
        <f>INDEX(Tabelle132[Raum],MATCH(Tabelle7[[#This Row],[Gesamtcode]],Tabelle132[Gesamtcode],0))</f>
        <v>#N/A</v>
      </c>
      <c r="E208" t="e">
        <f>INDEX(Tabelle132[Bezeichnung],MATCH(Tabelle7[[#This Row],[Gesamtcode]],Tabelle132[Gesamtcode],0))</f>
        <v>#N/A</v>
      </c>
      <c r="F208" t="e">
        <f>"_"&amp;INDEX(Tabelle132[Geräte/Gewerke],MATCH(Tabelle7[[#This Row],[Gesamtcode]],Tabelle132[Gesamtcode],0))</f>
        <v>#N/A</v>
      </c>
      <c r="G208" t="e">
        <f>INDEX(Tabelle13[Gewerknr.],MATCH(Tabelle7[[#This Row],[Gewerke]],Tabelle13[Hauptgruppe],0))</f>
        <v>#N/A</v>
      </c>
      <c r="H208" t="s">
        <v>304</v>
      </c>
      <c r="I208" t="e">
        <f ca="1">INDEX(Tabelle134[Funktionsbereichsnr.],MATCH(Tabelle7[[#This Row],[Funktionsbereiche]],INDIRECT("Tabelle134["&amp;Tabelle7[[#This Row],[Gewerke]]&amp;"]"),0))</f>
        <v>#N/A</v>
      </c>
      <c r="J208" t="e">
        <f>Tabelle7[[#This Row],[Gesamtcode]]&amp;"_"&amp;Tabelle7[[#This Row],[Zone]]&amp;"_"&amp;Tabelle7[[#This Row],[Raum]]&amp;"_"&amp;Tabelle7[[#This Row],[Bezeichnung]]</f>
        <v>#N/A</v>
      </c>
      <c r="K208">
        <v>14</v>
      </c>
      <c r="L208" t="e">
        <f>Tabelle7[[#This Row],[Hauptgruppe]]&amp;"/-/-"</f>
        <v>#N/A</v>
      </c>
      <c r="M208" t="e">
        <f ca="1">Tabelle7[[#This Row],[Hauptgruppe]]&amp;"/"&amp;Tabelle7[[#This Row],[Mittelgruppe]]&amp;"/-"</f>
        <v>#N/A</v>
      </c>
      <c r="N208" t="e">
        <f ca="1">Tabelle7[[#This Row],[Hauptgruppe]]&amp;"/"&amp;Tabelle7[[#This Row],[Mittelgruppe]]&amp;"/"&amp;Tabelle7[[#This Row],[Untergruppe]]</f>
        <v>#N/A</v>
      </c>
      <c r="O208" t="e">
        <f>INDEX(Tabelle6[Aktor],MATCH(Tabelle7[[#This Row],[Gesamtcode]],Tabelle6[Gesamtcode],0))&amp;" "&amp;INDEX(Tabelle6[Aktorkanal],MATCH(Tabelle7[[#This Row],[Gesamtcode]],Tabelle6[Gesamtcode],0))</f>
        <v>#N/A</v>
      </c>
    </row>
    <row r="209" spans="2:15" x14ac:dyDescent="0.25">
      <c r="B209" t="s">
        <v>288</v>
      </c>
      <c r="C209" t="e">
        <f>INDEX(Tabelle132[Zone],MATCH(Tabelle7[[#This Row],[Gesamtcode]],Tabelle132[Gesamtcode],0))</f>
        <v>#N/A</v>
      </c>
      <c r="D209" t="e">
        <f>INDEX(Tabelle132[Raum],MATCH(Tabelle7[[#This Row],[Gesamtcode]],Tabelle132[Gesamtcode],0))</f>
        <v>#N/A</v>
      </c>
      <c r="E209" t="e">
        <f>INDEX(Tabelle132[Bezeichnung],MATCH(Tabelle7[[#This Row],[Gesamtcode]],Tabelle132[Gesamtcode],0))</f>
        <v>#N/A</v>
      </c>
      <c r="F209" t="e">
        <f>"_"&amp;INDEX(Tabelle132[Geräte/Gewerke],MATCH(Tabelle7[[#This Row],[Gesamtcode]],Tabelle132[Gesamtcode],0))</f>
        <v>#N/A</v>
      </c>
      <c r="G209" t="e">
        <f>INDEX(Tabelle13[Gewerknr.],MATCH(Tabelle7[[#This Row],[Gewerke]],Tabelle13[Hauptgruppe],0))</f>
        <v>#N/A</v>
      </c>
      <c r="H209" t="s">
        <v>304</v>
      </c>
      <c r="I209" t="e">
        <f ca="1">INDEX(Tabelle134[Funktionsbereichsnr.],MATCH(Tabelle7[[#This Row],[Funktionsbereiche]],INDIRECT("Tabelle134["&amp;Tabelle7[[#This Row],[Gewerke]]&amp;"]"),0))</f>
        <v>#N/A</v>
      </c>
      <c r="J209" t="e">
        <f>Tabelle7[[#This Row],[Gesamtcode]]&amp;"_"&amp;Tabelle7[[#This Row],[Zone]]&amp;"_"&amp;Tabelle7[[#This Row],[Raum]]&amp;"_"&amp;Tabelle7[[#This Row],[Bezeichnung]]</f>
        <v>#N/A</v>
      </c>
      <c r="K209">
        <v>15</v>
      </c>
      <c r="L209" t="e">
        <f>Tabelle7[[#This Row],[Hauptgruppe]]&amp;"/-/-"</f>
        <v>#N/A</v>
      </c>
      <c r="M209" t="e">
        <f ca="1">Tabelle7[[#This Row],[Hauptgruppe]]&amp;"/"&amp;Tabelle7[[#This Row],[Mittelgruppe]]&amp;"/-"</f>
        <v>#N/A</v>
      </c>
      <c r="N209" t="e">
        <f ca="1">Tabelle7[[#This Row],[Hauptgruppe]]&amp;"/"&amp;Tabelle7[[#This Row],[Mittelgruppe]]&amp;"/"&amp;Tabelle7[[#This Row],[Untergruppe]]</f>
        <v>#N/A</v>
      </c>
      <c r="O209" t="e">
        <f>INDEX(Tabelle6[Aktor],MATCH(Tabelle7[[#This Row],[Gesamtcode]],Tabelle6[Gesamtcode],0))&amp;" "&amp;INDEX(Tabelle6[Aktorkanal],MATCH(Tabelle7[[#This Row],[Gesamtcode]],Tabelle6[Gesamtcode],0))</f>
        <v>#N/A</v>
      </c>
    </row>
    <row r="210" spans="2:15" x14ac:dyDescent="0.25">
      <c r="B210" t="s">
        <v>289</v>
      </c>
      <c r="C210" t="e">
        <f>INDEX(Tabelle132[Zone],MATCH(Tabelle7[[#This Row],[Gesamtcode]],Tabelle132[Gesamtcode],0))</f>
        <v>#N/A</v>
      </c>
      <c r="D210" t="e">
        <f>INDEX(Tabelle132[Raum],MATCH(Tabelle7[[#This Row],[Gesamtcode]],Tabelle132[Gesamtcode],0))</f>
        <v>#N/A</v>
      </c>
      <c r="E210" t="e">
        <f>INDEX(Tabelle132[Bezeichnung],MATCH(Tabelle7[[#This Row],[Gesamtcode]],Tabelle132[Gesamtcode],0))</f>
        <v>#N/A</v>
      </c>
      <c r="F210" t="e">
        <f>"_"&amp;INDEX(Tabelle132[Geräte/Gewerke],MATCH(Tabelle7[[#This Row],[Gesamtcode]],Tabelle132[Gesamtcode],0))</f>
        <v>#N/A</v>
      </c>
      <c r="G210" t="e">
        <f>INDEX(Tabelle13[Gewerknr.],MATCH(Tabelle7[[#This Row],[Gewerke]],Tabelle13[Hauptgruppe],0))</f>
        <v>#N/A</v>
      </c>
      <c r="H210" t="s">
        <v>304</v>
      </c>
      <c r="I210" t="e">
        <f ca="1">INDEX(Tabelle134[Funktionsbereichsnr.],MATCH(Tabelle7[[#This Row],[Funktionsbereiche]],INDIRECT("Tabelle134["&amp;Tabelle7[[#This Row],[Gewerke]]&amp;"]"),0))</f>
        <v>#N/A</v>
      </c>
      <c r="J210" t="e">
        <f>Tabelle7[[#This Row],[Gesamtcode]]&amp;"_"&amp;Tabelle7[[#This Row],[Zone]]&amp;"_"&amp;Tabelle7[[#This Row],[Raum]]&amp;"_"&amp;Tabelle7[[#This Row],[Bezeichnung]]</f>
        <v>#N/A</v>
      </c>
      <c r="K210">
        <v>16</v>
      </c>
      <c r="L210" t="e">
        <f>Tabelle7[[#This Row],[Hauptgruppe]]&amp;"/-/-"</f>
        <v>#N/A</v>
      </c>
      <c r="M210" t="e">
        <f ca="1">Tabelle7[[#This Row],[Hauptgruppe]]&amp;"/"&amp;Tabelle7[[#This Row],[Mittelgruppe]]&amp;"/-"</f>
        <v>#N/A</v>
      </c>
      <c r="N210" t="e">
        <f ca="1">Tabelle7[[#This Row],[Hauptgruppe]]&amp;"/"&amp;Tabelle7[[#This Row],[Mittelgruppe]]&amp;"/"&amp;Tabelle7[[#This Row],[Untergruppe]]</f>
        <v>#N/A</v>
      </c>
      <c r="O210" t="e">
        <f>INDEX(Tabelle6[Aktor],MATCH(Tabelle7[[#This Row],[Gesamtcode]],Tabelle6[Gesamtcode],0))&amp;" "&amp;INDEX(Tabelle6[Aktorkanal],MATCH(Tabelle7[[#This Row],[Gesamtcode]],Tabelle6[Gesamtcode],0))</f>
        <v>#N/A</v>
      </c>
    </row>
    <row r="211" spans="2:15" x14ac:dyDescent="0.25">
      <c r="B211" t="s">
        <v>290</v>
      </c>
      <c r="C211" t="e">
        <f>INDEX(Tabelle132[Zone],MATCH(Tabelle7[[#This Row],[Gesamtcode]],Tabelle132[Gesamtcode],0))</f>
        <v>#N/A</v>
      </c>
      <c r="D211" t="e">
        <f>INDEX(Tabelle132[Raum],MATCH(Tabelle7[[#This Row],[Gesamtcode]],Tabelle132[Gesamtcode],0))</f>
        <v>#N/A</v>
      </c>
      <c r="E211" t="e">
        <f>INDEX(Tabelle132[Bezeichnung],MATCH(Tabelle7[[#This Row],[Gesamtcode]],Tabelle132[Gesamtcode],0))</f>
        <v>#N/A</v>
      </c>
      <c r="F211" t="e">
        <f>"_"&amp;INDEX(Tabelle132[Geräte/Gewerke],MATCH(Tabelle7[[#This Row],[Gesamtcode]],Tabelle132[Gesamtcode],0))</f>
        <v>#N/A</v>
      </c>
      <c r="G211" t="e">
        <f>INDEX(Tabelle13[Gewerknr.],MATCH(Tabelle7[[#This Row],[Gewerke]],Tabelle13[Hauptgruppe],0))</f>
        <v>#N/A</v>
      </c>
      <c r="H211" t="s">
        <v>304</v>
      </c>
      <c r="I211" t="e">
        <f ca="1">INDEX(Tabelle134[Funktionsbereichsnr.],MATCH(Tabelle7[[#This Row],[Funktionsbereiche]],INDIRECT("Tabelle134["&amp;Tabelle7[[#This Row],[Gewerke]]&amp;"]"),0))</f>
        <v>#N/A</v>
      </c>
      <c r="J211" t="e">
        <f>Tabelle7[[#This Row],[Gesamtcode]]&amp;"_"&amp;Tabelle7[[#This Row],[Zone]]&amp;"_"&amp;Tabelle7[[#This Row],[Raum]]&amp;"_"&amp;Tabelle7[[#This Row],[Bezeichnung]]</f>
        <v>#N/A</v>
      </c>
      <c r="K211">
        <v>17</v>
      </c>
      <c r="L211" t="e">
        <f>Tabelle7[[#This Row],[Hauptgruppe]]&amp;"/-/-"</f>
        <v>#N/A</v>
      </c>
      <c r="M211" t="e">
        <f ca="1">Tabelle7[[#This Row],[Hauptgruppe]]&amp;"/"&amp;Tabelle7[[#This Row],[Mittelgruppe]]&amp;"/-"</f>
        <v>#N/A</v>
      </c>
      <c r="N211" t="e">
        <f ca="1">Tabelle7[[#This Row],[Hauptgruppe]]&amp;"/"&amp;Tabelle7[[#This Row],[Mittelgruppe]]&amp;"/"&amp;Tabelle7[[#This Row],[Untergruppe]]</f>
        <v>#N/A</v>
      </c>
      <c r="O211" t="e">
        <f>INDEX(Tabelle6[Aktor],MATCH(Tabelle7[[#This Row],[Gesamtcode]],Tabelle6[Gesamtcode],0))&amp;" "&amp;INDEX(Tabelle6[Aktorkanal],MATCH(Tabelle7[[#This Row],[Gesamtcode]],Tabelle6[Gesamtcode],0))</f>
        <v>#N/A</v>
      </c>
    </row>
    <row r="212" spans="2:15" x14ac:dyDescent="0.25">
      <c r="B212" t="s">
        <v>291</v>
      </c>
      <c r="C212" t="e">
        <f>INDEX(Tabelle132[Zone],MATCH(Tabelle7[[#This Row],[Gesamtcode]],Tabelle132[Gesamtcode],0))</f>
        <v>#N/A</v>
      </c>
      <c r="D212" t="e">
        <f>INDEX(Tabelle132[Raum],MATCH(Tabelle7[[#This Row],[Gesamtcode]],Tabelle132[Gesamtcode],0))</f>
        <v>#N/A</v>
      </c>
      <c r="E212" t="e">
        <f>INDEX(Tabelle132[Bezeichnung],MATCH(Tabelle7[[#This Row],[Gesamtcode]],Tabelle132[Gesamtcode],0))</f>
        <v>#N/A</v>
      </c>
      <c r="F212" t="e">
        <f>"_"&amp;INDEX(Tabelle132[Geräte/Gewerke],MATCH(Tabelle7[[#This Row],[Gesamtcode]],Tabelle132[Gesamtcode],0))</f>
        <v>#N/A</v>
      </c>
      <c r="G212" t="e">
        <f>INDEX(Tabelle13[Gewerknr.],MATCH(Tabelle7[[#This Row],[Gewerke]],Tabelle13[Hauptgruppe],0))</f>
        <v>#N/A</v>
      </c>
      <c r="H212" t="s">
        <v>304</v>
      </c>
      <c r="I212" t="e">
        <f ca="1">INDEX(Tabelle134[Funktionsbereichsnr.],MATCH(Tabelle7[[#This Row],[Funktionsbereiche]],INDIRECT("Tabelle134["&amp;Tabelle7[[#This Row],[Gewerke]]&amp;"]"),0))</f>
        <v>#N/A</v>
      </c>
      <c r="J212" t="e">
        <f>Tabelle7[[#This Row],[Gesamtcode]]&amp;"_"&amp;Tabelle7[[#This Row],[Zone]]&amp;"_"&amp;Tabelle7[[#This Row],[Raum]]&amp;"_"&amp;Tabelle7[[#This Row],[Bezeichnung]]</f>
        <v>#N/A</v>
      </c>
      <c r="K212">
        <v>18</v>
      </c>
      <c r="L212" t="e">
        <f>Tabelle7[[#This Row],[Hauptgruppe]]&amp;"/-/-"</f>
        <v>#N/A</v>
      </c>
      <c r="M212" t="e">
        <f ca="1">Tabelle7[[#This Row],[Hauptgruppe]]&amp;"/"&amp;Tabelle7[[#This Row],[Mittelgruppe]]&amp;"/-"</f>
        <v>#N/A</v>
      </c>
      <c r="N212" t="e">
        <f ca="1">Tabelle7[[#This Row],[Hauptgruppe]]&amp;"/"&amp;Tabelle7[[#This Row],[Mittelgruppe]]&amp;"/"&amp;Tabelle7[[#This Row],[Untergruppe]]</f>
        <v>#N/A</v>
      </c>
      <c r="O212" t="e">
        <f>INDEX(Tabelle6[Aktor],MATCH(Tabelle7[[#This Row],[Gesamtcode]],Tabelle6[Gesamtcode],0))&amp;" "&amp;INDEX(Tabelle6[Aktorkanal],MATCH(Tabelle7[[#This Row],[Gesamtcode]],Tabelle6[Gesamtcode],0))</f>
        <v>#N/A</v>
      </c>
    </row>
    <row r="213" spans="2:15" x14ac:dyDescent="0.25">
      <c r="B213" t="s">
        <v>292</v>
      </c>
      <c r="C213" t="e">
        <f>INDEX(Tabelle132[Zone],MATCH(Tabelle7[[#This Row],[Gesamtcode]],Tabelle132[Gesamtcode],0))</f>
        <v>#N/A</v>
      </c>
      <c r="D213" t="e">
        <f>INDEX(Tabelle132[Raum],MATCH(Tabelle7[[#This Row],[Gesamtcode]],Tabelle132[Gesamtcode],0))</f>
        <v>#N/A</v>
      </c>
      <c r="E213" t="e">
        <f>INDEX(Tabelle132[Bezeichnung],MATCH(Tabelle7[[#This Row],[Gesamtcode]],Tabelle132[Gesamtcode],0))</f>
        <v>#N/A</v>
      </c>
      <c r="F213" t="e">
        <f>"_"&amp;INDEX(Tabelle132[Geräte/Gewerke],MATCH(Tabelle7[[#This Row],[Gesamtcode]],Tabelle132[Gesamtcode],0))</f>
        <v>#N/A</v>
      </c>
      <c r="G213" t="e">
        <f>INDEX(Tabelle13[Gewerknr.],MATCH(Tabelle7[[#This Row],[Gewerke]],Tabelle13[Hauptgruppe],0))</f>
        <v>#N/A</v>
      </c>
      <c r="H213" t="s">
        <v>304</v>
      </c>
      <c r="I213" t="e">
        <f ca="1">INDEX(Tabelle134[Funktionsbereichsnr.],MATCH(Tabelle7[[#This Row],[Funktionsbereiche]],INDIRECT("Tabelle134["&amp;Tabelle7[[#This Row],[Gewerke]]&amp;"]"),0))</f>
        <v>#N/A</v>
      </c>
      <c r="J213" t="e">
        <f>Tabelle7[[#This Row],[Gesamtcode]]&amp;"_"&amp;Tabelle7[[#This Row],[Zone]]&amp;"_"&amp;Tabelle7[[#This Row],[Raum]]&amp;"_"&amp;Tabelle7[[#This Row],[Bezeichnung]]</f>
        <v>#N/A</v>
      </c>
      <c r="K213">
        <v>19</v>
      </c>
      <c r="L213" t="e">
        <f>Tabelle7[[#This Row],[Hauptgruppe]]&amp;"/-/-"</f>
        <v>#N/A</v>
      </c>
      <c r="M213" t="e">
        <f ca="1">Tabelle7[[#This Row],[Hauptgruppe]]&amp;"/"&amp;Tabelle7[[#This Row],[Mittelgruppe]]&amp;"/-"</f>
        <v>#N/A</v>
      </c>
      <c r="N213" t="e">
        <f ca="1">Tabelle7[[#This Row],[Hauptgruppe]]&amp;"/"&amp;Tabelle7[[#This Row],[Mittelgruppe]]&amp;"/"&amp;Tabelle7[[#This Row],[Untergruppe]]</f>
        <v>#N/A</v>
      </c>
      <c r="O213" t="e">
        <f>INDEX(Tabelle6[Aktor],MATCH(Tabelle7[[#This Row],[Gesamtcode]],Tabelle6[Gesamtcode],0))&amp;" "&amp;INDEX(Tabelle6[Aktorkanal],MATCH(Tabelle7[[#This Row],[Gesamtcode]],Tabelle6[Gesamtcode],0))</f>
        <v>#N/A</v>
      </c>
    </row>
    <row r="214" spans="2:15" x14ac:dyDescent="0.25">
      <c r="B214" t="s">
        <v>293</v>
      </c>
      <c r="C214" t="e">
        <f>INDEX(Tabelle132[Zone],MATCH(Tabelle7[[#This Row],[Gesamtcode]],Tabelle132[Gesamtcode],0))</f>
        <v>#N/A</v>
      </c>
      <c r="D214" t="e">
        <f>INDEX(Tabelle132[Raum],MATCH(Tabelle7[[#This Row],[Gesamtcode]],Tabelle132[Gesamtcode],0))</f>
        <v>#N/A</v>
      </c>
      <c r="E214" t="e">
        <f>INDEX(Tabelle132[Bezeichnung],MATCH(Tabelle7[[#This Row],[Gesamtcode]],Tabelle132[Gesamtcode],0))</f>
        <v>#N/A</v>
      </c>
      <c r="F214" t="e">
        <f>"_"&amp;INDEX(Tabelle132[Geräte/Gewerke],MATCH(Tabelle7[[#This Row],[Gesamtcode]],Tabelle132[Gesamtcode],0))</f>
        <v>#N/A</v>
      </c>
      <c r="G214" t="e">
        <f>INDEX(Tabelle13[Gewerknr.],MATCH(Tabelle7[[#This Row],[Gewerke]],Tabelle13[Hauptgruppe],0))</f>
        <v>#N/A</v>
      </c>
      <c r="H214" t="s">
        <v>304</v>
      </c>
      <c r="I214" t="e">
        <f ca="1">INDEX(Tabelle134[Funktionsbereichsnr.],MATCH(Tabelle7[[#This Row],[Funktionsbereiche]],INDIRECT("Tabelle134["&amp;Tabelle7[[#This Row],[Gewerke]]&amp;"]"),0))</f>
        <v>#N/A</v>
      </c>
      <c r="J214" t="e">
        <f>Tabelle7[[#This Row],[Gesamtcode]]&amp;"_"&amp;Tabelle7[[#This Row],[Zone]]&amp;"_"&amp;Tabelle7[[#This Row],[Raum]]&amp;"_"&amp;Tabelle7[[#This Row],[Bezeichnung]]</f>
        <v>#N/A</v>
      </c>
      <c r="K214">
        <v>2</v>
      </c>
      <c r="L214" t="e">
        <f>Tabelle7[[#This Row],[Hauptgruppe]]&amp;"/-/-"</f>
        <v>#N/A</v>
      </c>
      <c r="M214" t="e">
        <f ca="1">Tabelle7[[#This Row],[Hauptgruppe]]&amp;"/"&amp;Tabelle7[[#This Row],[Mittelgruppe]]&amp;"/-"</f>
        <v>#N/A</v>
      </c>
      <c r="N214" t="e">
        <f ca="1">Tabelle7[[#This Row],[Hauptgruppe]]&amp;"/"&amp;Tabelle7[[#This Row],[Mittelgruppe]]&amp;"/"&amp;Tabelle7[[#This Row],[Untergruppe]]</f>
        <v>#N/A</v>
      </c>
      <c r="O214" t="e">
        <f>INDEX(Tabelle6[Aktor],MATCH(Tabelle7[[#This Row],[Gesamtcode]],Tabelle6[Gesamtcode],0))&amp;" "&amp;INDEX(Tabelle6[Aktorkanal],MATCH(Tabelle7[[#This Row],[Gesamtcode]],Tabelle6[Gesamtcode],0))</f>
        <v>#N/A</v>
      </c>
    </row>
    <row r="215" spans="2:15" x14ac:dyDescent="0.25">
      <c r="B215" t="s">
        <v>294</v>
      </c>
      <c r="C215" t="e">
        <f>INDEX(Tabelle132[Zone],MATCH(Tabelle7[[#This Row],[Gesamtcode]],Tabelle132[Gesamtcode],0))</f>
        <v>#N/A</v>
      </c>
      <c r="D215" t="e">
        <f>INDEX(Tabelle132[Raum],MATCH(Tabelle7[[#This Row],[Gesamtcode]],Tabelle132[Gesamtcode],0))</f>
        <v>#N/A</v>
      </c>
      <c r="E215" t="e">
        <f>INDEX(Tabelle132[Bezeichnung],MATCH(Tabelle7[[#This Row],[Gesamtcode]],Tabelle132[Gesamtcode],0))</f>
        <v>#N/A</v>
      </c>
      <c r="F215" t="e">
        <f>"_"&amp;INDEX(Tabelle132[Geräte/Gewerke],MATCH(Tabelle7[[#This Row],[Gesamtcode]],Tabelle132[Gesamtcode],0))</f>
        <v>#N/A</v>
      </c>
      <c r="G215" t="e">
        <f>INDEX(Tabelle13[Gewerknr.],MATCH(Tabelle7[[#This Row],[Gewerke]],Tabelle13[Hauptgruppe],0))</f>
        <v>#N/A</v>
      </c>
      <c r="H215" t="s">
        <v>304</v>
      </c>
      <c r="I215" t="e">
        <f ca="1">INDEX(Tabelle134[Funktionsbereichsnr.],MATCH(Tabelle7[[#This Row],[Funktionsbereiche]],INDIRECT("Tabelle134["&amp;Tabelle7[[#This Row],[Gewerke]]&amp;"]"),0))</f>
        <v>#N/A</v>
      </c>
      <c r="J215" t="e">
        <f>Tabelle7[[#This Row],[Gesamtcode]]&amp;"_"&amp;Tabelle7[[#This Row],[Zone]]&amp;"_"&amp;Tabelle7[[#This Row],[Raum]]&amp;"_"&amp;Tabelle7[[#This Row],[Bezeichnung]]</f>
        <v>#N/A</v>
      </c>
      <c r="K215">
        <v>20</v>
      </c>
      <c r="L215" t="e">
        <f>Tabelle7[[#This Row],[Hauptgruppe]]&amp;"/-/-"</f>
        <v>#N/A</v>
      </c>
      <c r="M215" t="e">
        <f ca="1">Tabelle7[[#This Row],[Hauptgruppe]]&amp;"/"&amp;Tabelle7[[#This Row],[Mittelgruppe]]&amp;"/-"</f>
        <v>#N/A</v>
      </c>
      <c r="N215" t="e">
        <f ca="1">Tabelle7[[#This Row],[Hauptgruppe]]&amp;"/"&amp;Tabelle7[[#This Row],[Mittelgruppe]]&amp;"/"&amp;Tabelle7[[#This Row],[Untergruppe]]</f>
        <v>#N/A</v>
      </c>
      <c r="O215" t="e">
        <f>INDEX(Tabelle6[Aktor],MATCH(Tabelle7[[#This Row],[Gesamtcode]],Tabelle6[Gesamtcode],0))&amp;" "&amp;INDEX(Tabelle6[Aktorkanal],MATCH(Tabelle7[[#This Row],[Gesamtcode]],Tabelle6[Gesamtcode],0))</f>
        <v>#N/A</v>
      </c>
    </row>
    <row r="216" spans="2:15" x14ac:dyDescent="0.25">
      <c r="B216" t="s">
        <v>295</v>
      </c>
      <c r="C216" t="e">
        <f>INDEX(Tabelle132[Zone],MATCH(Tabelle7[[#This Row],[Gesamtcode]],Tabelle132[Gesamtcode],0))</f>
        <v>#N/A</v>
      </c>
      <c r="D216" t="e">
        <f>INDEX(Tabelle132[Raum],MATCH(Tabelle7[[#This Row],[Gesamtcode]],Tabelle132[Gesamtcode],0))</f>
        <v>#N/A</v>
      </c>
      <c r="E216" t="e">
        <f>INDEX(Tabelle132[Bezeichnung],MATCH(Tabelle7[[#This Row],[Gesamtcode]],Tabelle132[Gesamtcode],0))</f>
        <v>#N/A</v>
      </c>
      <c r="F216" t="e">
        <f>"_"&amp;INDEX(Tabelle132[Geräte/Gewerke],MATCH(Tabelle7[[#This Row],[Gesamtcode]],Tabelle132[Gesamtcode],0))</f>
        <v>#N/A</v>
      </c>
      <c r="G216" t="e">
        <f>INDEX(Tabelle13[Gewerknr.],MATCH(Tabelle7[[#This Row],[Gewerke]],Tabelle13[Hauptgruppe],0))</f>
        <v>#N/A</v>
      </c>
      <c r="H216" t="s">
        <v>304</v>
      </c>
      <c r="I216" t="e">
        <f ca="1">INDEX(Tabelle134[Funktionsbereichsnr.],MATCH(Tabelle7[[#This Row],[Funktionsbereiche]],INDIRECT("Tabelle134["&amp;Tabelle7[[#This Row],[Gewerke]]&amp;"]"),0))</f>
        <v>#N/A</v>
      </c>
      <c r="J216" t="e">
        <f>Tabelle7[[#This Row],[Gesamtcode]]&amp;"_"&amp;Tabelle7[[#This Row],[Zone]]&amp;"_"&amp;Tabelle7[[#This Row],[Raum]]&amp;"_"&amp;Tabelle7[[#This Row],[Bezeichnung]]</f>
        <v>#N/A</v>
      </c>
      <c r="K216">
        <v>21</v>
      </c>
      <c r="L216" t="e">
        <f>Tabelle7[[#This Row],[Hauptgruppe]]&amp;"/-/-"</f>
        <v>#N/A</v>
      </c>
      <c r="M216" t="e">
        <f ca="1">Tabelle7[[#This Row],[Hauptgruppe]]&amp;"/"&amp;Tabelle7[[#This Row],[Mittelgruppe]]&amp;"/-"</f>
        <v>#N/A</v>
      </c>
      <c r="N216" t="e">
        <f ca="1">Tabelle7[[#This Row],[Hauptgruppe]]&amp;"/"&amp;Tabelle7[[#This Row],[Mittelgruppe]]&amp;"/"&amp;Tabelle7[[#This Row],[Untergruppe]]</f>
        <v>#N/A</v>
      </c>
      <c r="O216" t="e">
        <f>INDEX(Tabelle6[Aktor],MATCH(Tabelle7[[#This Row],[Gesamtcode]],Tabelle6[Gesamtcode],0))&amp;" "&amp;INDEX(Tabelle6[Aktorkanal],MATCH(Tabelle7[[#This Row],[Gesamtcode]],Tabelle6[Gesamtcode],0))</f>
        <v>#N/A</v>
      </c>
    </row>
    <row r="217" spans="2:15" x14ac:dyDescent="0.25">
      <c r="B217" t="s">
        <v>296</v>
      </c>
      <c r="C217" t="e">
        <f>INDEX(Tabelle132[Zone],MATCH(Tabelle7[[#This Row],[Gesamtcode]],Tabelle132[Gesamtcode],0))</f>
        <v>#N/A</v>
      </c>
      <c r="D217" t="e">
        <f>INDEX(Tabelle132[Raum],MATCH(Tabelle7[[#This Row],[Gesamtcode]],Tabelle132[Gesamtcode],0))</f>
        <v>#N/A</v>
      </c>
      <c r="E217" t="e">
        <f>INDEX(Tabelle132[Bezeichnung],MATCH(Tabelle7[[#This Row],[Gesamtcode]],Tabelle132[Gesamtcode],0))</f>
        <v>#N/A</v>
      </c>
      <c r="F217" t="e">
        <f>"_"&amp;INDEX(Tabelle132[Geräte/Gewerke],MATCH(Tabelle7[[#This Row],[Gesamtcode]],Tabelle132[Gesamtcode],0))</f>
        <v>#N/A</v>
      </c>
      <c r="G217" t="e">
        <f>INDEX(Tabelle13[Gewerknr.],MATCH(Tabelle7[[#This Row],[Gewerke]],Tabelle13[Hauptgruppe],0))</f>
        <v>#N/A</v>
      </c>
      <c r="H217" t="s">
        <v>304</v>
      </c>
      <c r="I217" t="e">
        <f ca="1">INDEX(Tabelle134[Funktionsbereichsnr.],MATCH(Tabelle7[[#This Row],[Funktionsbereiche]],INDIRECT("Tabelle134["&amp;Tabelle7[[#This Row],[Gewerke]]&amp;"]"),0))</f>
        <v>#N/A</v>
      </c>
      <c r="J217" t="e">
        <f>Tabelle7[[#This Row],[Gesamtcode]]&amp;"_"&amp;Tabelle7[[#This Row],[Zone]]&amp;"_"&amp;Tabelle7[[#This Row],[Raum]]&amp;"_"&amp;Tabelle7[[#This Row],[Bezeichnung]]</f>
        <v>#N/A</v>
      </c>
      <c r="K217">
        <v>22</v>
      </c>
      <c r="L217" t="e">
        <f>Tabelle7[[#This Row],[Hauptgruppe]]&amp;"/-/-"</f>
        <v>#N/A</v>
      </c>
      <c r="M217" t="e">
        <f ca="1">Tabelle7[[#This Row],[Hauptgruppe]]&amp;"/"&amp;Tabelle7[[#This Row],[Mittelgruppe]]&amp;"/-"</f>
        <v>#N/A</v>
      </c>
      <c r="N217" t="e">
        <f ca="1">Tabelle7[[#This Row],[Hauptgruppe]]&amp;"/"&amp;Tabelle7[[#This Row],[Mittelgruppe]]&amp;"/"&amp;Tabelle7[[#This Row],[Untergruppe]]</f>
        <v>#N/A</v>
      </c>
      <c r="O217" t="e">
        <f>INDEX(Tabelle6[Aktor],MATCH(Tabelle7[[#This Row],[Gesamtcode]],Tabelle6[Gesamtcode],0))&amp;" "&amp;INDEX(Tabelle6[Aktorkanal],MATCH(Tabelle7[[#This Row],[Gesamtcode]],Tabelle6[Gesamtcode],0))</f>
        <v>#N/A</v>
      </c>
    </row>
    <row r="218" spans="2:15" x14ac:dyDescent="0.25">
      <c r="B218" t="s">
        <v>297</v>
      </c>
      <c r="C218" t="e">
        <f>INDEX(Tabelle132[Zone],MATCH(Tabelle7[[#This Row],[Gesamtcode]],Tabelle132[Gesamtcode],0))</f>
        <v>#N/A</v>
      </c>
      <c r="D218" t="e">
        <f>INDEX(Tabelle132[Raum],MATCH(Tabelle7[[#This Row],[Gesamtcode]],Tabelle132[Gesamtcode],0))</f>
        <v>#N/A</v>
      </c>
      <c r="E218" t="e">
        <f>INDEX(Tabelle132[Bezeichnung],MATCH(Tabelle7[[#This Row],[Gesamtcode]],Tabelle132[Gesamtcode],0))</f>
        <v>#N/A</v>
      </c>
      <c r="F218" t="e">
        <f>"_"&amp;INDEX(Tabelle132[Geräte/Gewerke],MATCH(Tabelle7[[#This Row],[Gesamtcode]],Tabelle132[Gesamtcode],0))</f>
        <v>#N/A</v>
      </c>
      <c r="G218" t="e">
        <f>INDEX(Tabelle13[Gewerknr.],MATCH(Tabelle7[[#This Row],[Gewerke]],Tabelle13[Hauptgruppe],0))</f>
        <v>#N/A</v>
      </c>
      <c r="H218" t="s">
        <v>304</v>
      </c>
      <c r="I218" t="e">
        <f ca="1">INDEX(Tabelle134[Funktionsbereichsnr.],MATCH(Tabelle7[[#This Row],[Funktionsbereiche]],INDIRECT("Tabelle134["&amp;Tabelle7[[#This Row],[Gewerke]]&amp;"]"),0))</f>
        <v>#N/A</v>
      </c>
      <c r="J218" t="e">
        <f>Tabelle7[[#This Row],[Gesamtcode]]&amp;"_"&amp;Tabelle7[[#This Row],[Zone]]&amp;"_"&amp;Tabelle7[[#This Row],[Raum]]&amp;"_"&amp;Tabelle7[[#This Row],[Bezeichnung]]</f>
        <v>#N/A</v>
      </c>
      <c r="K218">
        <v>3</v>
      </c>
      <c r="L218" t="e">
        <f>Tabelle7[[#This Row],[Hauptgruppe]]&amp;"/-/-"</f>
        <v>#N/A</v>
      </c>
      <c r="M218" t="e">
        <f ca="1">Tabelle7[[#This Row],[Hauptgruppe]]&amp;"/"&amp;Tabelle7[[#This Row],[Mittelgruppe]]&amp;"/-"</f>
        <v>#N/A</v>
      </c>
      <c r="N218" t="e">
        <f ca="1">Tabelle7[[#This Row],[Hauptgruppe]]&amp;"/"&amp;Tabelle7[[#This Row],[Mittelgruppe]]&amp;"/"&amp;Tabelle7[[#This Row],[Untergruppe]]</f>
        <v>#N/A</v>
      </c>
      <c r="O218" t="e">
        <f>INDEX(Tabelle6[Aktor],MATCH(Tabelle7[[#This Row],[Gesamtcode]],Tabelle6[Gesamtcode],0))&amp;" "&amp;INDEX(Tabelle6[Aktorkanal],MATCH(Tabelle7[[#This Row],[Gesamtcode]],Tabelle6[Gesamtcode],0))</f>
        <v>#N/A</v>
      </c>
    </row>
    <row r="219" spans="2:15" x14ac:dyDescent="0.25">
      <c r="B219" t="s">
        <v>298</v>
      </c>
      <c r="C219" t="e">
        <f>INDEX(Tabelle132[Zone],MATCH(Tabelle7[[#This Row],[Gesamtcode]],Tabelle132[Gesamtcode],0))</f>
        <v>#N/A</v>
      </c>
      <c r="D219" t="e">
        <f>INDEX(Tabelle132[Raum],MATCH(Tabelle7[[#This Row],[Gesamtcode]],Tabelle132[Gesamtcode],0))</f>
        <v>#N/A</v>
      </c>
      <c r="E219" t="e">
        <f>INDEX(Tabelle132[Bezeichnung],MATCH(Tabelle7[[#This Row],[Gesamtcode]],Tabelle132[Gesamtcode],0))</f>
        <v>#N/A</v>
      </c>
      <c r="F219" t="e">
        <f>"_"&amp;INDEX(Tabelle132[Geräte/Gewerke],MATCH(Tabelle7[[#This Row],[Gesamtcode]],Tabelle132[Gesamtcode],0))</f>
        <v>#N/A</v>
      </c>
      <c r="G219" t="e">
        <f>INDEX(Tabelle13[Gewerknr.],MATCH(Tabelle7[[#This Row],[Gewerke]],Tabelle13[Hauptgruppe],0))</f>
        <v>#N/A</v>
      </c>
      <c r="H219" t="s">
        <v>304</v>
      </c>
      <c r="I219" t="e">
        <f ca="1">INDEX(Tabelle134[Funktionsbereichsnr.],MATCH(Tabelle7[[#This Row],[Funktionsbereiche]],INDIRECT("Tabelle134["&amp;Tabelle7[[#This Row],[Gewerke]]&amp;"]"),0))</f>
        <v>#N/A</v>
      </c>
      <c r="J219" t="e">
        <f>Tabelle7[[#This Row],[Gesamtcode]]&amp;"_"&amp;Tabelle7[[#This Row],[Zone]]&amp;"_"&amp;Tabelle7[[#This Row],[Raum]]&amp;"_"&amp;Tabelle7[[#This Row],[Bezeichnung]]</f>
        <v>#N/A</v>
      </c>
      <c r="K219">
        <v>4</v>
      </c>
      <c r="L219" t="e">
        <f>Tabelle7[[#This Row],[Hauptgruppe]]&amp;"/-/-"</f>
        <v>#N/A</v>
      </c>
      <c r="M219" t="e">
        <f ca="1">Tabelle7[[#This Row],[Hauptgruppe]]&amp;"/"&amp;Tabelle7[[#This Row],[Mittelgruppe]]&amp;"/-"</f>
        <v>#N/A</v>
      </c>
      <c r="N219" t="e">
        <f ca="1">Tabelle7[[#This Row],[Hauptgruppe]]&amp;"/"&amp;Tabelle7[[#This Row],[Mittelgruppe]]&amp;"/"&amp;Tabelle7[[#This Row],[Untergruppe]]</f>
        <v>#N/A</v>
      </c>
      <c r="O219" t="e">
        <f>INDEX(Tabelle6[Aktor],MATCH(Tabelle7[[#This Row],[Gesamtcode]],Tabelle6[Gesamtcode],0))&amp;" "&amp;INDEX(Tabelle6[Aktorkanal],MATCH(Tabelle7[[#This Row],[Gesamtcode]],Tabelle6[Gesamtcode],0))</f>
        <v>#N/A</v>
      </c>
    </row>
    <row r="220" spans="2:15" x14ac:dyDescent="0.25">
      <c r="B220" t="s">
        <v>299</v>
      </c>
      <c r="C220" t="e">
        <f>INDEX(Tabelle132[Zone],MATCH(Tabelle7[[#This Row],[Gesamtcode]],Tabelle132[Gesamtcode],0))</f>
        <v>#N/A</v>
      </c>
      <c r="D220" t="e">
        <f>INDEX(Tabelle132[Raum],MATCH(Tabelle7[[#This Row],[Gesamtcode]],Tabelle132[Gesamtcode],0))</f>
        <v>#N/A</v>
      </c>
      <c r="E220" t="e">
        <f>INDEX(Tabelle132[Bezeichnung],MATCH(Tabelle7[[#This Row],[Gesamtcode]],Tabelle132[Gesamtcode],0))</f>
        <v>#N/A</v>
      </c>
      <c r="F220" t="e">
        <f>"_"&amp;INDEX(Tabelle132[Geräte/Gewerke],MATCH(Tabelle7[[#This Row],[Gesamtcode]],Tabelle132[Gesamtcode],0))</f>
        <v>#N/A</v>
      </c>
      <c r="G220" t="e">
        <f>INDEX(Tabelle13[Gewerknr.],MATCH(Tabelle7[[#This Row],[Gewerke]],Tabelle13[Hauptgruppe],0))</f>
        <v>#N/A</v>
      </c>
      <c r="H220" t="s">
        <v>304</v>
      </c>
      <c r="I220" t="e">
        <f ca="1">INDEX(Tabelle134[Funktionsbereichsnr.],MATCH(Tabelle7[[#This Row],[Funktionsbereiche]],INDIRECT("Tabelle134["&amp;Tabelle7[[#This Row],[Gewerke]]&amp;"]"),0))</f>
        <v>#N/A</v>
      </c>
      <c r="J220" t="e">
        <f>Tabelle7[[#This Row],[Gesamtcode]]&amp;"_"&amp;Tabelle7[[#This Row],[Zone]]&amp;"_"&amp;Tabelle7[[#This Row],[Raum]]&amp;"_"&amp;Tabelle7[[#This Row],[Bezeichnung]]</f>
        <v>#N/A</v>
      </c>
      <c r="K220">
        <v>5</v>
      </c>
      <c r="L220" t="e">
        <f>Tabelle7[[#This Row],[Hauptgruppe]]&amp;"/-/-"</f>
        <v>#N/A</v>
      </c>
      <c r="M220" t="e">
        <f ca="1">Tabelle7[[#This Row],[Hauptgruppe]]&amp;"/"&amp;Tabelle7[[#This Row],[Mittelgruppe]]&amp;"/-"</f>
        <v>#N/A</v>
      </c>
      <c r="N220" t="e">
        <f ca="1">Tabelle7[[#This Row],[Hauptgruppe]]&amp;"/"&amp;Tabelle7[[#This Row],[Mittelgruppe]]&amp;"/"&amp;Tabelle7[[#This Row],[Untergruppe]]</f>
        <v>#N/A</v>
      </c>
      <c r="O220" t="e">
        <f>INDEX(Tabelle6[Aktor],MATCH(Tabelle7[[#This Row],[Gesamtcode]],Tabelle6[Gesamtcode],0))&amp;" "&amp;INDEX(Tabelle6[Aktorkanal],MATCH(Tabelle7[[#This Row],[Gesamtcode]],Tabelle6[Gesamtcode],0))</f>
        <v>#N/A</v>
      </c>
    </row>
    <row r="221" spans="2:15" x14ac:dyDescent="0.25">
      <c r="B221" t="s">
        <v>300</v>
      </c>
      <c r="C221" t="e">
        <f>INDEX(Tabelle132[Zone],MATCH(Tabelle7[[#This Row],[Gesamtcode]],Tabelle132[Gesamtcode],0))</f>
        <v>#N/A</v>
      </c>
      <c r="D221" t="e">
        <f>INDEX(Tabelle132[Raum],MATCH(Tabelle7[[#This Row],[Gesamtcode]],Tabelle132[Gesamtcode],0))</f>
        <v>#N/A</v>
      </c>
      <c r="E221" t="e">
        <f>INDEX(Tabelle132[Bezeichnung],MATCH(Tabelle7[[#This Row],[Gesamtcode]],Tabelle132[Gesamtcode],0))</f>
        <v>#N/A</v>
      </c>
      <c r="F221" t="e">
        <f>"_"&amp;INDEX(Tabelle132[Geräte/Gewerke],MATCH(Tabelle7[[#This Row],[Gesamtcode]],Tabelle132[Gesamtcode],0))</f>
        <v>#N/A</v>
      </c>
      <c r="G221" t="e">
        <f>INDEX(Tabelle13[Gewerknr.],MATCH(Tabelle7[[#This Row],[Gewerke]],Tabelle13[Hauptgruppe],0))</f>
        <v>#N/A</v>
      </c>
      <c r="H221" t="s">
        <v>304</v>
      </c>
      <c r="I221" t="e">
        <f ca="1">INDEX(Tabelle134[Funktionsbereichsnr.],MATCH(Tabelle7[[#This Row],[Funktionsbereiche]],INDIRECT("Tabelle134["&amp;Tabelle7[[#This Row],[Gewerke]]&amp;"]"),0))</f>
        <v>#N/A</v>
      </c>
      <c r="J221" t="e">
        <f>Tabelle7[[#This Row],[Gesamtcode]]&amp;"_"&amp;Tabelle7[[#This Row],[Zone]]&amp;"_"&amp;Tabelle7[[#This Row],[Raum]]&amp;"_"&amp;Tabelle7[[#This Row],[Bezeichnung]]</f>
        <v>#N/A</v>
      </c>
      <c r="K221">
        <v>6</v>
      </c>
      <c r="L221" t="e">
        <f>Tabelle7[[#This Row],[Hauptgruppe]]&amp;"/-/-"</f>
        <v>#N/A</v>
      </c>
      <c r="M221" t="e">
        <f ca="1">Tabelle7[[#This Row],[Hauptgruppe]]&amp;"/"&amp;Tabelle7[[#This Row],[Mittelgruppe]]&amp;"/-"</f>
        <v>#N/A</v>
      </c>
      <c r="N221" t="e">
        <f ca="1">Tabelle7[[#This Row],[Hauptgruppe]]&amp;"/"&amp;Tabelle7[[#This Row],[Mittelgruppe]]&amp;"/"&amp;Tabelle7[[#This Row],[Untergruppe]]</f>
        <v>#N/A</v>
      </c>
      <c r="O221" t="e">
        <f>INDEX(Tabelle6[Aktor],MATCH(Tabelle7[[#This Row],[Gesamtcode]],Tabelle6[Gesamtcode],0))&amp;" "&amp;INDEX(Tabelle6[Aktorkanal],MATCH(Tabelle7[[#This Row],[Gesamtcode]],Tabelle6[Gesamtcode],0))</f>
        <v>#N/A</v>
      </c>
    </row>
    <row r="222" spans="2:15" x14ac:dyDescent="0.25">
      <c r="B222" t="s">
        <v>301</v>
      </c>
      <c r="C222" t="e">
        <f>INDEX(Tabelle132[Zone],MATCH(Tabelle7[[#This Row],[Gesamtcode]],Tabelle132[Gesamtcode],0))</f>
        <v>#N/A</v>
      </c>
      <c r="D222" t="e">
        <f>INDEX(Tabelle132[Raum],MATCH(Tabelle7[[#This Row],[Gesamtcode]],Tabelle132[Gesamtcode],0))</f>
        <v>#N/A</v>
      </c>
      <c r="E222" t="e">
        <f>INDEX(Tabelle132[Bezeichnung],MATCH(Tabelle7[[#This Row],[Gesamtcode]],Tabelle132[Gesamtcode],0))</f>
        <v>#N/A</v>
      </c>
      <c r="F222" t="e">
        <f>"_"&amp;INDEX(Tabelle132[Geräte/Gewerke],MATCH(Tabelle7[[#This Row],[Gesamtcode]],Tabelle132[Gesamtcode],0))</f>
        <v>#N/A</v>
      </c>
      <c r="G222" t="e">
        <f>INDEX(Tabelle13[Gewerknr.],MATCH(Tabelle7[[#This Row],[Gewerke]],Tabelle13[Hauptgruppe],0))</f>
        <v>#N/A</v>
      </c>
      <c r="H222" t="s">
        <v>304</v>
      </c>
      <c r="I222" t="e">
        <f ca="1">INDEX(Tabelle134[Funktionsbereichsnr.],MATCH(Tabelle7[[#This Row],[Funktionsbereiche]],INDIRECT("Tabelle134["&amp;Tabelle7[[#This Row],[Gewerke]]&amp;"]"),0))</f>
        <v>#N/A</v>
      </c>
      <c r="J222" t="e">
        <f>Tabelle7[[#This Row],[Gesamtcode]]&amp;"_"&amp;Tabelle7[[#This Row],[Zone]]&amp;"_"&amp;Tabelle7[[#This Row],[Raum]]&amp;"_"&amp;Tabelle7[[#This Row],[Bezeichnung]]</f>
        <v>#N/A</v>
      </c>
      <c r="K222">
        <v>7</v>
      </c>
      <c r="L222" t="e">
        <f>Tabelle7[[#This Row],[Hauptgruppe]]&amp;"/-/-"</f>
        <v>#N/A</v>
      </c>
      <c r="M222" t="e">
        <f ca="1">Tabelle7[[#This Row],[Hauptgruppe]]&amp;"/"&amp;Tabelle7[[#This Row],[Mittelgruppe]]&amp;"/-"</f>
        <v>#N/A</v>
      </c>
      <c r="N222" t="e">
        <f ca="1">Tabelle7[[#This Row],[Hauptgruppe]]&amp;"/"&amp;Tabelle7[[#This Row],[Mittelgruppe]]&amp;"/"&amp;Tabelle7[[#This Row],[Untergruppe]]</f>
        <v>#N/A</v>
      </c>
      <c r="O222" t="e">
        <f>INDEX(Tabelle6[Aktor],MATCH(Tabelle7[[#This Row],[Gesamtcode]],Tabelle6[Gesamtcode],0))&amp;" "&amp;INDEX(Tabelle6[Aktorkanal],MATCH(Tabelle7[[#This Row],[Gesamtcode]],Tabelle6[Gesamtcode],0))</f>
        <v>#N/A</v>
      </c>
    </row>
    <row r="223" spans="2:15" x14ac:dyDescent="0.25">
      <c r="B223" t="s">
        <v>302</v>
      </c>
      <c r="C223" t="e">
        <f>INDEX(Tabelle132[Zone],MATCH(Tabelle7[[#This Row],[Gesamtcode]],Tabelle132[Gesamtcode],0))</f>
        <v>#N/A</v>
      </c>
      <c r="D223" t="e">
        <f>INDEX(Tabelle132[Raum],MATCH(Tabelle7[[#This Row],[Gesamtcode]],Tabelle132[Gesamtcode],0))</f>
        <v>#N/A</v>
      </c>
      <c r="E223" t="e">
        <f>INDEX(Tabelle132[Bezeichnung],MATCH(Tabelle7[[#This Row],[Gesamtcode]],Tabelle132[Gesamtcode],0))</f>
        <v>#N/A</v>
      </c>
      <c r="F223" t="e">
        <f>"_"&amp;INDEX(Tabelle132[Geräte/Gewerke],MATCH(Tabelle7[[#This Row],[Gesamtcode]],Tabelle132[Gesamtcode],0))</f>
        <v>#N/A</v>
      </c>
      <c r="G223" t="e">
        <f>INDEX(Tabelle13[Gewerknr.],MATCH(Tabelle7[[#This Row],[Gewerke]],Tabelle13[Hauptgruppe],0))</f>
        <v>#N/A</v>
      </c>
      <c r="H223" t="s">
        <v>304</v>
      </c>
      <c r="I223" t="e">
        <f ca="1">INDEX(Tabelle134[Funktionsbereichsnr.],MATCH(Tabelle7[[#This Row],[Funktionsbereiche]],INDIRECT("Tabelle134["&amp;Tabelle7[[#This Row],[Gewerke]]&amp;"]"),0))</f>
        <v>#N/A</v>
      </c>
      <c r="J223" t="e">
        <f>Tabelle7[[#This Row],[Gesamtcode]]&amp;"_"&amp;Tabelle7[[#This Row],[Zone]]&amp;"_"&amp;Tabelle7[[#This Row],[Raum]]&amp;"_"&amp;Tabelle7[[#This Row],[Bezeichnung]]</f>
        <v>#N/A</v>
      </c>
      <c r="K223">
        <v>8</v>
      </c>
      <c r="L223" t="e">
        <f>Tabelle7[[#This Row],[Hauptgruppe]]&amp;"/-/-"</f>
        <v>#N/A</v>
      </c>
      <c r="M223" t="e">
        <f ca="1">Tabelle7[[#This Row],[Hauptgruppe]]&amp;"/"&amp;Tabelle7[[#This Row],[Mittelgruppe]]&amp;"/-"</f>
        <v>#N/A</v>
      </c>
      <c r="N223" t="e">
        <f ca="1">Tabelle7[[#This Row],[Hauptgruppe]]&amp;"/"&amp;Tabelle7[[#This Row],[Mittelgruppe]]&amp;"/"&amp;Tabelle7[[#This Row],[Untergruppe]]</f>
        <v>#N/A</v>
      </c>
      <c r="O223" t="e">
        <f>INDEX(Tabelle6[Aktor],MATCH(Tabelle7[[#This Row],[Gesamtcode]],Tabelle6[Gesamtcode],0))&amp;" "&amp;INDEX(Tabelle6[Aktorkanal],MATCH(Tabelle7[[#This Row],[Gesamtcode]],Tabelle6[Gesamtcode],0))</f>
        <v>#N/A</v>
      </c>
    </row>
    <row r="224" spans="2:15" x14ac:dyDescent="0.25">
      <c r="B224" t="s">
        <v>303</v>
      </c>
      <c r="C224" t="e">
        <f>INDEX(Tabelle132[Zone],MATCH(Tabelle7[[#This Row],[Gesamtcode]],Tabelle132[Gesamtcode],0))</f>
        <v>#N/A</v>
      </c>
      <c r="D224" t="e">
        <f>INDEX(Tabelle132[Raum],MATCH(Tabelle7[[#This Row],[Gesamtcode]],Tabelle132[Gesamtcode],0))</f>
        <v>#N/A</v>
      </c>
      <c r="E224" t="e">
        <f>INDEX(Tabelle132[Bezeichnung],MATCH(Tabelle7[[#This Row],[Gesamtcode]],Tabelle132[Gesamtcode],0))</f>
        <v>#N/A</v>
      </c>
      <c r="F224" t="e">
        <f>"_"&amp;INDEX(Tabelle132[Geräte/Gewerke],MATCH(Tabelle7[[#This Row],[Gesamtcode]],Tabelle132[Gesamtcode],0))</f>
        <v>#N/A</v>
      </c>
      <c r="G224" t="e">
        <f>INDEX(Tabelle13[Gewerknr.],MATCH(Tabelle7[[#This Row],[Gewerke]],Tabelle13[Hauptgruppe],0))</f>
        <v>#N/A</v>
      </c>
      <c r="H224" t="s">
        <v>304</v>
      </c>
      <c r="I224" t="e">
        <f ca="1">INDEX(Tabelle134[Funktionsbereichsnr.],MATCH(Tabelle7[[#This Row],[Funktionsbereiche]],INDIRECT("Tabelle134["&amp;Tabelle7[[#This Row],[Gewerke]]&amp;"]"),0))</f>
        <v>#N/A</v>
      </c>
      <c r="J224" t="e">
        <f>Tabelle7[[#This Row],[Gesamtcode]]&amp;"_"&amp;Tabelle7[[#This Row],[Zone]]&amp;"_"&amp;Tabelle7[[#This Row],[Raum]]&amp;"_"&amp;Tabelle7[[#This Row],[Bezeichnung]]</f>
        <v>#N/A</v>
      </c>
      <c r="K224">
        <v>9</v>
      </c>
      <c r="L224" t="e">
        <f>Tabelle7[[#This Row],[Hauptgruppe]]&amp;"/-/-"</f>
        <v>#N/A</v>
      </c>
      <c r="M224" t="e">
        <f ca="1">Tabelle7[[#This Row],[Hauptgruppe]]&amp;"/"&amp;Tabelle7[[#This Row],[Mittelgruppe]]&amp;"/-"</f>
        <v>#N/A</v>
      </c>
      <c r="N224" t="e">
        <f ca="1">Tabelle7[[#This Row],[Hauptgruppe]]&amp;"/"&amp;Tabelle7[[#This Row],[Mittelgruppe]]&amp;"/"&amp;Tabelle7[[#This Row],[Untergruppe]]</f>
        <v>#N/A</v>
      </c>
      <c r="O224" t="e">
        <f>INDEX(Tabelle6[Aktor],MATCH(Tabelle7[[#This Row],[Gesamtcode]],Tabelle6[Gesamtcode],0))&amp;" "&amp;INDEX(Tabelle6[Aktorkanal],MATCH(Tabelle7[[#This Row],[Gesamtcode]],Tabelle6[Gesamtcode],0))</f>
        <v>#N/A</v>
      </c>
    </row>
    <row r="225" spans="2:15" x14ac:dyDescent="0.25">
      <c r="B225" t="s">
        <v>281</v>
      </c>
      <c r="C225" t="e">
        <f>INDEX(Tabelle132[Zone],MATCH(Tabelle7[[#This Row],[Gesamtcode]],Tabelle132[Gesamtcode],0))</f>
        <v>#N/A</v>
      </c>
      <c r="D225" t="e">
        <f>INDEX(Tabelle132[Raum],MATCH(Tabelle7[[#This Row],[Gesamtcode]],Tabelle132[Gesamtcode],0))</f>
        <v>#N/A</v>
      </c>
      <c r="E225" t="e">
        <f>INDEX(Tabelle132[Bezeichnung],MATCH(Tabelle7[[#This Row],[Gesamtcode]],Tabelle132[Gesamtcode],0))</f>
        <v>#N/A</v>
      </c>
      <c r="F225" t="e">
        <f>"_"&amp;INDEX(Tabelle132[Geräte/Gewerke],MATCH(Tabelle7[[#This Row],[Gesamtcode]],Tabelle132[Gesamtcode],0))</f>
        <v>#N/A</v>
      </c>
      <c r="G225" t="e">
        <f>INDEX(Tabelle13[Gewerknr.],MATCH(Tabelle7[[#This Row],[Gewerke]],Tabelle13[Hauptgruppe],0))</f>
        <v>#N/A</v>
      </c>
      <c r="H225" t="s">
        <v>305</v>
      </c>
      <c r="I225" t="e">
        <f ca="1">INDEX(Tabelle134[Funktionsbereichsnr.],MATCH(Tabelle7[[#This Row],[Funktionsbereiche]],INDIRECT("Tabelle134["&amp;Tabelle7[[#This Row],[Gewerke]]&amp;"]"),0))</f>
        <v>#N/A</v>
      </c>
      <c r="J225" t="e">
        <f>Tabelle7[[#This Row],[Gesamtcode]]&amp;"_"&amp;Tabelle7[[#This Row],[Zone]]&amp;"_"&amp;Tabelle7[[#This Row],[Raum]]&amp;"_"&amp;Tabelle7[[#This Row],[Bezeichnung]]</f>
        <v>#N/A</v>
      </c>
      <c r="K225">
        <v>0</v>
      </c>
      <c r="L225" t="e">
        <f>Tabelle7[[#This Row],[Hauptgruppe]]&amp;"/-/-"</f>
        <v>#N/A</v>
      </c>
      <c r="M225" t="e">
        <f ca="1">Tabelle7[[#This Row],[Hauptgruppe]]&amp;"/"&amp;Tabelle7[[#This Row],[Mittelgruppe]]&amp;"/-"</f>
        <v>#N/A</v>
      </c>
      <c r="N225" t="e">
        <f ca="1">Tabelle7[[#This Row],[Hauptgruppe]]&amp;"/"&amp;Tabelle7[[#This Row],[Mittelgruppe]]&amp;"/"&amp;Tabelle7[[#This Row],[Untergruppe]]</f>
        <v>#N/A</v>
      </c>
      <c r="O225" t="e">
        <f>INDEX(Tabelle6[Aktor],MATCH(Tabelle7[[#This Row],[Gesamtcode]],Tabelle6[Gesamtcode],0))&amp;" "&amp;INDEX(Tabelle6[Aktorkanal],MATCH(Tabelle7[[#This Row],[Gesamtcode]],Tabelle6[Gesamtcode],0))</f>
        <v>#N/A</v>
      </c>
    </row>
    <row r="226" spans="2:15" x14ac:dyDescent="0.25">
      <c r="B226" t="s">
        <v>282</v>
      </c>
      <c r="C226" t="e">
        <f>INDEX(Tabelle132[Zone],MATCH(Tabelle7[[#This Row],[Gesamtcode]],Tabelle132[Gesamtcode],0))</f>
        <v>#N/A</v>
      </c>
      <c r="D226" t="e">
        <f>INDEX(Tabelle132[Raum],MATCH(Tabelle7[[#This Row],[Gesamtcode]],Tabelle132[Gesamtcode],0))</f>
        <v>#N/A</v>
      </c>
      <c r="E226" t="e">
        <f>INDEX(Tabelle132[Bezeichnung],MATCH(Tabelle7[[#This Row],[Gesamtcode]],Tabelle132[Gesamtcode],0))</f>
        <v>#N/A</v>
      </c>
      <c r="F226" t="e">
        <f>"_"&amp;INDEX(Tabelle132[Geräte/Gewerke],MATCH(Tabelle7[[#This Row],[Gesamtcode]],Tabelle132[Gesamtcode],0))</f>
        <v>#N/A</v>
      </c>
      <c r="G226" t="e">
        <f>INDEX(Tabelle13[Gewerknr.],MATCH(Tabelle7[[#This Row],[Gewerke]],Tabelle13[Hauptgruppe],0))</f>
        <v>#N/A</v>
      </c>
      <c r="H226" t="s">
        <v>305</v>
      </c>
      <c r="I226" t="e">
        <f ca="1">INDEX(Tabelle134[Funktionsbereichsnr.],MATCH(Tabelle7[[#This Row],[Funktionsbereiche]],INDIRECT("Tabelle134["&amp;Tabelle7[[#This Row],[Gewerke]]&amp;"]"),0))</f>
        <v>#N/A</v>
      </c>
      <c r="J226" t="e">
        <f>Tabelle7[[#This Row],[Gesamtcode]]&amp;"_"&amp;Tabelle7[[#This Row],[Zone]]&amp;"_"&amp;Tabelle7[[#This Row],[Raum]]&amp;"_"&amp;Tabelle7[[#This Row],[Bezeichnung]]</f>
        <v>#N/A</v>
      </c>
      <c r="K226">
        <v>1</v>
      </c>
      <c r="L226" t="e">
        <f>Tabelle7[[#This Row],[Hauptgruppe]]&amp;"/-/-"</f>
        <v>#N/A</v>
      </c>
      <c r="M226" t="e">
        <f ca="1">Tabelle7[[#This Row],[Hauptgruppe]]&amp;"/"&amp;Tabelle7[[#This Row],[Mittelgruppe]]&amp;"/-"</f>
        <v>#N/A</v>
      </c>
      <c r="N226" t="e">
        <f ca="1">Tabelle7[[#This Row],[Hauptgruppe]]&amp;"/"&amp;Tabelle7[[#This Row],[Mittelgruppe]]&amp;"/"&amp;Tabelle7[[#This Row],[Untergruppe]]</f>
        <v>#N/A</v>
      </c>
      <c r="O226" t="e">
        <f>INDEX(Tabelle6[Aktor],MATCH(Tabelle7[[#This Row],[Gesamtcode]],Tabelle6[Gesamtcode],0))&amp;" "&amp;INDEX(Tabelle6[Aktorkanal],MATCH(Tabelle7[[#This Row],[Gesamtcode]],Tabelle6[Gesamtcode],0))</f>
        <v>#N/A</v>
      </c>
    </row>
    <row r="227" spans="2:15" x14ac:dyDescent="0.25">
      <c r="B227" t="s">
        <v>283</v>
      </c>
      <c r="C227" t="e">
        <f>INDEX(Tabelle132[Zone],MATCH(Tabelle7[[#This Row],[Gesamtcode]],Tabelle132[Gesamtcode],0))</f>
        <v>#N/A</v>
      </c>
      <c r="D227" t="e">
        <f>INDEX(Tabelle132[Raum],MATCH(Tabelle7[[#This Row],[Gesamtcode]],Tabelle132[Gesamtcode],0))</f>
        <v>#N/A</v>
      </c>
      <c r="E227" t="e">
        <f>INDEX(Tabelle132[Bezeichnung],MATCH(Tabelle7[[#This Row],[Gesamtcode]],Tabelle132[Gesamtcode],0))</f>
        <v>#N/A</v>
      </c>
      <c r="F227" t="e">
        <f>"_"&amp;INDEX(Tabelle132[Geräte/Gewerke],MATCH(Tabelle7[[#This Row],[Gesamtcode]],Tabelle132[Gesamtcode],0))</f>
        <v>#N/A</v>
      </c>
      <c r="G227" t="e">
        <f>INDEX(Tabelle13[Gewerknr.],MATCH(Tabelle7[[#This Row],[Gewerke]],Tabelle13[Hauptgruppe],0))</f>
        <v>#N/A</v>
      </c>
      <c r="H227" t="s">
        <v>305</v>
      </c>
      <c r="I227" t="e">
        <f ca="1">INDEX(Tabelle134[Funktionsbereichsnr.],MATCH(Tabelle7[[#This Row],[Funktionsbereiche]],INDIRECT("Tabelle134["&amp;Tabelle7[[#This Row],[Gewerke]]&amp;"]"),0))</f>
        <v>#N/A</v>
      </c>
      <c r="J227" t="e">
        <f>Tabelle7[[#This Row],[Gesamtcode]]&amp;"_"&amp;Tabelle7[[#This Row],[Zone]]&amp;"_"&amp;Tabelle7[[#This Row],[Raum]]&amp;"_"&amp;Tabelle7[[#This Row],[Bezeichnung]]</f>
        <v>#N/A</v>
      </c>
      <c r="K227">
        <v>10</v>
      </c>
      <c r="L227" t="e">
        <f>Tabelle7[[#This Row],[Hauptgruppe]]&amp;"/-/-"</f>
        <v>#N/A</v>
      </c>
      <c r="M227" t="e">
        <f ca="1">Tabelle7[[#This Row],[Hauptgruppe]]&amp;"/"&amp;Tabelle7[[#This Row],[Mittelgruppe]]&amp;"/-"</f>
        <v>#N/A</v>
      </c>
      <c r="N227" t="e">
        <f ca="1">Tabelle7[[#This Row],[Hauptgruppe]]&amp;"/"&amp;Tabelle7[[#This Row],[Mittelgruppe]]&amp;"/"&amp;Tabelle7[[#This Row],[Untergruppe]]</f>
        <v>#N/A</v>
      </c>
      <c r="O227" t="e">
        <f>INDEX(Tabelle6[Aktor],MATCH(Tabelle7[[#This Row],[Gesamtcode]],Tabelle6[Gesamtcode],0))&amp;" "&amp;INDEX(Tabelle6[Aktorkanal],MATCH(Tabelle7[[#This Row],[Gesamtcode]],Tabelle6[Gesamtcode],0))</f>
        <v>#N/A</v>
      </c>
    </row>
    <row r="228" spans="2:15" x14ac:dyDescent="0.25">
      <c r="B228" t="s">
        <v>284</v>
      </c>
      <c r="C228" t="e">
        <f>INDEX(Tabelle132[Zone],MATCH(Tabelle7[[#This Row],[Gesamtcode]],Tabelle132[Gesamtcode],0))</f>
        <v>#N/A</v>
      </c>
      <c r="D228" t="e">
        <f>INDEX(Tabelle132[Raum],MATCH(Tabelle7[[#This Row],[Gesamtcode]],Tabelle132[Gesamtcode],0))</f>
        <v>#N/A</v>
      </c>
      <c r="E228" t="e">
        <f>INDEX(Tabelle132[Bezeichnung],MATCH(Tabelle7[[#This Row],[Gesamtcode]],Tabelle132[Gesamtcode],0))</f>
        <v>#N/A</v>
      </c>
      <c r="F228" t="e">
        <f>"_"&amp;INDEX(Tabelle132[Geräte/Gewerke],MATCH(Tabelle7[[#This Row],[Gesamtcode]],Tabelle132[Gesamtcode],0))</f>
        <v>#N/A</v>
      </c>
      <c r="G228" t="e">
        <f>INDEX(Tabelle13[Gewerknr.],MATCH(Tabelle7[[#This Row],[Gewerke]],Tabelle13[Hauptgruppe],0))</f>
        <v>#N/A</v>
      </c>
      <c r="H228" t="s">
        <v>305</v>
      </c>
      <c r="I228" t="e">
        <f ca="1">INDEX(Tabelle134[Funktionsbereichsnr.],MATCH(Tabelle7[[#This Row],[Funktionsbereiche]],INDIRECT("Tabelle134["&amp;Tabelle7[[#This Row],[Gewerke]]&amp;"]"),0))</f>
        <v>#N/A</v>
      </c>
      <c r="J228" t="e">
        <f>Tabelle7[[#This Row],[Gesamtcode]]&amp;"_"&amp;Tabelle7[[#This Row],[Zone]]&amp;"_"&amp;Tabelle7[[#This Row],[Raum]]&amp;"_"&amp;Tabelle7[[#This Row],[Bezeichnung]]</f>
        <v>#N/A</v>
      </c>
      <c r="K228">
        <v>11</v>
      </c>
      <c r="L228" t="e">
        <f>Tabelle7[[#This Row],[Hauptgruppe]]&amp;"/-/-"</f>
        <v>#N/A</v>
      </c>
      <c r="M228" t="e">
        <f ca="1">Tabelle7[[#This Row],[Hauptgruppe]]&amp;"/"&amp;Tabelle7[[#This Row],[Mittelgruppe]]&amp;"/-"</f>
        <v>#N/A</v>
      </c>
      <c r="N228" t="e">
        <f ca="1">Tabelle7[[#This Row],[Hauptgruppe]]&amp;"/"&amp;Tabelle7[[#This Row],[Mittelgruppe]]&amp;"/"&amp;Tabelle7[[#This Row],[Untergruppe]]</f>
        <v>#N/A</v>
      </c>
      <c r="O228" t="e">
        <f>INDEX(Tabelle6[Aktor],MATCH(Tabelle7[[#This Row],[Gesamtcode]],Tabelle6[Gesamtcode],0))&amp;" "&amp;INDEX(Tabelle6[Aktorkanal],MATCH(Tabelle7[[#This Row],[Gesamtcode]],Tabelle6[Gesamtcode],0))</f>
        <v>#N/A</v>
      </c>
    </row>
    <row r="229" spans="2:15" x14ac:dyDescent="0.25">
      <c r="B229" t="s">
        <v>285</v>
      </c>
      <c r="C229" t="e">
        <f>INDEX(Tabelle132[Zone],MATCH(Tabelle7[[#This Row],[Gesamtcode]],Tabelle132[Gesamtcode],0))</f>
        <v>#N/A</v>
      </c>
      <c r="D229" t="e">
        <f>INDEX(Tabelle132[Raum],MATCH(Tabelle7[[#This Row],[Gesamtcode]],Tabelle132[Gesamtcode],0))</f>
        <v>#N/A</v>
      </c>
      <c r="E229" t="e">
        <f>INDEX(Tabelle132[Bezeichnung],MATCH(Tabelle7[[#This Row],[Gesamtcode]],Tabelle132[Gesamtcode],0))</f>
        <v>#N/A</v>
      </c>
      <c r="F229" t="e">
        <f>"_"&amp;INDEX(Tabelle132[Geräte/Gewerke],MATCH(Tabelle7[[#This Row],[Gesamtcode]],Tabelle132[Gesamtcode],0))</f>
        <v>#N/A</v>
      </c>
      <c r="G229" t="e">
        <f>INDEX(Tabelle13[Gewerknr.],MATCH(Tabelle7[[#This Row],[Gewerke]],Tabelle13[Hauptgruppe],0))</f>
        <v>#N/A</v>
      </c>
      <c r="H229" t="s">
        <v>308</v>
      </c>
      <c r="I229" t="e">
        <f ca="1">INDEX(Tabelle134[Funktionsbereichsnr.],MATCH(Tabelle7[[#This Row],[Funktionsbereiche]],INDIRECT("Tabelle134["&amp;Tabelle7[[#This Row],[Gewerke]]&amp;"]"),0))</f>
        <v>#N/A</v>
      </c>
      <c r="J229" t="e">
        <f>Tabelle7[[#This Row],[Gesamtcode]]&amp;"_"&amp;Tabelle7[[#This Row],[Zone]]&amp;"_"&amp;Tabelle7[[#This Row],[Raum]]&amp;"_"&amp;Tabelle7[[#This Row],[Bezeichnung]]</f>
        <v>#N/A</v>
      </c>
      <c r="K229">
        <v>12</v>
      </c>
      <c r="L229" t="e">
        <f>Tabelle7[[#This Row],[Hauptgruppe]]&amp;"/-/-"</f>
        <v>#N/A</v>
      </c>
      <c r="M229" t="e">
        <f ca="1">Tabelle7[[#This Row],[Hauptgruppe]]&amp;"/"&amp;Tabelle7[[#This Row],[Mittelgruppe]]&amp;"/-"</f>
        <v>#N/A</v>
      </c>
      <c r="N229" t="e">
        <f ca="1">Tabelle7[[#This Row],[Hauptgruppe]]&amp;"/"&amp;Tabelle7[[#This Row],[Mittelgruppe]]&amp;"/"&amp;Tabelle7[[#This Row],[Untergruppe]]</f>
        <v>#N/A</v>
      </c>
      <c r="O229" t="e">
        <f>INDEX(Tabelle6[Aktor],MATCH(Tabelle7[[#This Row],[Gesamtcode]],Tabelle6[Gesamtcode],0))&amp;" "&amp;INDEX(Tabelle6[Aktorkanal],MATCH(Tabelle7[[#This Row],[Gesamtcode]],Tabelle6[Gesamtcode],0))</f>
        <v>#N/A</v>
      </c>
    </row>
    <row r="230" spans="2:15" x14ac:dyDescent="0.25">
      <c r="B230" t="s">
        <v>285</v>
      </c>
      <c r="C230" t="e">
        <f>INDEX(Tabelle132[Zone],MATCH(Tabelle7[[#This Row],[Gesamtcode]],Tabelle132[Gesamtcode],0))</f>
        <v>#N/A</v>
      </c>
      <c r="D230" t="e">
        <f>INDEX(Tabelle132[Raum],MATCH(Tabelle7[[#This Row],[Gesamtcode]],Tabelle132[Gesamtcode],0))</f>
        <v>#N/A</v>
      </c>
      <c r="E230" t="e">
        <f>INDEX(Tabelle132[Bezeichnung],MATCH(Tabelle7[[#This Row],[Gesamtcode]],Tabelle132[Gesamtcode],0))</f>
        <v>#N/A</v>
      </c>
      <c r="F230" t="e">
        <f>"_"&amp;INDEX(Tabelle132[Geräte/Gewerke],MATCH(Tabelle7[[#This Row],[Gesamtcode]],Tabelle132[Gesamtcode],0))</f>
        <v>#N/A</v>
      </c>
      <c r="G230" t="e">
        <f>INDEX(Tabelle13[Gewerknr.],MATCH(Tabelle7[[#This Row],[Gewerke]],Tabelle13[Hauptgruppe],0))</f>
        <v>#N/A</v>
      </c>
      <c r="H230" t="s">
        <v>280</v>
      </c>
      <c r="I230" t="e">
        <f ca="1">INDEX(Tabelle134[Funktionsbereichsnr.],MATCH(Tabelle7[[#This Row],[Funktionsbereiche]],INDIRECT("Tabelle134["&amp;Tabelle7[[#This Row],[Gewerke]]&amp;"]"),0))</f>
        <v>#N/A</v>
      </c>
      <c r="J230" t="e">
        <f>Tabelle7[[#This Row],[Gesamtcode]]&amp;"_"&amp;Tabelle7[[#This Row],[Zone]]&amp;"_"&amp;Tabelle7[[#This Row],[Raum]]&amp;"_"&amp;Tabelle7[[#This Row],[Bezeichnung]]</f>
        <v>#N/A</v>
      </c>
      <c r="K230">
        <v>12</v>
      </c>
      <c r="L230" t="e">
        <f>Tabelle7[[#This Row],[Hauptgruppe]]&amp;"/-/-"</f>
        <v>#N/A</v>
      </c>
      <c r="M230" t="e">
        <f ca="1">Tabelle7[[#This Row],[Hauptgruppe]]&amp;"/"&amp;Tabelle7[[#This Row],[Mittelgruppe]]&amp;"/-"</f>
        <v>#N/A</v>
      </c>
      <c r="N230" t="e">
        <f ca="1">Tabelle7[[#This Row],[Hauptgruppe]]&amp;"/"&amp;Tabelle7[[#This Row],[Mittelgruppe]]&amp;"/"&amp;Tabelle7[[#This Row],[Untergruppe]]</f>
        <v>#N/A</v>
      </c>
      <c r="O230" t="e">
        <f>INDEX(Tabelle6[Aktor],MATCH(Tabelle7[[#This Row],[Gesamtcode]],Tabelle6[Gesamtcode],0))&amp;" "&amp;INDEX(Tabelle6[Aktorkanal],MATCH(Tabelle7[[#This Row],[Gesamtcode]],Tabelle6[Gesamtcode],0))</f>
        <v>#N/A</v>
      </c>
    </row>
    <row r="231" spans="2:15" x14ac:dyDescent="0.25">
      <c r="B231" t="s">
        <v>287</v>
      </c>
      <c r="C231" t="e">
        <f>INDEX(Tabelle132[Zone],MATCH(Tabelle7[[#This Row],[Gesamtcode]],Tabelle132[Gesamtcode],0))</f>
        <v>#N/A</v>
      </c>
      <c r="D231" t="e">
        <f>INDEX(Tabelle132[Raum],MATCH(Tabelle7[[#This Row],[Gesamtcode]],Tabelle132[Gesamtcode],0))</f>
        <v>#N/A</v>
      </c>
      <c r="E231" t="e">
        <f>INDEX(Tabelle132[Bezeichnung],MATCH(Tabelle7[[#This Row],[Gesamtcode]],Tabelle132[Gesamtcode],0))</f>
        <v>#N/A</v>
      </c>
      <c r="F231" t="e">
        <f>"_"&amp;INDEX(Tabelle132[Geräte/Gewerke],MATCH(Tabelle7[[#This Row],[Gesamtcode]],Tabelle132[Gesamtcode],0))</f>
        <v>#N/A</v>
      </c>
      <c r="G231" t="e">
        <f>INDEX(Tabelle13[Gewerknr.],MATCH(Tabelle7[[#This Row],[Gewerke]],Tabelle13[Hauptgruppe],0))</f>
        <v>#N/A</v>
      </c>
      <c r="H231" t="s">
        <v>305</v>
      </c>
      <c r="I231" t="e">
        <f ca="1">INDEX(Tabelle134[Funktionsbereichsnr.],MATCH(Tabelle7[[#This Row],[Funktionsbereiche]],INDIRECT("Tabelle134["&amp;Tabelle7[[#This Row],[Gewerke]]&amp;"]"),0))</f>
        <v>#N/A</v>
      </c>
      <c r="J231" t="e">
        <f>Tabelle7[[#This Row],[Gesamtcode]]&amp;"_"&amp;Tabelle7[[#This Row],[Zone]]&amp;"_"&amp;Tabelle7[[#This Row],[Raum]]&amp;"_"&amp;Tabelle7[[#This Row],[Bezeichnung]]</f>
        <v>#N/A</v>
      </c>
      <c r="K231">
        <v>14</v>
      </c>
      <c r="L231" t="e">
        <f>Tabelle7[[#This Row],[Hauptgruppe]]&amp;"/-/-"</f>
        <v>#N/A</v>
      </c>
      <c r="M231" t="e">
        <f ca="1">Tabelle7[[#This Row],[Hauptgruppe]]&amp;"/"&amp;Tabelle7[[#This Row],[Mittelgruppe]]&amp;"/-"</f>
        <v>#N/A</v>
      </c>
      <c r="N231" t="e">
        <f ca="1">Tabelle7[[#This Row],[Hauptgruppe]]&amp;"/"&amp;Tabelle7[[#This Row],[Mittelgruppe]]&amp;"/"&amp;Tabelle7[[#This Row],[Untergruppe]]</f>
        <v>#N/A</v>
      </c>
      <c r="O231" t="e">
        <f>INDEX(Tabelle6[Aktor],MATCH(Tabelle7[[#This Row],[Gesamtcode]],Tabelle6[Gesamtcode],0))&amp;" "&amp;INDEX(Tabelle6[Aktorkanal],MATCH(Tabelle7[[#This Row],[Gesamtcode]],Tabelle6[Gesamtcode],0))</f>
        <v>#N/A</v>
      </c>
    </row>
    <row r="232" spans="2:15" x14ac:dyDescent="0.25">
      <c r="B232" t="s">
        <v>288</v>
      </c>
      <c r="C232" t="e">
        <f>INDEX(Tabelle132[Zone],MATCH(Tabelle7[[#This Row],[Gesamtcode]],Tabelle132[Gesamtcode],0))</f>
        <v>#N/A</v>
      </c>
      <c r="D232" t="e">
        <f>INDEX(Tabelle132[Raum],MATCH(Tabelle7[[#This Row],[Gesamtcode]],Tabelle132[Gesamtcode],0))</f>
        <v>#N/A</v>
      </c>
      <c r="E232" t="e">
        <f>INDEX(Tabelle132[Bezeichnung],MATCH(Tabelle7[[#This Row],[Gesamtcode]],Tabelle132[Gesamtcode],0))</f>
        <v>#N/A</v>
      </c>
      <c r="F232" t="e">
        <f>"_"&amp;INDEX(Tabelle132[Geräte/Gewerke],MATCH(Tabelle7[[#This Row],[Gesamtcode]],Tabelle132[Gesamtcode],0))</f>
        <v>#N/A</v>
      </c>
      <c r="G232" t="e">
        <f>INDEX(Tabelle13[Gewerknr.],MATCH(Tabelle7[[#This Row],[Gewerke]],Tabelle13[Hauptgruppe],0))</f>
        <v>#N/A</v>
      </c>
      <c r="H232" t="s">
        <v>305</v>
      </c>
      <c r="I232" t="e">
        <f ca="1">INDEX(Tabelle134[Funktionsbereichsnr.],MATCH(Tabelle7[[#This Row],[Funktionsbereiche]],INDIRECT("Tabelle134["&amp;Tabelle7[[#This Row],[Gewerke]]&amp;"]"),0))</f>
        <v>#N/A</v>
      </c>
      <c r="J232" t="e">
        <f>Tabelle7[[#This Row],[Gesamtcode]]&amp;"_"&amp;Tabelle7[[#This Row],[Zone]]&amp;"_"&amp;Tabelle7[[#This Row],[Raum]]&amp;"_"&amp;Tabelle7[[#This Row],[Bezeichnung]]</f>
        <v>#N/A</v>
      </c>
      <c r="K232">
        <v>15</v>
      </c>
      <c r="L232" t="e">
        <f>Tabelle7[[#This Row],[Hauptgruppe]]&amp;"/-/-"</f>
        <v>#N/A</v>
      </c>
      <c r="M232" t="e">
        <f ca="1">Tabelle7[[#This Row],[Hauptgruppe]]&amp;"/"&amp;Tabelle7[[#This Row],[Mittelgruppe]]&amp;"/-"</f>
        <v>#N/A</v>
      </c>
      <c r="N232" t="e">
        <f ca="1">Tabelle7[[#This Row],[Hauptgruppe]]&amp;"/"&amp;Tabelle7[[#This Row],[Mittelgruppe]]&amp;"/"&amp;Tabelle7[[#This Row],[Untergruppe]]</f>
        <v>#N/A</v>
      </c>
      <c r="O232" t="e">
        <f>INDEX(Tabelle6[Aktor],MATCH(Tabelle7[[#This Row],[Gesamtcode]],Tabelle6[Gesamtcode],0))&amp;" "&amp;INDEX(Tabelle6[Aktorkanal],MATCH(Tabelle7[[#This Row],[Gesamtcode]],Tabelle6[Gesamtcode],0))</f>
        <v>#N/A</v>
      </c>
    </row>
    <row r="233" spans="2:15" x14ac:dyDescent="0.25">
      <c r="B233" t="s">
        <v>289</v>
      </c>
      <c r="C233" t="e">
        <f>INDEX(Tabelle132[Zone],MATCH(Tabelle7[[#This Row],[Gesamtcode]],Tabelle132[Gesamtcode],0))</f>
        <v>#N/A</v>
      </c>
      <c r="D233" t="e">
        <f>INDEX(Tabelle132[Raum],MATCH(Tabelle7[[#This Row],[Gesamtcode]],Tabelle132[Gesamtcode],0))</f>
        <v>#N/A</v>
      </c>
      <c r="E233" t="e">
        <f>INDEX(Tabelle132[Bezeichnung],MATCH(Tabelle7[[#This Row],[Gesamtcode]],Tabelle132[Gesamtcode],0))</f>
        <v>#N/A</v>
      </c>
      <c r="F233" t="e">
        <f>"_"&amp;INDEX(Tabelle132[Geräte/Gewerke],MATCH(Tabelle7[[#This Row],[Gesamtcode]],Tabelle132[Gesamtcode],0))</f>
        <v>#N/A</v>
      </c>
      <c r="G233" t="e">
        <f>INDEX(Tabelle13[Gewerknr.],MATCH(Tabelle7[[#This Row],[Gewerke]],Tabelle13[Hauptgruppe],0))</f>
        <v>#N/A</v>
      </c>
      <c r="H233" t="s">
        <v>305</v>
      </c>
      <c r="I233" t="e">
        <f ca="1">INDEX(Tabelle134[Funktionsbereichsnr.],MATCH(Tabelle7[[#This Row],[Funktionsbereiche]],INDIRECT("Tabelle134["&amp;Tabelle7[[#This Row],[Gewerke]]&amp;"]"),0))</f>
        <v>#N/A</v>
      </c>
      <c r="J233" t="e">
        <f>Tabelle7[[#This Row],[Gesamtcode]]&amp;"_"&amp;Tabelle7[[#This Row],[Zone]]&amp;"_"&amp;Tabelle7[[#This Row],[Raum]]&amp;"_"&amp;Tabelle7[[#This Row],[Bezeichnung]]</f>
        <v>#N/A</v>
      </c>
      <c r="K233">
        <v>16</v>
      </c>
      <c r="L233" t="e">
        <f>Tabelle7[[#This Row],[Hauptgruppe]]&amp;"/-/-"</f>
        <v>#N/A</v>
      </c>
      <c r="M233" t="e">
        <f ca="1">Tabelle7[[#This Row],[Hauptgruppe]]&amp;"/"&amp;Tabelle7[[#This Row],[Mittelgruppe]]&amp;"/-"</f>
        <v>#N/A</v>
      </c>
      <c r="N233" t="e">
        <f ca="1">Tabelle7[[#This Row],[Hauptgruppe]]&amp;"/"&amp;Tabelle7[[#This Row],[Mittelgruppe]]&amp;"/"&amp;Tabelle7[[#This Row],[Untergruppe]]</f>
        <v>#N/A</v>
      </c>
      <c r="O233" t="e">
        <f>INDEX(Tabelle6[Aktor],MATCH(Tabelle7[[#This Row],[Gesamtcode]],Tabelle6[Gesamtcode],0))&amp;" "&amp;INDEX(Tabelle6[Aktorkanal],MATCH(Tabelle7[[#This Row],[Gesamtcode]],Tabelle6[Gesamtcode],0))</f>
        <v>#N/A</v>
      </c>
    </row>
    <row r="234" spans="2:15" x14ac:dyDescent="0.25">
      <c r="B234" t="s">
        <v>290</v>
      </c>
      <c r="C234" t="e">
        <f>INDEX(Tabelle132[Zone],MATCH(Tabelle7[[#This Row],[Gesamtcode]],Tabelle132[Gesamtcode],0))</f>
        <v>#N/A</v>
      </c>
      <c r="D234" t="e">
        <f>INDEX(Tabelle132[Raum],MATCH(Tabelle7[[#This Row],[Gesamtcode]],Tabelle132[Gesamtcode],0))</f>
        <v>#N/A</v>
      </c>
      <c r="E234" t="e">
        <f>INDEX(Tabelle132[Bezeichnung],MATCH(Tabelle7[[#This Row],[Gesamtcode]],Tabelle132[Gesamtcode],0))</f>
        <v>#N/A</v>
      </c>
      <c r="F234" t="e">
        <f>"_"&amp;INDEX(Tabelle132[Geräte/Gewerke],MATCH(Tabelle7[[#This Row],[Gesamtcode]],Tabelle132[Gesamtcode],0))</f>
        <v>#N/A</v>
      </c>
      <c r="G234" t="e">
        <f>INDEX(Tabelle13[Gewerknr.],MATCH(Tabelle7[[#This Row],[Gewerke]],Tabelle13[Hauptgruppe],0))</f>
        <v>#N/A</v>
      </c>
      <c r="H234" t="s">
        <v>305</v>
      </c>
      <c r="I234" t="e">
        <f ca="1">INDEX(Tabelle134[Funktionsbereichsnr.],MATCH(Tabelle7[[#This Row],[Funktionsbereiche]],INDIRECT("Tabelle134["&amp;Tabelle7[[#This Row],[Gewerke]]&amp;"]"),0))</f>
        <v>#N/A</v>
      </c>
      <c r="J234" t="e">
        <f>Tabelle7[[#This Row],[Gesamtcode]]&amp;"_"&amp;Tabelle7[[#This Row],[Zone]]&amp;"_"&amp;Tabelle7[[#This Row],[Raum]]&amp;"_"&amp;Tabelle7[[#This Row],[Bezeichnung]]</f>
        <v>#N/A</v>
      </c>
      <c r="K234">
        <v>17</v>
      </c>
      <c r="L234" t="e">
        <f>Tabelle7[[#This Row],[Hauptgruppe]]&amp;"/-/-"</f>
        <v>#N/A</v>
      </c>
      <c r="M234" t="e">
        <f ca="1">Tabelle7[[#This Row],[Hauptgruppe]]&amp;"/"&amp;Tabelle7[[#This Row],[Mittelgruppe]]&amp;"/-"</f>
        <v>#N/A</v>
      </c>
      <c r="N234" t="e">
        <f ca="1">Tabelle7[[#This Row],[Hauptgruppe]]&amp;"/"&amp;Tabelle7[[#This Row],[Mittelgruppe]]&amp;"/"&amp;Tabelle7[[#This Row],[Untergruppe]]</f>
        <v>#N/A</v>
      </c>
      <c r="O234" t="e">
        <f>INDEX(Tabelle6[Aktor],MATCH(Tabelle7[[#This Row],[Gesamtcode]],Tabelle6[Gesamtcode],0))&amp;" "&amp;INDEX(Tabelle6[Aktorkanal],MATCH(Tabelle7[[#This Row],[Gesamtcode]],Tabelle6[Gesamtcode],0))</f>
        <v>#N/A</v>
      </c>
    </row>
    <row r="235" spans="2:15" x14ac:dyDescent="0.25">
      <c r="B235" t="s">
        <v>291</v>
      </c>
      <c r="C235" t="e">
        <f>INDEX(Tabelle132[Zone],MATCH(Tabelle7[[#This Row],[Gesamtcode]],Tabelle132[Gesamtcode],0))</f>
        <v>#N/A</v>
      </c>
      <c r="D235" t="e">
        <f>INDEX(Tabelle132[Raum],MATCH(Tabelle7[[#This Row],[Gesamtcode]],Tabelle132[Gesamtcode],0))</f>
        <v>#N/A</v>
      </c>
      <c r="E235" t="e">
        <f>INDEX(Tabelle132[Bezeichnung],MATCH(Tabelle7[[#This Row],[Gesamtcode]],Tabelle132[Gesamtcode],0))</f>
        <v>#N/A</v>
      </c>
      <c r="F235" t="e">
        <f>"_"&amp;INDEX(Tabelle132[Geräte/Gewerke],MATCH(Tabelle7[[#This Row],[Gesamtcode]],Tabelle132[Gesamtcode],0))</f>
        <v>#N/A</v>
      </c>
      <c r="G235" t="e">
        <f>INDEX(Tabelle13[Gewerknr.],MATCH(Tabelle7[[#This Row],[Gewerke]],Tabelle13[Hauptgruppe],0))</f>
        <v>#N/A</v>
      </c>
      <c r="H235" t="s">
        <v>305</v>
      </c>
      <c r="I235" t="e">
        <f ca="1">INDEX(Tabelle134[Funktionsbereichsnr.],MATCH(Tabelle7[[#This Row],[Funktionsbereiche]],INDIRECT("Tabelle134["&amp;Tabelle7[[#This Row],[Gewerke]]&amp;"]"),0))</f>
        <v>#N/A</v>
      </c>
      <c r="J235" t="e">
        <f>Tabelle7[[#This Row],[Gesamtcode]]&amp;"_"&amp;Tabelle7[[#This Row],[Zone]]&amp;"_"&amp;Tabelle7[[#This Row],[Raum]]&amp;"_"&amp;Tabelle7[[#This Row],[Bezeichnung]]</f>
        <v>#N/A</v>
      </c>
      <c r="K235">
        <v>18</v>
      </c>
      <c r="L235" t="e">
        <f>Tabelle7[[#This Row],[Hauptgruppe]]&amp;"/-/-"</f>
        <v>#N/A</v>
      </c>
      <c r="M235" t="e">
        <f ca="1">Tabelle7[[#This Row],[Hauptgruppe]]&amp;"/"&amp;Tabelle7[[#This Row],[Mittelgruppe]]&amp;"/-"</f>
        <v>#N/A</v>
      </c>
      <c r="N235" t="e">
        <f ca="1">Tabelle7[[#This Row],[Hauptgruppe]]&amp;"/"&amp;Tabelle7[[#This Row],[Mittelgruppe]]&amp;"/"&amp;Tabelle7[[#This Row],[Untergruppe]]</f>
        <v>#N/A</v>
      </c>
      <c r="O235" t="e">
        <f>INDEX(Tabelle6[Aktor],MATCH(Tabelle7[[#This Row],[Gesamtcode]],Tabelle6[Gesamtcode],0))&amp;" "&amp;INDEX(Tabelle6[Aktorkanal],MATCH(Tabelle7[[#This Row],[Gesamtcode]],Tabelle6[Gesamtcode],0))</f>
        <v>#N/A</v>
      </c>
    </row>
    <row r="236" spans="2:15" x14ac:dyDescent="0.25">
      <c r="B236" t="s">
        <v>292</v>
      </c>
      <c r="C236" t="e">
        <f>INDEX(Tabelle132[Zone],MATCH(Tabelle7[[#This Row],[Gesamtcode]],Tabelle132[Gesamtcode],0))</f>
        <v>#N/A</v>
      </c>
      <c r="D236" t="e">
        <f>INDEX(Tabelle132[Raum],MATCH(Tabelle7[[#This Row],[Gesamtcode]],Tabelle132[Gesamtcode],0))</f>
        <v>#N/A</v>
      </c>
      <c r="E236" t="e">
        <f>INDEX(Tabelle132[Bezeichnung],MATCH(Tabelle7[[#This Row],[Gesamtcode]],Tabelle132[Gesamtcode],0))</f>
        <v>#N/A</v>
      </c>
      <c r="F236" t="e">
        <f>"_"&amp;INDEX(Tabelle132[Geräte/Gewerke],MATCH(Tabelle7[[#This Row],[Gesamtcode]],Tabelle132[Gesamtcode],0))</f>
        <v>#N/A</v>
      </c>
      <c r="G236" t="e">
        <f>INDEX(Tabelle13[Gewerknr.],MATCH(Tabelle7[[#This Row],[Gewerke]],Tabelle13[Hauptgruppe],0))</f>
        <v>#N/A</v>
      </c>
      <c r="H236" t="s">
        <v>305</v>
      </c>
      <c r="I236" t="e">
        <f ca="1">INDEX(Tabelle134[Funktionsbereichsnr.],MATCH(Tabelle7[[#This Row],[Funktionsbereiche]],INDIRECT("Tabelle134["&amp;Tabelle7[[#This Row],[Gewerke]]&amp;"]"),0))</f>
        <v>#N/A</v>
      </c>
      <c r="J236" t="e">
        <f>Tabelle7[[#This Row],[Gesamtcode]]&amp;"_"&amp;Tabelle7[[#This Row],[Zone]]&amp;"_"&amp;Tabelle7[[#This Row],[Raum]]&amp;"_"&amp;Tabelle7[[#This Row],[Bezeichnung]]</f>
        <v>#N/A</v>
      </c>
      <c r="K236">
        <v>19</v>
      </c>
      <c r="L236" t="e">
        <f>Tabelle7[[#This Row],[Hauptgruppe]]&amp;"/-/-"</f>
        <v>#N/A</v>
      </c>
      <c r="M236" t="e">
        <f ca="1">Tabelle7[[#This Row],[Hauptgruppe]]&amp;"/"&amp;Tabelle7[[#This Row],[Mittelgruppe]]&amp;"/-"</f>
        <v>#N/A</v>
      </c>
      <c r="N236" t="e">
        <f ca="1">Tabelle7[[#This Row],[Hauptgruppe]]&amp;"/"&amp;Tabelle7[[#This Row],[Mittelgruppe]]&amp;"/"&amp;Tabelle7[[#This Row],[Untergruppe]]</f>
        <v>#N/A</v>
      </c>
      <c r="O236" t="e">
        <f>INDEX(Tabelle6[Aktor],MATCH(Tabelle7[[#This Row],[Gesamtcode]],Tabelle6[Gesamtcode],0))&amp;" "&amp;INDEX(Tabelle6[Aktorkanal],MATCH(Tabelle7[[#This Row],[Gesamtcode]],Tabelle6[Gesamtcode],0))</f>
        <v>#N/A</v>
      </c>
    </row>
    <row r="237" spans="2:15" x14ac:dyDescent="0.25">
      <c r="B237" t="s">
        <v>293</v>
      </c>
      <c r="C237" t="e">
        <f>INDEX(Tabelle132[Zone],MATCH(Tabelle7[[#This Row],[Gesamtcode]],Tabelle132[Gesamtcode],0))</f>
        <v>#N/A</v>
      </c>
      <c r="D237" t="e">
        <f>INDEX(Tabelle132[Raum],MATCH(Tabelle7[[#This Row],[Gesamtcode]],Tabelle132[Gesamtcode],0))</f>
        <v>#N/A</v>
      </c>
      <c r="E237" t="e">
        <f>INDEX(Tabelle132[Bezeichnung],MATCH(Tabelle7[[#This Row],[Gesamtcode]],Tabelle132[Gesamtcode],0))</f>
        <v>#N/A</v>
      </c>
      <c r="F237" t="e">
        <f>"_"&amp;INDEX(Tabelle132[Geräte/Gewerke],MATCH(Tabelle7[[#This Row],[Gesamtcode]],Tabelle132[Gesamtcode],0))</f>
        <v>#N/A</v>
      </c>
      <c r="G237" t="e">
        <f>INDEX(Tabelle13[Gewerknr.],MATCH(Tabelle7[[#This Row],[Gewerke]],Tabelle13[Hauptgruppe],0))</f>
        <v>#N/A</v>
      </c>
      <c r="H237" t="s">
        <v>305</v>
      </c>
      <c r="I237" t="e">
        <f ca="1">INDEX(Tabelle134[Funktionsbereichsnr.],MATCH(Tabelle7[[#This Row],[Funktionsbereiche]],INDIRECT("Tabelle134["&amp;Tabelle7[[#This Row],[Gewerke]]&amp;"]"),0))</f>
        <v>#N/A</v>
      </c>
      <c r="J237" t="e">
        <f>Tabelle7[[#This Row],[Gesamtcode]]&amp;"_"&amp;Tabelle7[[#This Row],[Zone]]&amp;"_"&amp;Tabelle7[[#This Row],[Raum]]&amp;"_"&amp;Tabelle7[[#This Row],[Bezeichnung]]</f>
        <v>#N/A</v>
      </c>
      <c r="K237">
        <v>2</v>
      </c>
      <c r="L237" t="e">
        <f>Tabelle7[[#This Row],[Hauptgruppe]]&amp;"/-/-"</f>
        <v>#N/A</v>
      </c>
      <c r="M237" t="e">
        <f ca="1">Tabelle7[[#This Row],[Hauptgruppe]]&amp;"/"&amp;Tabelle7[[#This Row],[Mittelgruppe]]&amp;"/-"</f>
        <v>#N/A</v>
      </c>
      <c r="N237" t="e">
        <f ca="1">Tabelle7[[#This Row],[Hauptgruppe]]&amp;"/"&amp;Tabelle7[[#This Row],[Mittelgruppe]]&amp;"/"&amp;Tabelle7[[#This Row],[Untergruppe]]</f>
        <v>#N/A</v>
      </c>
      <c r="O237" t="e">
        <f>INDEX(Tabelle6[Aktor],MATCH(Tabelle7[[#This Row],[Gesamtcode]],Tabelle6[Gesamtcode],0))&amp;" "&amp;INDEX(Tabelle6[Aktorkanal],MATCH(Tabelle7[[#This Row],[Gesamtcode]],Tabelle6[Gesamtcode],0))</f>
        <v>#N/A</v>
      </c>
    </row>
    <row r="238" spans="2:15" x14ac:dyDescent="0.25">
      <c r="B238" t="s">
        <v>294</v>
      </c>
      <c r="C238" t="e">
        <f>INDEX(Tabelle132[Zone],MATCH(Tabelle7[[#This Row],[Gesamtcode]],Tabelle132[Gesamtcode],0))</f>
        <v>#N/A</v>
      </c>
      <c r="D238" t="e">
        <f>INDEX(Tabelle132[Raum],MATCH(Tabelle7[[#This Row],[Gesamtcode]],Tabelle132[Gesamtcode],0))</f>
        <v>#N/A</v>
      </c>
      <c r="E238" t="e">
        <f>INDEX(Tabelle132[Bezeichnung],MATCH(Tabelle7[[#This Row],[Gesamtcode]],Tabelle132[Gesamtcode],0))</f>
        <v>#N/A</v>
      </c>
      <c r="F238" t="e">
        <f>"_"&amp;INDEX(Tabelle132[Geräte/Gewerke],MATCH(Tabelle7[[#This Row],[Gesamtcode]],Tabelle132[Gesamtcode],0))</f>
        <v>#N/A</v>
      </c>
      <c r="G238" t="e">
        <f>INDEX(Tabelle13[Gewerknr.],MATCH(Tabelle7[[#This Row],[Gewerke]],Tabelle13[Hauptgruppe],0))</f>
        <v>#N/A</v>
      </c>
      <c r="H238" t="s">
        <v>305</v>
      </c>
      <c r="I238" t="e">
        <f ca="1">INDEX(Tabelle134[Funktionsbereichsnr.],MATCH(Tabelle7[[#This Row],[Funktionsbereiche]],INDIRECT("Tabelle134["&amp;Tabelle7[[#This Row],[Gewerke]]&amp;"]"),0))</f>
        <v>#N/A</v>
      </c>
      <c r="J238" t="e">
        <f>Tabelle7[[#This Row],[Gesamtcode]]&amp;"_"&amp;Tabelle7[[#This Row],[Zone]]&amp;"_"&amp;Tabelle7[[#This Row],[Raum]]&amp;"_"&amp;Tabelle7[[#This Row],[Bezeichnung]]</f>
        <v>#N/A</v>
      </c>
      <c r="K238">
        <v>20</v>
      </c>
      <c r="L238" t="e">
        <f>Tabelle7[[#This Row],[Hauptgruppe]]&amp;"/-/-"</f>
        <v>#N/A</v>
      </c>
      <c r="M238" t="e">
        <f ca="1">Tabelle7[[#This Row],[Hauptgruppe]]&amp;"/"&amp;Tabelle7[[#This Row],[Mittelgruppe]]&amp;"/-"</f>
        <v>#N/A</v>
      </c>
      <c r="N238" t="e">
        <f ca="1">Tabelle7[[#This Row],[Hauptgruppe]]&amp;"/"&amp;Tabelle7[[#This Row],[Mittelgruppe]]&amp;"/"&amp;Tabelle7[[#This Row],[Untergruppe]]</f>
        <v>#N/A</v>
      </c>
      <c r="O238" t="e">
        <f>INDEX(Tabelle6[Aktor],MATCH(Tabelle7[[#This Row],[Gesamtcode]],Tabelle6[Gesamtcode],0))&amp;" "&amp;INDEX(Tabelle6[Aktorkanal],MATCH(Tabelle7[[#This Row],[Gesamtcode]],Tabelle6[Gesamtcode],0))</f>
        <v>#N/A</v>
      </c>
    </row>
    <row r="239" spans="2:15" x14ac:dyDescent="0.25">
      <c r="B239" t="s">
        <v>295</v>
      </c>
      <c r="C239" t="e">
        <f>INDEX(Tabelle132[Zone],MATCH(Tabelle7[[#This Row],[Gesamtcode]],Tabelle132[Gesamtcode],0))</f>
        <v>#N/A</v>
      </c>
      <c r="D239" t="e">
        <f>INDEX(Tabelle132[Raum],MATCH(Tabelle7[[#This Row],[Gesamtcode]],Tabelle132[Gesamtcode],0))</f>
        <v>#N/A</v>
      </c>
      <c r="E239" t="e">
        <f>INDEX(Tabelle132[Bezeichnung],MATCH(Tabelle7[[#This Row],[Gesamtcode]],Tabelle132[Gesamtcode],0))</f>
        <v>#N/A</v>
      </c>
      <c r="F239" t="e">
        <f>"_"&amp;INDEX(Tabelle132[Geräte/Gewerke],MATCH(Tabelle7[[#This Row],[Gesamtcode]],Tabelle132[Gesamtcode],0))</f>
        <v>#N/A</v>
      </c>
      <c r="G239" t="e">
        <f>INDEX(Tabelle13[Gewerknr.],MATCH(Tabelle7[[#This Row],[Gewerke]],Tabelle13[Hauptgruppe],0))</f>
        <v>#N/A</v>
      </c>
      <c r="H239" t="s">
        <v>305</v>
      </c>
      <c r="I239" t="e">
        <f ca="1">INDEX(Tabelle134[Funktionsbereichsnr.],MATCH(Tabelle7[[#This Row],[Funktionsbereiche]],INDIRECT("Tabelle134["&amp;Tabelle7[[#This Row],[Gewerke]]&amp;"]"),0))</f>
        <v>#N/A</v>
      </c>
      <c r="J239" t="e">
        <f>Tabelle7[[#This Row],[Gesamtcode]]&amp;"_"&amp;Tabelle7[[#This Row],[Zone]]&amp;"_"&amp;Tabelle7[[#This Row],[Raum]]&amp;"_"&amp;Tabelle7[[#This Row],[Bezeichnung]]</f>
        <v>#N/A</v>
      </c>
      <c r="K239">
        <v>21</v>
      </c>
      <c r="L239" t="e">
        <f>Tabelle7[[#This Row],[Hauptgruppe]]&amp;"/-/-"</f>
        <v>#N/A</v>
      </c>
      <c r="M239" t="e">
        <f ca="1">Tabelle7[[#This Row],[Hauptgruppe]]&amp;"/"&amp;Tabelle7[[#This Row],[Mittelgruppe]]&amp;"/-"</f>
        <v>#N/A</v>
      </c>
      <c r="N239" t="e">
        <f ca="1">Tabelle7[[#This Row],[Hauptgruppe]]&amp;"/"&amp;Tabelle7[[#This Row],[Mittelgruppe]]&amp;"/"&amp;Tabelle7[[#This Row],[Untergruppe]]</f>
        <v>#N/A</v>
      </c>
      <c r="O239" t="e">
        <f>INDEX(Tabelle6[Aktor],MATCH(Tabelle7[[#This Row],[Gesamtcode]],Tabelle6[Gesamtcode],0))&amp;" "&amp;INDEX(Tabelle6[Aktorkanal],MATCH(Tabelle7[[#This Row],[Gesamtcode]],Tabelle6[Gesamtcode],0))</f>
        <v>#N/A</v>
      </c>
    </row>
    <row r="240" spans="2:15" x14ac:dyDescent="0.25">
      <c r="B240" t="s">
        <v>296</v>
      </c>
      <c r="C240" t="e">
        <f>INDEX(Tabelle132[Zone],MATCH(Tabelle7[[#This Row],[Gesamtcode]],Tabelle132[Gesamtcode],0))</f>
        <v>#N/A</v>
      </c>
      <c r="D240" t="e">
        <f>INDEX(Tabelle132[Raum],MATCH(Tabelle7[[#This Row],[Gesamtcode]],Tabelle132[Gesamtcode],0))</f>
        <v>#N/A</v>
      </c>
      <c r="E240" t="e">
        <f>INDEX(Tabelle132[Bezeichnung],MATCH(Tabelle7[[#This Row],[Gesamtcode]],Tabelle132[Gesamtcode],0))</f>
        <v>#N/A</v>
      </c>
      <c r="F240" t="e">
        <f>"_"&amp;INDEX(Tabelle132[Geräte/Gewerke],MATCH(Tabelle7[[#This Row],[Gesamtcode]],Tabelle132[Gesamtcode],0))</f>
        <v>#N/A</v>
      </c>
      <c r="G240" t="e">
        <f>INDEX(Tabelle13[Gewerknr.],MATCH(Tabelle7[[#This Row],[Gewerke]],Tabelle13[Hauptgruppe],0))</f>
        <v>#N/A</v>
      </c>
      <c r="H240" t="s">
        <v>305</v>
      </c>
      <c r="I240" t="e">
        <f ca="1">INDEX(Tabelle134[Funktionsbereichsnr.],MATCH(Tabelle7[[#This Row],[Funktionsbereiche]],INDIRECT("Tabelle134["&amp;Tabelle7[[#This Row],[Gewerke]]&amp;"]"),0))</f>
        <v>#N/A</v>
      </c>
      <c r="J240" t="e">
        <f>Tabelle7[[#This Row],[Gesamtcode]]&amp;"_"&amp;Tabelle7[[#This Row],[Zone]]&amp;"_"&amp;Tabelle7[[#This Row],[Raum]]&amp;"_"&amp;Tabelle7[[#This Row],[Bezeichnung]]</f>
        <v>#N/A</v>
      </c>
      <c r="K240">
        <v>22</v>
      </c>
      <c r="L240" t="e">
        <f>Tabelle7[[#This Row],[Hauptgruppe]]&amp;"/-/-"</f>
        <v>#N/A</v>
      </c>
      <c r="M240" t="e">
        <f ca="1">Tabelle7[[#This Row],[Hauptgruppe]]&amp;"/"&amp;Tabelle7[[#This Row],[Mittelgruppe]]&amp;"/-"</f>
        <v>#N/A</v>
      </c>
      <c r="N240" t="e">
        <f ca="1">Tabelle7[[#This Row],[Hauptgruppe]]&amp;"/"&amp;Tabelle7[[#This Row],[Mittelgruppe]]&amp;"/"&amp;Tabelle7[[#This Row],[Untergruppe]]</f>
        <v>#N/A</v>
      </c>
      <c r="O240" t="e">
        <f>INDEX(Tabelle6[Aktor],MATCH(Tabelle7[[#This Row],[Gesamtcode]],Tabelle6[Gesamtcode],0))&amp;" "&amp;INDEX(Tabelle6[Aktorkanal],MATCH(Tabelle7[[#This Row],[Gesamtcode]],Tabelle6[Gesamtcode],0))</f>
        <v>#N/A</v>
      </c>
    </row>
    <row r="241" spans="2:15" x14ac:dyDescent="0.25">
      <c r="B241" t="s">
        <v>297</v>
      </c>
      <c r="C241" t="e">
        <f>INDEX(Tabelle132[Zone],MATCH(Tabelle7[[#This Row],[Gesamtcode]],Tabelle132[Gesamtcode],0))</f>
        <v>#N/A</v>
      </c>
      <c r="D241" t="e">
        <f>INDEX(Tabelle132[Raum],MATCH(Tabelle7[[#This Row],[Gesamtcode]],Tabelle132[Gesamtcode],0))</f>
        <v>#N/A</v>
      </c>
      <c r="E241" t="e">
        <f>INDEX(Tabelle132[Bezeichnung],MATCH(Tabelle7[[#This Row],[Gesamtcode]],Tabelle132[Gesamtcode],0))</f>
        <v>#N/A</v>
      </c>
      <c r="F241" t="e">
        <f>"_"&amp;INDEX(Tabelle132[Geräte/Gewerke],MATCH(Tabelle7[[#This Row],[Gesamtcode]],Tabelle132[Gesamtcode],0))</f>
        <v>#N/A</v>
      </c>
      <c r="G241" t="e">
        <f>INDEX(Tabelle13[Gewerknr.],MATCH(Tabelle7[[#This Row],[Gewerke]],Tabelle13[Hauptgruppe],0))</f>
        <v>#N/A</v>
      </c>
      <c r="H241" t="s">
        <v>305</v>
      </c>
      <c r="I241" t="e">
        <f ca="1">INDEX(Tabelle134[Funktionsbereichsnr.],MATCH(Tabelle7[[#This Row],[Funktionsbereiche]],INDIRECT("Tabelle134["&amp;Tabelle7[[#This Row],[Gewerke]]&amp;"]"),0))</f>
        <v>#N/A</v>
      </c>
      <c r="J241" t="e">
        <f>Tabelle7[[#This Row],[Gesamtcode]]&amp;"_"&amp;Tabelle7[[#This Row],[Zone]]&amp;"_"&amp;Tabelle7[[#This Row],[Raum]]&amp;"_"&amp;Tabelle7[[#This Row],[Bezeichnung]]</f>
        <v>#N/A</v>
      </c>
      <c r="K241">
        <v>3</v>
      </c>
      <c r="L241" t="e">
        <f>Tabelle7[[#This Row],[Hauptgruppe]]&amp;"/-/-"</f>
        <v>#N/A</v>
      </c>
      <c r="M241" t="e">
        <f ca="1">Tabelle7[[#This Row],[Hauptgruppe]]&amp;"/"&amp;Tabelle7[[#This Row],[Mittelgruppe]]&amp;"/-"</f>
        <v>#N/A</v>
      </c>
      <c r="N241" t="e">
        <f ca="1">Tabelle7[[#This Row],[Hauptgruppe]]&amp;"/"&amp;Tabelle7[[#This Row],[Mittelgruppe]]&amp;"/"&amp;Tabelle7[[#This Row],[Untergruppe]]</f>
        <v>#N/A</v>
      </c>
      <c r="O241" t="e">
        <f>INDEX(Tabelle6[Aktor],MATCH(Tabelle7[[#This Row],[Gesamtcode]],Tabelle6[Gesamtcode],0))&amp;" "&amp;INDEX(Tabelle6[Aktorkanal],MATCH(Tabelle7[[#This Row],[Gesamtcode]],Tabelle6[Gesamtcode],0))</f>
        <v>#N/A</v>
      </c>
    </row>
    <row r="242" spans="2:15" x14ac:dyDescent="0.25">
      <c r="B242" t="s">
        <v>298</v>
      </c>
      <c r="C242" t="e">
        <f>INDEX(Tabelle132[Zone],MATCH(Tabelle7[[#This Row],[Gesamtcode]],Tabelle132[Gesamtcode],0))</f>
        <v>#N/A</v>
      </c>
      <c r="D242" t="e">
        <f>INDEX(Tabelle132[Raum],MATCH(Tabelle7[[#This Row],[Gesamtcode]],Tabelle132[Gesamtcode],0))</f>
        <v>#N/A</v>
      </c>
      <c r="E242" t="e">
        <f>INDEX(Tabelle132[Bezeichnung],MATCH(Tabelle7[[#This Row],[Gesamtcode]],Tabelle132[Gesamtcode],0))</f>
        <v>#N/A</v>
      </c>
      <c r="F242" t="e">
        <f>"_"&amp;INDEX(Tabelle132[Geräte/Gewerke],MATCH(Tabelle7[[#This Row],[Gesamtcode]],Tabelle132[Gesamtcode],0))</f>
        <v>#N/A</v>
      </c>
      <c r="G242" t="e">
        <f>INDEX(Tabelle13[Gewerknr.],MATCH(Tabelle7[[#This Row],[Gewerke]],Tabelle13[Hauptgruppe],0))</f>
        <v>#N/A</v>
      </c>
      <c r="H242" t="s">
        <v>305</v>
      </c>
      <c r="I242" t="e">
        <f ca="1">INDEX(Tabelle134[Funktionsbereichsnr.],MATCH(Tabelle7[[#This Row],[Funktionsbereiche]],INDIRECT("Tabelle134["&amp;Tabelle7[[#This Row],[Gewerke]]&amp;"]"),0))</f>
        <v>#N/A</v>
      </c>
      <c r="J242" t="e">
        <f>Tabelle7[[#This Row],[Gesamtcode]]&amp;"_"&amp;Tabelle7[[#This Row],[Zone]]&amp;"_"&amp;Tabelle7[[#This Row],[Raum]]&amp;"_"&amp;Tabelle7[[#This Row],[Bezeichnung]]</f>
        <v>#N/A</v>
      </c>
      <c r="K242">
        <v>4</v>
      </c>
      <c r="L242" t="e">
        <f>Tabelle7[[#This Row],[Hauptgruppe]]&amp;"/-/-"</f>
        <v>#N/A</v>
      </c>
      <c r="M242" t="e">
        <f ca="1">Tabelle7[[#This Row],[Hauptgruppe]]&amp;"/"&amp;Tabelle7[[#This Row],[Mittelgruppe]]&amp;"/-"</f>
        <v>#N/A</v>
      </c>
      <c r="N242" t="e">
        <f ca="1">Tabelle7[[#This Row],[Hauptgruppe]]&amp;"/"&amp;Tabelle7[[#This Row],[Mittelgruppe]]&amp;"/"&amp;Tabelle7[[#This Row],[Untergruppe]]</f>
        <v>#N/A</v>
      </c>
      <c r="O242" t="e">
        <f>INDEX(Tabelle6[Aktor],MATCH(Tabelle7[[#This Row],[Gesamtcode]],Tabelle6[Gesamtcode],0))&amp;" "&amp;INDEX(Tabelle6[Aktorkanal],MATCH(Tabelle7[[#This Row],[Gesamtcode]],Tabelle6[Gesamtcode],0))</f>
        <v>#N/A</v>
      </c>
    </row>
    <row r="243" spans="2:15" x14ac:dyDescent="0.25">
      <c r="B243" t="s">
        <v>299</v>
      </c>
      <c r="C243" t="e">
        <f>INDEX(Tabelle132[Zone],MATCH(Tabelle7[[#This Row],[Gesamtcode]],Tabelle132[Gesamtcode],0))</f>
        <v>#N/A</v>
      </c>
      <c r="D243" t="e">
        <f>INDEX(Tabelle132[Raum],MATCH(Tabelle7[[#This Row],[Gesamtcode]],Tabelle132[Gesamtcode],0))</f>
        <v>#N/A</v>
      </c>
      <c r="E243" t="e">
        <f>INDEX(Tabelle132[Bezeichnung],MATCH(Tabelle7[[#This Row],[Gesamtcode]],Tabelle132[Gesamtcode],0))</f>
        <v>#N/A</v>
      </c>
      <c r="F243" t="e">
        <f>"_"&amp;INDEX(Tabelle132[Geräte/Gewerke],MATCH(Tabelle7[[#This Row],[Gesamtcode]],Tabelle132[Gesamtcode],0))</f>
        <v>#N/A</v>
      </c>
      <c r="G243" t="e">
        <f>INDEX(Tabelle13[Gewerknr.],MATCH(Tabelle7[[#This Row],[Gewerke]],Tabelle13[Hauptgruppe],0))</f>
        <v>#N/A</v>
      </c>
      <c r="H243" t="s">
        <v>305</v>
      </c>
      <c r="I243" t="e">
        <f ca="1">INDEX(Tabelle134[Funktionsbereichsnr.],MATCH(Tabelle7[[#This Row],[Funktionsbereiche]],INDIRECT("Tabelle134["&amp;Tabelle7[[#This Row],[Gewerke]]&amp;"]"),0))</f>
        <v>#N/A</v>
      </c>
      <c r="J243" t="e">
        <f>Tabelle7[[#This Row],[Gesamtcode]]&amp;"_"&amp;Tabelle7[[#This Row],[Zone]]&amp;"_"&amp;Tabelle7[[#This Row],[Raum]]&amp;"_"&amp;Tabelle7[[#This Row],[Bezeichnung]]</f>
        <v>#N/A</v>
      </c>
      <c r="K243">
        <v>5</v>
      </c>
      <c r="L243" t="e">
        <f>Tabelle7[[#This Row],[Hauptgruppe]]&amp;"/-/-"</f>
        <v>#N/A</v>
      </c>
      <c r="M243" t="e">
        <f ca="1">Tabelle7[[#This Row],[Hauptgruppe]]&amp;"/"&amp;Tabelle7[[#This Row],[Mittelgruppe]]&amp;"/-"</f>
        <v>#N/A</v>
      </c>
      <c r="N243" t="e">
        <f ca="1">Tabelle7[[#This Row],[Hauptgruppe]]&amp;"/"&amp;Tabelle7[[#This Row],[Mittelgruppe]]&amp;"/"&amp;Tabelle7[[#This Row],[Untergruppe]]</f>
        <v>#N/A</v>
      </c>
      <c r="O243" t="e">
        <f>INDEX(Tabelle6[Aktor],MATCH(Tabelle7[[#This Row],[Gesamtcode]],Tabelle6[Gesamtcode],0))&amp;" "&amp;INDEX(Tabelle6[Aktorkanal],MATCH(Tabelle7[[#This Row],[Gesamtcode]],Tabelle6[Gesamtcode],0))</f>
        <v>#N/A</v>
      </c>
    </row>
    <row r="244" spans="2:15" x14ac:dyDescent="0.25">
      <c r="B244" t="s">
        <v>300</v>
      </c>
      <c r="C244" t="e">
        <f>INDEX(Tabelle132[Zone],MATCH(Tabelle7[[#This Row],[Gesamtcode]],Tabelle132[Gesamtcode],0))</f>
        <v>#N/A</v>
      </c>
      <c r="D244" t="e">
        <f>INDEX(Tabelle132[Raum],MATCH(Tabelle7[[#This Row],[Gesamtcode]],Tabelle132[Gesamtcode],0))</f>
        <v>#N/A</v>
      </c>
      <c r="E244" t="e">
        <f>INDEX(Tabelle132[Bezeichnung],MATCH(Tabelle7[[#This Row],[Gesamtcode]],Tabelle132[Gesamtcode],0))</f>
        <v>#N/A</v>
      </c>
      <c r="F244" t="e">
        <f>"_"&amp;INDEX(Tabelle132[Geräte/Gewerke],MATCH(Tabelle7[[#This Row],[Gesamtcode]],Tabelle132[Gesamtcode],0))</f>
        <v>#N/A</v>
      </c>
      <c r="G244" t="e">
        <f>INDEX(Tabelle13[Gewerknr.],MATCH(Tabelle7[[#This Row],[Gewerke]],Tabelle13[Hauptgruppe],0))</f>
        <v>#N/A</v>
      </c>
      <c r="H244" t="s">
        <v>305</v>
      </c>
      <c r="I244" t="e">
        <f ca="1">INDEX(Tabelle134[Funktionsbereichsnr.],MATCH(Tabelle7[[#This Row],[Funktionsbereiche]],INDIRECT("Tabelle134["&amp;Tabelle7[[#This Row],[Gewerke]]&amp;"]"),0))</f>
        <v>#N/A</v>
      </c>
      <c r="J244" t="e">
        <f>Tabelle7[[#This Row],[Gesamtcode]]&amp;"_"&amp;Tabelle7[[#This Row],[Zone]]&amp;"_"&amp;Tabelle7[[#This Row],[Raum]]&amp;"_"&amp;Tabelle7[[#This Row],[Bezeichnung]]</f>
        <v>#N/A</v>
      </c>
      <c r="K244">
        <v>6</v>
      </c>
      <c r="L244" t="e">
        <f>Tabelle7[[#This Row],[Hauptgruppe]]&amp;"/-/-"</f>
        <v>#N/A</v>
      </c>
      <c r="M244" t="e">
        <f ca="1">Tabelle7[[#This Row],[Hauptgruppe]]&amp;"/"&amp;Tabelle7[[#This Row],[Mittelgruppe]]&amp;"/-"</f>
        <v>#N/A</v>
      </c>
      <c r="N244" t="e">
        <f ca="1">Tabelle7[[#This Row],[Hauptgruppe]]&amp;"/"&amp;Tabelle7[[#This Row],[Mittelgruppe]]&amp;"/"&amp;Tabelle7[[#This Row],[Untergruppe]]</f>
        <v>#N/A</v>
      </c>
      <c r="O244" t="e">
        <f>INDEX(Tabelle6[Aktor],MATCH(Tabelle7[[#This Row],[Gesamtcode]],Tabelle6[Gesamtcode],0))&amp;" "&amp;INDEX(Tabelle6[Aktorkanal],MATCH(Tabelle7[[#This Row],[Gesamtcode]],Tabelle6[Gesamtcode],0))</f>
        <v>#N/A</v>
      </c>
    </row>
    <row r="245" spans="2:15" x14ac:dyDescent="0.25">
      <c r="B245" t="s">
        <v>301</v>
      </c>
      <c r="C245" t="e">
        <f>INDEX(Tabelle132[Zone],MATCH(Tabelle7[[#This Row],[Gesamtcode]],Tabelle132[Gesamtcode],0))</f>
        <v>#N/A</v>
      </c>
      <c r="D245" t="e">
        <f>INDEX(Tabelle132[Raum],MATCH(Tabelle7[[#This Row],[Gesamtcode]],Tabelle132[Gesamtcode],0))</f>
        <v>#N/A</v>
      </c>
      <c r="E245" t="e">
        <f>INDEX(Tabelle132[Bezeichnung],MATCH(Tabelle7[[#This Row],[Gesamtcode]],Tabelle132[Gesamtcode],0))</f>
        <v>#N/A</v>
      </c>
      <c r="F245" t="e">
        <f>"_"&amp;INDEX(Tabelle132[Geräte/Gewerke],MATCH(Tabelle7[[#This Row],[Gesamtcode]],Tabelle132[Gesamtcode],0))</f>
        <v>#N/A</v>
      </c>
      <c r="G245" t="e">
        <f>INDEX(Tabelle13[Gewerknr.],MATCH(Tabelle7[[#This Row],[Gewerke]],Tabelle13[Hauptgruppe],0))</f>
        <v>#N/A</v>
      </c>
      <c r="H245" t="s">
        <v>305</v>
      </c>
      <c r="I245" t="e">
        <f ca="1">INDEX(Tabelle134[Funktionsbereichsnr.],MATCH(Tabelle7[[#This Row],[Funktionsbereiche]],INDIRECT("Tabelle134["&amp;Tabelle7[[#This Row],[Gewerke]]&amp;"]"),0))</f>
        <v>#N/A</v>
      </c>
      <c r="J245" t="e">
        <f>Tabelle7[[#This Row],[Gesamtcode]]&amp;"_"&amp;Tabelle7[[#This Row],[Zone]]&amp;"_"&amp;Tabelle7[[#This Row],[Raum]]&amp;"_"&amp;Tabelle7[[#This Row],[Bezeichnung]]</f>
        <v>#N/A</v>
      </c>
      <c r="K245">
        <v>7</v>
      </c>
      <c r="L245" t="e">
        <f>Tabelle7[[#This Row],[Hauptgruppe]]&amp;"/-/-"</f>
        <v>#N/A</v>
      </c>
      <c r="M245" t="e">
        <f ca="1">Tabelle7[[#This Row],[Hauptgruppe]]&amp;"/"&amp;Tabelle7[[#This Row],[Mittelgruppe]]&amp;"/-"</f>
        <v>#N/A</v>
      </c>
      <c r="N245" t="e">
        <f ca="1">Tabelle7[[#This Row],[Hauptgruppe]]&amp;"/"&amp;Tabelle7[[#This Row],[Mittelgruppe]]&amp;"/"&amp;Tabelle7[[#This Row],[Untergruppe]]</f>
        <v>#N/A</v>
      </c>
      <c r="O245" t="e">
        <f>INDEX(Tabelle6[Aktor],MATCH(Tabelle7[[#This Row],[Gesamtcode]],Tabelle6[Gesamtcode],0))&amp;" "&amp;INDEX(Tabelle6[Aktorkanal],MATCH(Tabelle7[[#This Row],[Gesamtcode]],Tabelle6[Gesamtcode],0))</f>
        <v>#N/A</v>
      </c>
    </row>
    <row r="246" spans="2:15" x14ac:dyDescent="0.25">
      <c r="B246" t="s">
        <v>302</v>
      </c>
      <c r="C246" t="e">
        <f>INDEX(Tabelle132[Zone],MATCH(Tabelle7[[#This Row],[Gesamtcode]],Tabelle132[Gesamtcode],0))</f>
        <v>#N/A</v>
      </c>
      <c r="D246" t="e">
        <f>INDEX(Tabelle132[Raum],MATCH(Tabelle7[[#This Row],[Gesamtcode]],Tabelle132[Gesamtcode],0))</f>
        <v>#N/A</v>
      </c>
      <c r="E246" t="e">
        <f>INDEX(Tabelle132[Bezeichnung],MATCH(Tabelle7[[#This Row],[Gesamtcode]],Tabelle132[Gesamtcode],0))</f>
        <v>#N/A</v>
      </c>
      <c r="F246" t="e">
        <f>"_"&amp;INDEX(Tabelle132[Geräte/Gewerke],MATCH(Tabelle7[[#This Row],[Gesamtcode]],Tabelle132[Gesamtcode],0))</f>
        <v>#N/A</v>
      </c>
      <c r="G246" t="e">
        <f>INDEX(Tabelle13[Gewerknr.],MATCH(Tabelle7[[#This Row],[Gewerke]],Tabelle13[Hauptgruppe],0))</f>
        <v>#N/A</v>
      </c>
      <c r="H246" t="s">
        <v>305</v>
      </c>
      <c r="I246" t="e">
        <f ca="1">INDEX(Tabelle134[Funktionsbereichsnr.],MATCH(Tabelle7[[#This Row],[Funktionsbereiche]],INDIRECT("Tabelle134["&amp;Tabelle7[[#This Row],[Gewerke]]&amp;"]"),0))</f>
        <v>#N/A</v>
      </c>
      <c r="J246" t="e">
        <f>Tabelle7[[#This Row],[Gesamtcode]]&amp;"_"&amp;Tabelle7[[#This Row],[Zone]]&amp;"_"&amp;Tabelle7[[#This Row],[Raum]]&amp;"_"&amp;Tabelle7[[#This Row],[Bezeichnung]]</f>
        <v>#N/A</v>
      </c>
      <c r="K246">
        <v>8</v>
      </c>
      <c r="L246" t="e">
        <f>Tabelle7[[#This Row],[Hauptgruppe]]&amp;"/-/-"</f>
        <v>#N/A</v>
      </c>
      <c r="M246" t="e">
        <f ca="1">Tabelle7[[#This Row],[Hauptgruppe]]&amp;"/"&amp;Tabelle7[[#This Row],[Mittelgruppe]]&amp;"/-"</f>
        <v>#N/A</v>
      </c>
      <c r="N246" t="e">
        <f ca="1">Tabelle7[[#This Row],[Hauptgruppe]]&amp;"/"&amp;Tabelle7[[#This Row],[Mittelgruppe]]&amp;"/"&amp;Tabelle7[[#This Row],[Untergruppe]]</f>
        <v>#N/A</v>
      </c>
      <c r="O246" t="e">
        <f>INDEX(Tabelle6[Aktor],MATCH(Tabelle7[[#This Row],[Gesamtcode]],Tabelle6[Gesamtcode],0))&amp;" "&amp;INDEX(Tabelle6[Aktorkanal],MATCH(Tabelle7[[#This Row],[Gesamtcode]],Tabelle6[Gesamtcode],0))</f>
        <v>#N/A</v>
      </c>
    </row>
    <row r="247" spans="2:15" x14ac:dyDescent="0.25">
      <c r="B247" t="s">
        <v>303</v>
      </c>
      <c r="C247" t="e">
        <f>INDEX(Tabelle132[Zone],MATCH(Tabelle7[[#This Row],[Gesamtcode]],Tabelle132[Gesamtcode],0))</f>
        <v>#N/A</v>
      </c>
      <c r="D247" t="e">
        <f>INDEX(Tabelle132[Raum],MATCH(Tabelle7[[#This Row],[Gesamtcode]],Tabelle132[Gesamtcode],0))</f>
        <v>#N/A</v>
      </c>
      <c r="E247" t="e">
        <f>INDEX(Tabelle132[Bezeichnung],MATCH(Tabelle7[[#This Row],[Gesamtcode]],Tabelle132[Gesamtcode],0))</f>
        <v>#N/A</v>
      </c>
      <c r="F247" t="e">
        <f>"_"&amp;INDEX(Tabelle132[Geräte/Gewerke],MATCH(Tabelle7[[#This Row],[Gesamtcode]],Tabelle132[Gesamtcode],0))</f>
        <v>#N/A</v>
      </c>
      <c r="G247" t="e">
        <f>INDEX(Tabelle13[Gewerknr.],MATCH(Tabelle7[[#This Row],[Gewerke]],Tabelle13[Hauptgruppe],0))</f>
        <v>#N/A</v>
      </c>
      <c r="H247" t="s">
        <v>305</v>
      </c>
      <c r="I247" t="e">
        <f ca="1">INDEX(Tabelle134[Funktionsbereichsnr.],MATCH(Tabelle7[[#This Row],[Funktionsbereiche]],INDIRECT("Tabelle134["&amp;Tabelle7[[#This Row],[Gewerke]]&amp;"]"),0))</f>
        <v>#N/A</v>
      </c>
      <c r="J247" t="e">
        <f>Tabelle7[[#This Row],[Gesamtcode]]&amp;"_"&amp;Tabelle7[[#This Row],[Zone]]&amp;"_"&amp;Tabelle7[[#This Row],[Raum]]&amp;"_"&amp;Tabelle7[[#This Row],[Bezeichnung]]</f>
        <v>#N/A</v>
      </c>
      <c r="K247">
        <v>9</v>
      </c>
      <c r="L247" t="e">
        <f>Tabelle7[[#This Row],[Hauptgruppe]]&amp;"/-/-"</f>
        <v>#N/A</v>
      </c>
      <c r="M247" t="e">
        <f ca="1">Tabelle7[[#This Row],[Hauptgruppe]]&amp;"/"&amp;Tabelle7[[#This Row],[Mittelgruppe]]&amp;"/-"</f>
        <v>#N/A</v>
      </c>
      <c r="N247" t="e">
        <f ca="1">Tabelle7[[#This Row],[Hauptgruppe]]&amp;"/"&amp;Tabelle7[[#This Row],[Mittelgruppe]]&amp;"/"&amp;Tabelle7[[#This Row],[Untergruppe]]</f>
        <v>#N/A</v>
      </c>
      <c r="O247" t="e">
        <f>INDEX(Tabelle6[Aktor],MATCH(Tabelle7[[#This Row],[Gesamtcode]],Tabelle6[Gesamtcode],0))&amp;" "&amp;INDEX(Tabelle6[Aktorkanal],MATCH(Tabelle7[[#This Row],[Gesamtcode]],Tabelle6[Gesamtcode],0))</f>
        <v>#N/A</v>
      </c>
    </row>
    <row r="248" spans="2:15" x14ac:dyDescent="0.25">
      <c r="B248" t="s">
        <v>281</v>
      </c>
      <c r="C248" t="e">
        <f>INDEX(Tabelle132[Zone],MATCH(Tabelle7[[#This Row],[Gesamtcode]],Tabelle132[Gesamtcode],0))</f>
        <v>#N/A</v>
      </c>
      <c r="D248" t="e">
        <f>INDEX(Tabelle132[Raum],MATCH(Tabelle7[[#This Row],[Gesamtcode]],Tabelle132[Gesamtcode],0))</f>
        <v>#N/A</v>
      </c>
      <c r="E248" t="e">
        <f>INDEX(Tabelle132[Bezeichnung],MATCH(Tabelle7[[#This Row],[Gesamtcode]],Tabelle132[Gesamtcode],0))</f>
        <v>#N/A</v>
      </c>
      <c r="F248" t="e">
        <f>"_"&amp;INDEX(Tabelle132[Geräte/Gewerke],MATCH(Tabelle7[[#This Row],[Gesamtcode]],Tabelle132[Gesamtcode],0))</f>
        <v>#N/A</v>
      </c>
      <c r="G248" t="e">
        <f>INDEX(Tabelle13[Gewerknr.],MATCH(Tabelle7[[#This Row],[Gewerke]],Tabelle13[Hauptgruppe],0))</f>
        <v>#N/A</v>
      </c>
      <c r="H248" t="s">
        <v>306</v>
      </c>
      <c r="I248" t="e">
        <f ca="1">INDEX(Tabelle134[Funktionsbereichsnr.],MATCH(Tabelle7[[#This Row],[Funktionsbereiche]],INDIRECT("Tabelle134["&amp;Tabelle7[[#This Row],[Gewerke]]&amp;"]"),0))</f>
        <v>#N/A</v>
      </c>
      <c r="J248" t="e">
        <f>Tabelle7[[#This Row],[Gesamtcode]]&amp;"_"&amp;Tabelle7[[#This Row],[Zone]]&amp;"_"&amp;Tabelle7[[#This Row],[Raum]]&amp;"_"&amp;Tabelle7[[#This Row],[Bezeichnung]]</f>
        <v>#N/A</v>
      </c>
      <c r="K248">
        <v>0</v>
      </c>
      <c r="L248" t="e">
        <f>Tabelle7[[#This Row],[Hauptgruppe]]&amp;"/-/-"</f>
        <v>#N/A</v>
      </c>
      <c r="M248" t="e">
        <f ca="1">Tabelle7[[#This Row],[Hauptgruppe]]&amp;"/"&amp;Tabelle7[[#This Row],[Mittelgruppe]]&amp;"/-"</f>
        <v>#N/A</v>
      </c>
      <c r="N248" t="e">
        <f ca="1">Tabelle7[[#This Row],[Hauptgruppe]]&amp;"/"&amp;Tabelle7[[#This Row],[Mittelgruppe]]&amp;"/"&amp;Tabelle7[[#This Row],[Untergruppe]]</f>
        <v>#N/A</v>
      </c>
      <c r="O248" t="e">
        <f>INDEX(Tabelle6[Aktor],MATCH(Tabelle7[[#This Row],[Gesamtcode]],Tabelle6[Gesamtcode],0))&amp;" "&amp;INDEX(Tabelle6[Aktorkanal],MATCH(Tabelle7[[#This Row],[Gesamtcode]],Tabelle6[Gesamtcode],0))</f>
        <v>#N/A</v>
      </c>
    </row>
    <row r="249" spans="2:15" x14ac:dyDescent="0.25">
      <c r="B249" t="s">
        <v>282</v>
      </c>
      <c r="C249" t="e">
        <f>INDEX(Tabelle132[Zone],MATCH(Tabelle7[[#This Row],[Gesamtcode]],Tabelle132[Gesamtcode],0))</f>
        <v>#N/A</v>
      </c>
      <c r="D249" t="e">
        <f>INDEX(Tabelle132[Raum],MATCH(Tabelle7[[#This Row],[Gesamtcode]],Tabelle132[Gesamtcode],0))</f>
        <v>#N/A</v>
      </c>
      <c r="E249" t="e">
        <f>INDEX(Tabelle132[Bezeichnung],MATCH(Tabelle7[[#This Row],[Gesamtcode]],Tabelle132[Gesamtcode],0))</f>
        <v>#N/A</v>
      </c>
      <c r="F249" t="e">
        <f>"_"&amp;INDEX(Tabelle132[Geräte/Gewerke],MATCH(Tabelle7[[#This Row],[Gesamtcode]],Tabelle132[Gesamtcode],0))</f>
        <v>#N/A</v>
      </c>
      <c r="G249" t="e">
        <f>INDEX(Tabelle13[Gewerknr.],MATCH(Tabelle7[[#This Row],[Gewerke]],Tabelle13[Hauptgruppe],0))</f>
        <v>#N/A</v>
      </c>
      <c r="H249" t="s">
        <v>306</v>
      </c>
      <c r="I249" t="e">
        <f ca="1">INDEX(Tabelle134[Funktionsbereichsnr.],MATCH(Tabelle7[[#This Row],[Funktionsbereiche]],INDIRECT("Tabelle134["&amp;Tabelle7[[#This Row],[Gewerke]]&amp;"]"),0))</f>
        <v>#N/A</v>
      </c>
      <c r="J249" t="e">
        <f>Tabelle7[[#This Row],[Gesamtcode]]&amp;"_"&amp;Tabelle7[[#This Row],[Zone]]&amp;"_"&amp;Tabelle7[[#This Row],[Raum]]&amp;"_"&amp;Tabelle7[[#This Row],[Bezeichnung]]</f>
        <v>#N/A</v>
      </c>
      <c r="K249">
        <v>1</v>
      </c>
      <c r="L249" t="e">
        <f>Tabelle7[[#This Row],[Hauptgruppe]]&amp;"/-/-"</f>
        <v>#N/A</v>
      </c>
      <c r="M249" t="e">
        <f ca="1">Tabelle7[[#This Row],[Hauptgruppe]]&amp;"/"&amp;Tabelle7[[#This Row],[Mittelgruppe]]&amp;"/-"</f>
        <v>#N/A</v>
      </c>
      <c r="N249" t="e">
        <f ca="1">Tabelle7[[#This Row],[Hauptgruppe]]&amp;"/"&amp;Tabelle7[[#This Row],[Mittelgruppe]]&amp;"/"&amp;Tabelle7[[#This Row],[Untergruppe]]</f>
        <v>#N/A</v>
      </c>
      <c r="O249" t="e">
        <f>INDEX(Tabelle6[Aktor],MATCH(Tabelle7[[#This Row],[Gesamtcode]],Tabelle6[Gesamtcode],0))&amp;" "&amp;INDEX(Tabelle6[Aktorkanal],MATCH(Tabelle7[[#This Row],[Gesamtcode]],Tabelle6[Gesamtcode],0))</f>
        <v>#N/A</v>
      </c>
    </row>
    <row r="250" spans="2:15" x14ac:dyDescent="0.25">
      <c r="B250" t="s">
        <v>283</v>
      </c>
      <c r="C250" t="e">
        <f>INDEX(Tabelle132[Zone],MATCH(Tabelle7[[#This Row],[Gesamtcode]],Tabelle132[Gesamtcode],0))</f>
        <v>#N/A</v>
      </c>
      <c r="D250" t="e">
        <f>INDEX(Tabelle132[Raum],MATCH(Tabelle7[[#This Row],[Gesamtcode]],Tabelle132[Gesamtcode],0))</f>
        <v>#N/A</v>
      </c>
      <c r="E250" t="e">
        <f>INDEX(Tabelle132[Bezeichnung],MATCH(Tabelle7[[#This Row],[Gesamtcode]],Tabelle132[Gesamtcode],0))</f>
        <v>#N/A</v>
      </c>
      <c r="F250" t="e">
        <f>"_"&amp;INDEX(Tabelle132[Geräte/Gewerke],MATCH(Tabelle7[[#This Row],[Gesamtcode]],Tabelle132[Gesamtcode],0))</f>
        <v>#N/A</v>
      </c>
      <c r="G250" t="e">
        <f>INDEX(Tabelle13[Gewerknr.],MATCH(Tabelle7[[#This Row],[Gewerke]],Tabelle13[Hauptgruppe],0))</f>
        <v>#N/A</v>
      </c>
      <c r="H250" t="s">
        <v>306</v>
      </c>
      <c r="I250" t="e">
        <f ca="1">INDEX(Tabelle134[Funktionsbereichsnr.],MATCH(Tabelle7[[#This Row],[Funktionsbereiche]],INDIRECT("Tabelle134["&amp;Tabelle7[[#This Row],[Gewerke]]&amp;"]"),0))</f>
        <v>#N/A</v>
      </c>
      <c r="J250" t="e">
        <f>Tabelle7[[#This Row],[Gesamtcode]]&amp;"_"&amp;Tabelle7[[#This Row],[Zone]]&amp;"_"&amp;Tabelle7[[#This Row],[Raum]]&amp;"_"&amp;Tabelle7[[#This Row],[Bezeichnung]]</f>
        <v>#N/A</v>
      </c>
      <c r="K250">
        <v>10</v>
      </c>
      <c r="L250" t="e">
        <f>Tabelle7[[#This Row],[Hauptgruppe]]&amp;"/-/-"</f>
        <v>#N/A</v>
      </c>
      <c r="M250" t="e">
        <f ca="1">Tabelle7[[#This Row],[Hauptgruppe]]&amp;"/"&amp;Tabelle7[[#This Row],[Mittelgruppe]]&amp;"/-"</f>
        <v>#N/A</v>
      </c>
      <c r="N250" t="e">
        <f ca="1">Tabelle7[[#This Row],[Hauptgruppe]]&amp;"/"&amp;Tabelle7[[#This Row],[Mittelgruppe]]&amp;"/"&amp;Tabelle7[[#This Row],[Untergruppe]]</f>
        <v>#N/A</v>
      </c>
      <c r="O250" t="e">
        <f>INDEX(Tabelle6[Aktor],MATCH(Tabelle7[[#This Row],[Gesamtcode]],Tabelle6[Gesamtcode],0))&amp;" "&amp;INDEX(Tabelle6[Aktorkanal],MATCH(Tabelle7[[#This Row],[Gesamtcode]],Tabelle6[Gesamtcode],0))</f>
        <v>#N/A</v>
      </c>
    </row>
    <row r="251" spans="2:15" x14ac:dyDescent="0.25">
      <c r="B251" t="s">
        <v>284</v>
      </c>
      <c r="C251" t="e">
        <f>INDEX(Tabelle132[Zone],MATCH(Tabelle7[[#This Row],[Gesamtcode]],Tabelle132[Gesamtcode],0))</f>
        <v>#N/A</v>
      </c>
      <c r="D251" t="e">
        <f>INDEX(Tabelle132[Raum],MATCH(Tabelle7[[#This Row],[Gesamtcode]],Tabelle132[Gesamtcode],0))</f>
        <v>#N/A</v>
      </c>
      <c r="E251" t="e">
        <f>INDEX(Tabelle132[Bezeichnung],MATCH(Tabelle7[[#This Row],[Gesamtcode]],Tabelle132[Gesamtcode],0))</f>
        <v>#N/A</v>
      </c>
      <c r="F251" t="e">
        <f>"_"&amp;INDEX(Tabelle132[Geräte/Gewerke],MATCH(Tabelle7[[#This Row],[Gesamtcode]],Tabelle132[Gesamtcode],0))</f>
        <v>#N/A</v>
      </c>
      <c r="G251" t="e">
        <f>INDEX(Tabelle13[Gewerknr.],MATCH(Tabelle7[[#This Row],[Gewerke]],Tabelle13[Hauptgruppe],0))</f>
        <v>#N/A</v>
      </c>
      <c r="H251" t="s">
        <v>306</v>
      </c>
      <c r="I251" t="e">
        <f ca="1">INDEX(Tabelle134[Funktionsbereichsnr.],MATCH(Tabelle7[[#This Row],[Funktionsbereiche]],INDIRECT("Tabelle134["&amp;Tabelle7[[#This Row],[Gewerke]]&amp;"]"),0))</f>
        <v>#N/A</v>
      </c>
      <c r="J251" t="e">
        <f>Tabelle7[[#This Row],[Gesamtcode]]&amp;"_"&amp;Tabelle7[[#This Row],[Zone]]&amp;"_"&amp;Tabelle7[[#This Row],[Raum]]&amp;"_"&amp;Tabelle7[[#This Row],[Bezeichnung]]</f>
        <v>#N/A</v>
      </c>
      <c r="K251">
        <v>11</v>
      </c>
      <c r="L251" t="e">
        <f>Tabelle7[[#This Row],[Hauptgruppe]]&amp;"/-/-"</f>
        <v>#N/A</v>
      </c>
      <c r="M251" t="e">
        <f ca="1">Tabelle7[[#This Row],[Hauptgruppe]]&amp;"/"&amp;Tabelle7[[#This Row],[Mittelgruppe]]&amp;"/-"</f>
        <v>#N/A</v>
      </c>
      <c r="N251" t="e">
        <f ca="1">Tabelle7[[#This Row],[Hauptgruppe]]&amp;"/"&amp;Tabelle7[[#This Row],[Mittelgruppe]]&amp;"/"&amp;Tabelle7[[#This Row],[Untergruppe]]</f>
        <v>#N/A</v>
      </c>
      <c r="O251" t="e">
        <f>INDEX(Tabelle6[Aktor],MATCH(Tabelle7[[#This Row],[Gesamtcode]],Tabelle6[Gesamtcode],0))&amp;" "&amp;INDEX(Tabelle6[Aktorkanal],MATCH(Tabelle7[[#This Row],[Gesamtcode]],Tabelle6[Gesamtcode],0))</f>
        <v>#N/A</v>
      </c>
    </row>
    <row r="252" spans="2:15" x14ac:dyDescent="0.25">
      <c r="B252" t="s">
        <v>309</v>
      </c>
      <c r="C252" t="e">
        <f>INDEX(Tabelle132[Zone],MATCH(Tabelle7[[#This Row],[Gesamtcode]],Tabelle132[Gesamtcode],0))</f>
        <v>#N/A</v>
      </c>
      <c r="D252" t="e">
        <f>INDEX(Tabelle132[Raum],MATCH(Tabelle7[[#This Row],[Gesamtcode]],Tabelle132[Gesamtcode],0))</f>
        <v>#N/A</v>
      </c>
      <c r="E252" t="e">
        <f>INDEX(Tabelle132[Bezeichnung],MATCH(Tabelle7[[#This Row],[Gesamtcode]],Tabelle132[Gesamtcode],0))</f>
        <v>#N/A</v>
      </c>
      <c r="F252" t="e">
        <f>"_"&amp;INDEX(Tabelle132[Geräte/Gewerke],MATCH(Tabelle7[[#This Row],[Gesamtcode]],Tabelle132[Gesamtcode],0))</f>
        <v>#N/A</v>
      </c>
      <c r="G252" t="e">
        <f>INDEX(Tabelle13[Gewerknr.],MATCH(Tabelle7[[#This Row],[Gewerke]],Tabelle13[Hauptgruppe],0))</f>
        <v>#N/A</v>
      </c>
      <c r="H252" t="s">
        <v>255</v>
      </c>
      <c r="I252" t="e">
        <f ca="1">INDEX(Tabelle134[Funktionsbereichsnr.],MATCH(Tabelle7[[#This Row],[Funktionsbereiche]],INDIRECT("Tabelle134["&amp;Tabelle7[[#This Row],[Gewerke]]&amp;"]"),0))</f>
        <v>#N/A</v>
      </c>
      <c r="J252" t="e">
        <f>Tabelle7[[#This Row],[Gesamtcode]]&amp;"_"&amp;Tabelle7[[#This Row],[Zone]]&amp;"_"&amp;Tabelle7[[#This Row],[Raum]]&amp;"_"&amp;Tabelle7[[#This Row],[Bezeichnung]]</f>
        <v>#N/A</v>
      </c>
      <c r="K252">
        <v>13</v>
      </c>
      <c r="L252" t="e">
        <f>Tabelle7[[#This Row],[Hauptgruppe]]&amp;"/-/-"</f>
        <v>#N/A</v>
      </c>
      <c r="M252" t="e">
        <f ca="1">Tabelle7[[#This Row],[Hauptgruppe]]&amp;"/"&amp;Tabelle7[[#This Row],[Mittelgruppe]]&amp;"/-"</f>
        <v>#N/A</v>
      </c>
      <c r="N252" t="e">
        <f ca="1">Tabelle7[[#This Row],[Hauptgruppe]]&amp;"/"&amp;Tabelle7[[#This Row],[Mittelgruppe]]&amp;"/"&amp;Tabelle7[[#This Row],[Untergruppe]]</f>
        <v>#N/A</v>
      </c>
      <c r="O252" t="e">
        <f>INDEX(Tabelle6[Aktor],MATCH(Tabelle7[[#This Row],[Gesamtcode]],Tabelle6[Gesamtcode],0))&amp;" "&amp;INDEX(Tabelle6[Aktorkanal],MATCH(Tabelle7[[#This Row],[Gesamtcode]],Tabelle6[Gesamtcode],0))</f>
        <v>#N/A</v>
      </c>
    </row>
    <row r="253" spans="2:15" x14ac:dyDescent="0.25">
      <c r="B253" t="s">
        <v>309</v>
      </c>
      <c r="C253" t="e">
        <f>INDEX(Tabelle132[Zone],MATCH(Tabelle7[[#This Row],[Gesamtcode]],Tabelle132[Gesamtcode],0))</f>
        <v>#N/A</v>
      </c>
      <c r="D253" t="e">
        <f>INDEX(Tabelle132[Raum],MATCH(Tabelle7[[#This Row],[Gesamtcode]],Tabelle132[Gesamtcode],0))</f>
        <v>#N/A</v>
      </c>
      <c r="E253" t="e">
        <f>INDEX(Tabelle132[Bezeichnung],MATCH(Tabelle7[[#This Row],[Gesamtcode]],Tabelle132[Gesamtcode],0))</f>
        <v>#N/A</v>
      </c>
      <c r="F253" t="e">
        <f>"_"&amp;INDEX(Tabelle132[Geräte/Gewerke],MATCH(Tabelle7[[#This Row],[Gesamtcode]],Tabelle132[Gesamtcode],0))</f>
        <v>#N/A</v>
      </c>
      <c r="G253" t="e">
        <f>INDEX(Tabelle13[Gewerknr.],MATCH(Tabelle7[[#This Row],[Gewerke]],Tabelle13[Hauptgruppe],0))</f>
        <v>#N/A</v>
      </c>
      <c r="H253" t="s">
        <v>286</v>
      </c>
      <c r="I253" t="e">
        <f ca="1">INDEX(Tabelle134[Funktionsbereichsnr.],MATCH(Tabelle7[[#This Row],[Funktionsbereiche]],INDIRECT("Tabelle134["&amp;Tabelle7[[#This Row],[Gewerke]]&amp;"]"),0))</f>
        <v>#N/A</v>
      </c>
      <c r="J253" t="e">
        <f>Tabelle7[[#This Row],[Gesamtcode]]&amp;"_"&amp;Tabelle7[[#This Row],[Zone]]&amp;"_"&amp;Tabelle7[[#This Row],[Raum]]&amp;"_"&amp;Tabelle7[[#This Row],[Bezeichnung]]</f>
        <v>#N/A</v>
      </c>
      <c r="K253">
        <v>13</v>
      </c>
      <c r="L253" t="e">
        <f>Tabelle7[[#This Row],[Hauptgruppe]]&amp;"/-/-"</f>
        <v>#N/A</v>
      </c>
      <c r="M253" t="e">
        <f ca="1">Tabelle7[[#This Row],[Hauptgruppe]]&amp;"/"&amp;Tabelle7[[#This Row],[Mittelgruppe]]&amp;"/-"</f>
        <v>#N/A</v>
      </c>
      <c r="N253" t="e">
        <f ca="1">Tabelle7[[#This Row],[Hauptgruppe]]&amp;"/"&amp;Tabelle7[[#This Row],[Mittelgruppe]]&amp;"/"&amp;Tabelle7[[#This Row],[Untergruppe]]</f>
        <v>#N/A</v>
      </c>
      <c r="O253" t="e">
        <f>INDEX(Tabelle6[Aktor],MATCH(Tabelle7[[#This Row],[Gesamtcode]],Tabelle6[Gesamtcode],0))&amp;" "&amp;INDEX(Tabelle6[Aktorkanal],MATCH(Tabelle7[[#This Row],[Gesamtcode]],Tabelle6[Gesamtcode],0))</f>
        <v>#N/A</v>
      </c>
    </row>
    <row r="254" spans="2:15" x14ac:dyDescent="0.25">
      <c r="B254" t="s">
        <v>287</v>
      </c>
      <c r="C254" t="e">
        <f>INDEX(Tabelle132[Zone],MATCH(Tabelle7[[#This Row],[Gesamtcode]],Tabelle132[Gesamtcode],0))</f>
        <v>#N/A</v>
      </c>
      <c r="D254" t="e">
        <f>INDEX(Tabelle132[Raum],MATCH(Tabelle7[[#This Row],[Gesamtcode]],Tabelle132[Gesamtcode],0))</f>
        <v>#N/A</v>
      </c>
      <c r="E254" t="e">
        <f>INDEX(Tabelle132[Bezeichnung],MATCH(Tabelle7[[#This Row],[Gesamtcode]],Tabelle132[Gesamtcode],0))</f>
        <v>#N/A</v>
      </c>
      <c r="F254" t="e">
        <f>"_"&amp;INDEX(Tabelle132[Geräte/Gewerke],MATCH(Tabelle7[[#This Row],[Gesamtcode]],Tabelle132[Gesamtcode],0))</f>
        <v>#N/A</v>
      </c>
      <c r="G254" t="e">
        <f>INDEX(Tabelle13[Gewerknr.],MATCH(Tabelle7[[#This Row],[Gewerke]],Tabelle13[Hauptgruppe],0))</f>
        <v>#N/A</v>
      </c>
      <c r="H254" t="s">
        <v>306</v>
      </c>
      <c r="I254" t="e">
        <f ca="1">INDEX(Tabelle134[Funktionsbereichsnr.],MATCH(Tabelle7[[#This Row],[Funktionsbereiche]],INDIRECT("Tabelle134["&amp;Tabelle7[[#This Row],[Gewerke]]&amp;"]"),0))</f>
        <v>#N/A</v>
      </c>
      <c r="J254" t="e">
        <f>Tabelle7[[#This Row],[Gesamtcode]]&amp;"_"&amp;Tabelle7[[#This Row],[Zone]]&amp;"_"&amp;Tabelle7[[#This Row],[Raum]]&amp;"_"&amp;Tabelle7[[#This Row],[Bezeichnung]]</f>
        <v>#N/A</v>
      </c>
      <c r="K254">
        <v>14</v>
      </c>
      <c r="L254" t="e">
        <f>Tabelle7[[#This Row],[Hauptgruppe]]&amp;"/-/-"</f>
        <v>#N/A</v>
      </c>
      <c r="M254" t="e">
        <f ca="1">Tabelle7[[#This Row],[Hauptgruppe]]&amp;"/"&amp;Tabelle7[[#This Row],[Mittelgruppe]]&amp;"/-"</f>
        <v>#N/A</v>
      </c>
      <c r="N254" t="e">
        <f ca="1">Tabelle7[[#This Row],[Hauptgruppe]]&amp;"/"&amp;Tabelle7[[#This Row],[Mittelgruppe]]&amp;"/"&amp;Tabelle7[[#This Row],[Untergruppe]]</f>
        <v>#N/A</v>
      </c>
      <c r="O254" t="e">
        <f>INDEX(Tabelle6[Aktor],MATCH(Tabelle7[[#This Row],[Gesamtcode]],Tabelle6[Gesamtcode],0))&amp;" "&amp;INDEX(Tabelle6[Aktorkanal],MATCH(Tabelle7[[#This Row],[Gesamtcode]],Tabelle6[Gesamtcode],0))</f>
        <v>#N/A</v>
      </c>
    </row>
    <row r="255" spans="2:15" x14ac:dyDescent="0.25">
      <c r="B255" t="s">
        <v>288</v>
      </c>
      <c r="C255" t="e">
        <f>INDEX(Tabelle132[Zone],MATCH(Tabelle7[[#This Row],[Gesamtcode]],Tabelle132[Gesamtcode],0))</f>
        <v>#N/A</v>
      </c>
      <c r="D255" t="e">
        <f>INDEX(Tabelle132[Raum],MATCH(Tabelle7[[#This Row],[Gesamtcode]],Tabelle132[Gesamtcode],0))</f>
        <v>#N/A</v>
      </c>
      <c r="E255" t="e">
        <f>INDEX(Tabelle132[Bezeichnung],MATCH(Tabelle7[[#This Row],[Gesamtcode]],Tabelle132[Gesamtcode],0))</f>
        <v>#N/A</v>
      </c>
      <c r="F255" t="e">
        <f>"_"&amp;INDEX(Tabelle132[Geräte/Gewerke],MATCH(Tabelle7[[#This Row],[Gesamtcode]],Tabelle132[Gesamtcode],0))</f>
        <v>#N/A</v>
      </c>
      <c r="G255" t="e">
        <f>INDEX(Tabelle13[Gewerknr.],MATCH(Tabelle7[[#This Row],[Gewerke]],Tabelle13[Hauptgruppe],0))</f>
        <v>#N/A</v>
      </c>
      <c r="H255" t="s">
        <v>306</v>
      </c>
      <c r="I255" t="e">
        <f ca="1">INDEX(Tabelle134[Funktionsbereichsnr.],MATCH(Tabelle7[[#This Row],[Funktionsbereiche]],INDIRECT("Tabelle134["&amp;Tabelle7[[#This Row],[Gewerke]]&amp;"]"),0))</f>
        <v>#N/A</v>
      </c>
      <c r="J255" t="e">
        <f>Tabelle7[[#This Row],[Gesamtcode]]&amp;"_"&amp;Tabelle7[[#This Row],[Zone]]&amp;"_"&amp;Tabelle7[[#This Row],[Raum]]&amp;"_"&amp;Tabelle7[[#This Row],[Bezeichnung]]</f>
        <v>#N/A</v>
      </c>
      <c r="K255">
        <v>15</v>
      </c>
      <c r="L255" t="e">
        <f>Tabelle7[[#This Row],[Hauptgruppe]]&amp;"/-/-"</f>
        <v>#N/A</v>
      </c>
      <c r="M255" t="e">
        <f ca="1">Tabelle7[[#This Row],[Hauptgruppe]]&amp;"/"&amp;Tabelle7[[#This Row],[Mittelgruppe]]&amp;"/-"</f>
        <v>#N/A</v>
      </c>
      <c r="N255" t="e">
        <f ca="1">Tabelle7[[#This Row],[Hauptgruppe]]&amp;"/"&amp;Tabelle7[[#This Row],[Mittelgruppe]]&amp;"/"&amp;Tabelle7[[#This Row],[Untergruppe]]</f>
        <v>#N/A</v>
      </c>
      <c r="O255" t="e">
        <f>INDEX(Tabelle6[Aktor],MATCH(Tabelle7[[#This Row],[Gesamtcode]],Tabelle6[Gesamtcode],0))&amp;" "&amp;INDEX(Tabelle6[Aktorkanal],MATCH(Tabelle7[[#This Row],[Gesamtcode]],Tabelle6[Gesamtcode],0))</f>
        <v>#N/A</v>
      </c>
    </row>
    <row r="256" spans="2:15" x14ac:dyDescent="0.25">
      <c r="B256" t="s">
        <v>289</v>
      </c>
      <c r="C256" t="e">
        <f>INDEX(Tabelle132[Zone],MATCH(Tabelle7[[#This Row],[Gesamtcode]],Tabelle132[Gesamtcode],0))</f>
        <v>#N/A</v>
      </c>
      <c r="D256" t="e">
        <f>INDEX(Tabelle132[Raum],MATCH(Tabelle7[[#This Row],[Gesamtcode]],Tabelle132[Gesamtcode],0))</f>
        <v>#N/A</v>
      </c>
      <c r="E256" t="e">
        <f>INDEX(Tabelle132[Bezeichnung],MATCH(Tabelle7[[#This Row],[Gesamtcode]],Tabelle132[Gesamtcode],0))</f>
        <v>#N/A</v>
      </c>
      <c r="F256" t="e">
        <f>"_"&amp;INDEX(Tabelle132[Geräte/Gewerke],MATCH(Tabelle7[[#This Row],[Gesamtcode]],Tabelle132[Gesamtcode],0))</f>
        <v>#N/A</v>
      </c>
      <c r="G256" t="e">
        <f>INDEX(Tabelle13[Gewerknr.],MATCH(Tabelle7[[#This Row],[Gewerke]],Tabelle13[Hauptgruppe],0))</f>
        <v>#N/A</v>
      </c>
      <c r="H256" t="s">
        <v>306</v>
      </c>
      <c r="I256" t="e">
        <f ca="1">INDEX(Tabelle134[Funktionsbereichsnr.],MATCH(Tabelle7[[#This Row],[Funktionsbereiche]],INDIRECT("Tabelle134["&amp;Tabelle7[[#This Row],[Gewerke]]&amp;"]"),0))</f>
        <v>#N/A</v>
      </c>
      <c r="J256" t="e">
        <f>Tabelle7[[#This Row],[Gesamtcode]]&amp;"_"&amp;Tabelle7[[#This Row],[Zone]]&amp;"_"&amp;Tabelle7[[#This Row],[Raum]]&amp;"_"&amp;Tabelle7[[#This Row],[Bezeichnung]]</f>
        <v>#N/A</v>
      </c>
      <c r="K256">
        <v>16</v>
      </c>
      <c r="L256" t="e">
        <f>Tabelle7[[#This Row],[Hauptgruppe]]&amp;"/-/-"</f>
        <v>#N/A</v>
      </c>
      <c r="M256" t="e">
        <f ca="1">Tabelle7[[#This Row],[Hauptgruppe]]&amp;"/"&amp;Tabelle7[[#This Row],[Mittelgruppe]]&amp;"/-"</f>
        <v>#N/A</v>
      </c>
      <c r="N256" t="e">
        <f ca="1">Tabelle7[[#This Row],[Hauptgruppe]]&amp;"/"&amp;Tabelle7[[#This Row],[Mittelgruppe]]&amp;"/"&amp;Tabelle7[[#This Row],[Untergruppe]]</f>
        <v>#N/A</v>
      </c>
      <c r="O256" t="e">
        <f>INDEX(Tabelle6[Aktor],MATCH(Tabelle7[[#This Row],[Gesamtcode]],Tabelle6[Gesamtcode],0))&amp;" "&amp;INDEX(Tabelle6[Aktorkanal],MATCH(Tabelle7[[#This Row],[Gesamtcode]],Tabelle6[Gesamtcode],0))</f>
        <v>#N/A</v>
      </c>
    </row>
    <row r="257" spans="2:15" x14ac:dyDescent="0.25">
      <c r="B257" t="s">
        <v>290</v>
      </c>
      <c r="C257" t="e">
        <f>INDEX(Tabelle132[Zone],MATCH(Tabelle7[[#This Row],[Gesamtcode]],Tabelle132[Gesamtcode],0))</f>
        <v>#N/A</v>
      </c>
      <c r="D257" t="e">
        <f>INDEX(Tabelle132[Raum],MATCH(Tabelle7[[#This Row],[Gesamtcode]],Tabelle132[Gesamtcode],0))</f>
        <v>#N/A</v>
      </c>
      <c r="E257" t="e">
        <f>INDEX(Tabelle132[Bezeichnung],MATCH(Tabelle7[[#This Row],[Gesamtcode]],Tabelle132[Gesamtcode],0))</f>
        <v>#N/A</v>
      </c>
      <c r="F257" t="e">
        <f>"_"&amp;INDEX(Tabelle132[Geräte/Gewerke],MATCH(Tabelle7[[#This Row],[Gesamtcode]],Tabelle132[Gesamtcode],0))</f>
        <v>#N/A</v>
      </c>
      <c r="G257" t="e">
        <f>INDEX(Tabelle13[Gewerknr.],MATCH(Tabelle7[[#This Row],[Gewerke]],Tabelle13[Hauptgruppe],0))</f>
        <v>#N/A</v>
      </c>
      <c r="H257" t="s">
        <v>306</v>
      </c>
      <c r="I257" t="e">
        <f ca="1">INDEX(Tabelle134[Funktionsbereichsnr.],MATCH(Tabelle7[[#This Row],[Funktionsbereiche]],INDIRECT("Tabelle134["&amp;Tabelle7[[#This Row],[Gewerke]]&amp;"]"),0))</f>
        <v>#N/A</v>
      </c>
      <c r="J257" t="e">
        <f>Tabelle7[[#This Row],[Gesamtcode]]&amp;"_"&amp;Tabelle7[[#This Row],[Zone]]&amp;"_"&amp;Tabelle7[[#This Row],[Raum]]&amp;"_"&amp;Tabelle7[[#This Row],[Bezeichnung]]</f>
        <v>#N/A</v>
      </c>
      <c r="K257">
        <v>17</v>
      </c>
      <c r="L257" t="e">
        <f>Tabelle7[[#This Row],[Hauptgruppe]]&amp;"/-/-"</f>
        <v>#N/A</v>
      </c>
      <c r="M257" t="e">
        <f ca="1">Tabelle7[[#This Row],[Hauptgruppe]]&amp;"/"&amp;Tabelle7[[#This Row],[Mittelgruppe]]&amp;"/-"</f>
        <v>#N/A</v>
      </c>
      <c r="N257" t="e">
        <f ca="1">Tabelle7[[#This Row],[Hauptgruppe]]&amp;"/"&amp;Tabelle7[[#This Row],[Mittelgruppe]]&amp;"/"&amp;Tabelle7[[#This Row],[Untergruppe]]</f>
        <v>#N/A</v>
      </c>
      <c r="O257" t="e">
        <f>INDEX(Tabelle6[Aktor],MATCH(Tabelle7[[#This Row],[Gesamtcode]],Tabelle6[Gesamtcode],0))&amp;" "&amp;INDEX(Tabelle6[Aktorkanal],MATCH(Tabelle7[[#This Row],[Gesamtcode]],Tabelle6[Gesamtcode],0))</f>
        <v>#N/A</v>
      </c>
    </row>
    <row r="258" spans="2:15" x14ac:dyDescent="0.25">
      <c r="B258" t="s">
        <v>291</v>
      </c>
      <c r="C258" t="e">
        <f>INDEX(Tabelle132[Zone],MATCH(Tabelle7[[#This Row],[Gesamtcode]],Tabelle132[Gesamtcode],0))</f>
        <v>#N/A</v>
      </c>
      <c r="D258" t="e">
        <f>INDEX(Tabelle132[Raum],MATCH(Tabelle7[[#This Row],[Gesamtcode]],Tabelle132[Gesamtcode],0))</f>
        <v>#N/A</v>
      </c>
      <c r="E258" t="e">
        <f>INDEX(Tabelle132[Bezeichnung],MATCH(Tabelle7[[#This Row],[Gesamtcode]],Tabelle132[Gesamtcode],0))</f>
        <v>#N/A</v>
      </c>
      <c r="F258" t="e">
        <f>"_"&amp;INDEX(Tabelle132[Geräte/Gewerke],MATCH(Tabelle7[[#This Row],[Gesamtcode]],Tabelle132[Gesamtcode],0))</f>
        <v>#N/A</v>
      </c>
      <c r="G258" t="e">
        <f>INDEX(Tabelle13[Gewerknr.],MATCH(Tabelle7[[#This Row],[Gewerke]],Tabelle13[Hauptgruppe],0))</f>
        <v>#N/A</v>
      </c>
      <c r="H258" t="s">
        <v>306</v>
      </c>
      <c r="I258" t="e">
        <f ca="1">INDEX(Tabelle134[Funktionsbereichsnr.],MATCH(Tabelle7[[#This Row],[Funktionsbereiche]],INDIRECT("Tabelle134["&amp;Tabelle7[[#This Row],[Gewerke]]&amp;"]"),0))</f>
        <v>#N/A</v>
      </c>
      <c r="J258" t="e">
        <f>Tabelle7[[#This Row],[Gesamtcode]]&amp;"_"&amp;Tabelle7[[#This Row],[Zone]]&amp;"_"&amp;Tabelle7[[#This Row],[Raum]]&amp;"_"&amp;Tabelle7[[#This Row],[Bezeichnung]]</f>
        <v>#N/A</v>
      </c>
      <c r="K258">
        <v>18</v>
      </c>
      <c r="L258" t="e">
        <f>Tabelle7[[#This Row],[Hauptgruppe]]&amp;"/-/-"</f>
        <v>#N/A</v>
      </c>
      <c r="M258" t="e">
        <f ca="1">Tabelle7[[#This Row],[Hauptgruppe]]&amp;"/"&amp;Tabelle7[[#This Row],[Mittelgruppe]]&amp;"/-"</f>
        <v>#N/A</v>
      </c>
      <c r="N258" t="e">
        <f ca="1">Tabelle7[[#This Row],[Hauptgruppe]]&amp;"/"&amp;Tabelle7[[#This Row],[Mittelgruppe]]&amp;"/"&amp;Tabelle7[[#This Row],[Untergruppe]]</f>
        <v>#N/A</v>
      </c>
      <c r="O258" t="e">
        <f>INDEX(Tabelle6[Aktor],MATCH(Tabelle7[[#This Row],[Gesamtcode]],Tabelle6[Gesamtcode],0))&amp;" "&amp;INDEX(Tabelle6[Aktorkanal],MATCH(Tabelle7[[#This Row],[Gesamtcode]],Tabelle6[Gesamtcode],0))</f>
        <v>#N/A</v>
      </c>
    </row>
    <row r="259" spans="2:15" x14ac:dyDescent="0.25">
      <c r="B259" t="s">
        <v>292</v>
      </c>
      <c r="C259" t="e">
        <f>INDEX(Tabelle132[Zone],MATCH(Tabelle7[[#This Row],[Gesamtcode]],Tabelle132[Gesamtcode],0))</f>
        <v>#N/A</v>
      </c>
      <c r="D259" t="e">
        <f>INDEX(Tabelle132[Raum],MATCH(Tabelle7[[#This Row],[Gesamtcode]],Tabelle132[Gesamtcode],0))</f>
        <v>#N/A</v>
      </c>
      <c r="E259" t="e">
        <f>INDEX(Tabelle132[Bezeichnung],MATCH(Tabelle7[[#This Row],[Gesamtcode]],Tabelle132[Gesamtcode],0))</f>
        <v>#N/A</v>
      </c>
      <c r="F259" t="e">
        <f>"_"&amp;INDEX(Tabelle132[Geräte/Gewerke],MATCH(Tabelle7[[#This Row],[Gesamtcode]],Tabelle132[Gesamtcode],0))</f>
        <v>#N/A</v>
      </c>
      <c r="G259" t="e">
        <f>INDEX(Tabelle13[Gewerknr.],MATCH(Tabelle7[[#This Row],[Gewerke]],Tabelle13[Hauptgruppe],0))</f>
        <v>#N/A</v>
      </c>
      <c r="H259" t="s">
        <v>306</v>
      </c>
      <c r="I259" t="e">
        <f ca="1">INDEX(Tabelle134[Funktionsbereichsnr.],MATCH(Tabelle7[[#This Row],[Funktionsbereiche]],INDIRECT("Tabelle134["&amp;Tabelle7[[#This Row],[Gewerke]]&amp;"]"),0))</f>
        <v>#N/A</v>
      </c>
      <c r="J259" t="e">
        <f>Tabelle7[[#This Row],[Gesamtcode]]&amp;"_"&amp;Tabelle7[[#This Row],[Zone]]&amp;"_"&amp;Tabelle7[[#This Row],[Raum]]&amp;"_"&amp;Tabelle7[[#This Row],[Bezeichnung]]</f>
        <v>#N/A</v>
      </c>
      <c r="K259">
        <v>19</v>
      </c>
      <c r="L259" t="e">
        <f>Tabelle7[[#This Row],[Hauptgruppe]]&amp;"/-/-"</f>
        <v>#N/A</v>
      </c>
      <c r="M259" t="e">
        <f ca="1">Tabelle7[[#This Row],[Hauptgruppe]]&amp;"/"&amp;Tabelle7[[#This Row],[Mittelgruppe]]&amp;"/-"</f>
        <v>#N/A</v>
      </c>
      <c r="N259" t="e">
        <f ca="1">Tabelle7[[#This Row],[Hauptgruppe]]&amp;"/"&amp;Tabelle7[[#This Row],[Mittelgruppe]]&amp;"/"&amp;Tabelle7[[#This Row],[Untergruppe]]</f>
        <v>#N/A</v>
      </c>
      <c r="O259" t="e">
        <f>INDEX(Tabelle6[Aktor],MATCH(Tabelle7[[#This Row],[Gesamtcode]],Tabelle6[Gesamtcode],0))&amp;" "&amp;INDEX(Tabelle6[Aktorkanal],MATCH(Tabelle7[[#This Row],[Gesamtcode]],Tabelle6[Gesamtcode],0))</f>
        <v>#N/A</v>
      </c>
    </row>
    <row r="260" spans="2:15" x14ac:dyDescent="0.25">
      <c r="B260" t="s">
        <v>293</v>
      </c>
      <c r="C260" t="e">
        <f>INDEX(Tabelle132[Zone],MATCH(Tabelle7[[#This Row],[Gesamtcode]],Tabelle132[Gesamtcode],0))</f>
        <v>#N/A</v>
      </c>
      <c r="D260" t="e">
        <f>INDEX(Tabelle132[Raum],MATCH(Tabelle7[[#This Row],[Gesamtcode]],Tabelle132[Gesamtcode],0))</f>
        <v>#N/A</v>
      </c>
      <c r="E260" t="e">
        <f>INDEX(Tabelle132[Bezeichnung],MATCH(Tabelle7[[#This Row],[Gesamtcode]],Tabelle132[Gesamtcode],0))</f>
        <v>#N/A</v>
      </c>
      <c r="F260" t="e">
        <f>"_"&amp;INDEX(Tabelle132[Geräte/Gewerke],MATCH(Tabelle7[[#This Row],[Gesamtcode]],Tabelle132[Gesamtcode],0))</f>
        <v>#N/A</v>
      </c>
      <c r="G260" t="e">
        <f>INDEX(Tabelle13[Gewerknr.],MATCH(Tabelle7[[#This Row],[Gewerke]],Tabelle13[Hauptgruppe],0))</f>
        <v>#N/A</v>
      </c>
      <c r="H260" t="s">
        <v>306</v>
      </c>
      <c r="I260" t="e">
        <f ca="1">INDEX(Tabelle134[Funktionsbereichsnr.],MATCH(Tabelle7[[#This Row],[Funktionsbereiche]],INDIRECT("Tabelle134["&amp;Tabelle7[[#This Row],[Gewerke]]&amp;"]"),0))</f>
        <v>#N/A</v>
      </c>
      <c r="J260" t="e">
        <f>Tabelle7[[#This Row],[Gesamtcode]]&amp;"_"&amp;Tabelle7[[#This Row],[Zone]]&amp;"_"&amp;Tabelle7[[#This Row],[Raum]]&amp;"_"&amp;Tabelle7[[#This Row],[Bezeichnung]]</f>
        <v>#N/A</v>
      </c>
      <c r="K260">
        <v>2</v>
      </c>
      <c r="L260" t="e">
        <f>Tabelle7[[#This Row],[Hauptgruppe]]&amp;"/-/-"</f>
        <v>#N/A</v>
      </c>
      <c r="M260" t="e">
        <f ca="1">Tabelle7[[#This Row],[Hauptgruppe]]&amp;"/"&amp;Tabelle7[[#This Row],[Mittelgruppe]]&amp;"/-"</f>
        <v>#N/A</v>
      </c>
      <c r="N260" t="e">
        <f ca="1">Tabelle7[[#This Row],[Hauptgruppe]]&amp;"/"&amp;Tabelle7[[#This Row],[Mittelgruppe]]&amp;"/"&amp;Tabelle7[[#This Row],[Untergruppe]]</f>
        <v>#N/A</v>
      </c>
      <c r="O260" t="e">
        <f>INDEX(Tabelle6[Aktor],MATCH(Tabelle7[[#This Row],[Gesamtcode]],Tabelle6[Gesamtcode],0))&amp;" "&amp;INDEX(Tabelle6[Aktorkanal],MATCH(Tabelle7[[#This Row],[Gesamtcode]],Tabelle6[Gesamtcode],0))</f>
        <v>#N/A</v>
      </c>
    </row>
    <row r="261" spans="2:15" x14ac:dyDescent="0.25">
      <c r="B261" t="s">
        <v>294</v>
      </c>
      <c r="C261" t="e">
        <f>INDEX(Tabelle132[Zone],MATCH(Tabelle7[[#This Row],[Gesamtcode]],Tabelle132[Gesamtcode],0))</f>
        <v>#N/A</v>
      </c>
      <c r="D261" t="e">
        <f>INDEX(Tabelle132[Raum],MATCH(Tabelle7[[#This Row],[Gesamtcode]],Tabelle132[Gesamtcode],0))</f>
        <v>#N/A</v>
      </c>
      <c r="E261" t="e">
        <f>INDEX(Tabelle132[Bezeichnung],MATCH(Tabelle7[[#This Row],[Gesamtcode]],Tabelle132[Gesamtcode],0))</f>
        <v>#N/A</v>
      </c>
      <c r="F261" t="e">
        <f>"_"&amp;INDEX(Tabelle132[Geräte/Gewerke],MATCH(Tabelle7[[#This Row],[Gesamtcode]],Tabelle132[Gesamtcode],0))</f>
        <v>#N/A</v>
      </c>
      <c r="G261" t="e">
        <f>INDEX(Tabelle13[Gewerknr.],MATCH(Tabelle7[[#This Row],[Gewerke]],Tabelle13[Hauptgruppe],0))</f>
        <v>#N/A</v>
      </c>
      <c r="H261" t="s">
        <v>306</v>
      </c>
      <c r="I261" t="e">
        <f ca="1">INDEX(Tabelle134[Funktionsbereichsnr.],MATCH(Tabelle7[[#This Row],[Funktionsbereiche]],INDIRECT("Tabelle134["&amp;Tabelle7[[#This Row],[Gewerke]]&amp;"]"),0))</f>
        <v>#N/A</v>
      </c>
      <c r="J261" t="e">
        <f>Tabelle7[[#This Row],[Gesamtcode]]&amp;"_"&amp;Tabelle7[[#This Row],[Zone]]&amp;"_"&amp;Tabelle7[[#This Row],[Raum]]&amp;"_"&amp;Tabelle7[[#This Row],[Bezeichnung]]</f>
        <v>#N/A</v>
      </c>
      <c r="K261">
        <v>20</v>
      </c>
      <c r="L261" t="e">
        <f>Tabelle7[[#This Row],[Hauptgruppe]]&amp;"/-/-"</f>
        <v>#N/A</v>
      </c>
      <c r="M261" t="e">
        <f ca="1">Tabelle7[[#This Row],[Hauptgruppe]]&amp;"/"&amp;Tabelle7[[#This Row],[Mittelgruppe]]&amp;"/-"</f>
        <v>#N/A</v>
      </c>
      <c r="N261" t="e">
        <f ca="1">Tabelle7[[#This Row],[Hauptgruppe]]&amp;"/"&amp;Tabelle7[[#This Row],[Mittelgruppe]]&amp;"/"&amp;Tabelle7[[#This Row],[Untergruppe]]</f>
        <v>#N/A</v>
      </c>
      <c r="O261" t="e">
        <f>INDEX(Tabelle6[Aktor],MATCH(Tabelle7[[#This Row],[Gesamtcode]],Tabelle6[Gesamtcode],0))&amp;" "&amp;INDEX(Tabelle6[Aktorkanal],MATCH(Tabelle7[[#This Row],[Gesamtcode]],Tabelle6[Gesamtcode],0))</f>
        <v>#N/A</v>
      </c>
    </row>
    <row r="262" spans="2:15" x14ac:dyDescent="0.25">
      <c r="B262" t="s">
        <v>295</v>
      </c>
      <c r="C262" t="e">
        <f>INDEX(Tabelle132[Zone],MATCH(Tabelle7[[#This Row],[Gesamtcode]],Tabelle132[Gesamtcode],0))</f>
        <v>#N/A</v>
      </c>
      <c r="D262" t="e">
        <f>INDEX(Tabelle132[Raum],MATCH(Tabelle7[[#This Row],[Gesamtcode]],Tabelle132[Gesamtcode],0))</f>
        <v>#N/A</v>
      </c>
      <c r="E262" t="e">
        <f>INDEX(Tabelle132[Bezeichnung],MATCH(Tabelle7[[#This Row],[Gesamtcode]],Tabelle132[Gesamtcode],0))</f>
        <v>#N/A</v>
      </c>
      <c r="F262" t="e">
        <f>"_"&amp;INDEX(Tabelle132[Geräte/Gewerke],MATCH(Tabelle7[[#This Row],[Gesamtcode]],Tabelle132[Gesamtcode],0))</f>
        <v>#N/A</v>
      </c>
      <c r="G262" t="e">
        <f>INDEX(Tabelle13[Gewerknr.],MATCH(Tabelle7[[#This Row],[Gewerke]],Tabelle13[Hauptgruppe],0))</f>
        <v>#N/A</v>
      </c>
      <c r="H262" t="s">
        <v>306</v>
      </c>
      <c r="I262" t="e">
        <f ca="1">INDEX(Tabelle134[Funktionsbereichsnr.],MATCH(Tabelle7[[#This Row],[Funktionsbereiche]],INDIRECT("Tabelle134["&amp;Tabelle7[[#This Row],[Gewerke]]&amp;"]"),0))</f>
        <v>#N/A</v>
      </c>
      <c r="J262" t="e">
        <f>Tabelle7[[#This Row],[Gesamtcode]]&amp;"_"&amp;Tabelle7[[#This Row],[Zone]]&amp;"_"&amp;Tabelle7[[#This Row],[Raum]]&amp;"_"&amp;Tabelle7[[#This Row],[Bezeichnung]]</f>
        <v>#N/A</v>
      </c>
      <c r="K262">
        <v>21</v>
      </c>
      <c r="L262" t="e">
        <f>Tabelle7[[#This Row],[Hauptgruppe]]&amp;"/-/-"</f>
        <v>#N/A</v>
      </c>
      <c r="M262" t="e">
        <f ca="1">Tabelle7[[#This Row],[Hauptgruppe]]&amp;"/"&amp;Tabelle7[[#This Row],[Mittelgruppe]]&amp;"/-"</f>
        <v>#N/A</v>
      </c>
      <c r="N262" t="e">
        <f ca="1">Tabelle7[[#This Row],[Hauptgruppe]]&amp;"/"&amp;Tabelle7[[#This Row],[Mittelgruppe]]&amp;"/"&amp;Tabelle7[[#This Row],[Untergruppe]]</f>
        <v>#N/A</v>
      </c>
      <c r="O262" t="e">
        <f>INDEX(Tabelle6[Aktor],MATCH(Tabelle7[[#This Row],[Gesamtcode]],Tabelle6[Gesamtcode],0))&amp;" "&amp;INDEX(Tabelle6[Aktorkanal],MATCH(Tabelle7[[#This Row],[Gesamtcode]],Tabelle6[Gesamtcode],0))</f>
        <v>#N/A</v>
      </c>
    </row>
    <row r="263" spans="2:15" x14ac:dyDescent="0.25">
      <c r="B263" t="s">
        <v>296</v>
      </c>
      <c r="C263" t="e">
        <f>INDEX(Tabelle132[Zone],MATCH(Tabelle7[[#This Row],[Gesamtcode]],Tabelle132[Gesamtcode],0))</f>
        <v>#N/A</v>
      </c>
      <c r="D263" t="e">
        <f>INDEX(Tabelle132[Raum],MATCH(Tabelle7[[#This Row],[Gesamtcode]],Tabelle132[Gesamtcode],0))</f>
        <v>#N/A</v>
      </c>
      <c r="E263" t="e">
        <f>INDEX(Tabelle132[Bezeichnung],MATCH(Tabelle7[[#This Row],[Gesamtcode]],Tabelle132[Gesamtcode],0))</f>
        <v>#N/A</v>
      </c>
      <c r="F263" t="e">
        <f>"_"&amp;INDEX(Tabelle132[Geräte/Gewerke],MATCH(Tabelle7[[#This Row],[Gesamtcode]],Tabelle132[Gesamtcode],0))</f>
        <v>#N/A</v>
      </c>
      <c r="G263" t="e">
        <f>INDEX(Tabelle13[Gewerknr.],MATCH(Tabelle7[[#This Row],[Gewerke]],Tabelle13[Hauptgruppe],0))</f>
        <v>#N/A</v>
      </c>
      <c r="H263" t="s">
        <v>306</v>
      </c>
      <c r="I263" t="e">
        <f ca="1">INDEX(Tabelle134[Funktionsbereichsnr.],MATCH(Tabelle7[[#This Row],[Funktionsbereiche]],INDIRECT("Tabelle134["&amp;Tabelle7[[#This Row],[Gewerke]]&amp;"]"),0))</f>
        <v>#N/A</v>
      </c>
      <c r="J263" t="e">
        <f>Tabelle7[[#This Row],[Gesamtcode]]&amp;"_"&amp;Tabelle7[[#This Row],[Zone]]&amp;"_"&amp;Tabelle7[[#This Row],[Raum]]&amp;"_"&amp;Tabelle7[[#This Row],[Bezeichnung]]</f>
        <v>#N/A</v>
      </c>
      <c r="K263">
        <v>22</v>
      </c>
      <c r="L263" t="e">
        <f>Tabelle7[[#This Row],[Hauptgruppe]]&amp;"/-/-"</f>
        <v>#N/A</v>
      </c>
      <c r="M263" t="e">
        <f ca="1">Tabelle7[[#This Row],[Hauptgruppe]]&amp;"/"&amp;Tabelle7[[#This Row],[Mittelgruppe]]&amp;"/-"</f>
        <v>#N/A</v>
      </c>
      <c r="N263" t="e">
        <f ca="1">Tabelle7[[#This Row],[Hauptgruppe]]&amp;"/"&amp;Tabelle7[[#This Row],[Mittelgruppe]]&amp;"/"&amp;Tabelle7[[#This Row],[Untergruppe]]</f>
        <v>#N/A</v>
      </c>
      <c r="O263" t="e">
        <f>INDEX(Tabelle6[Aktor],MATCH(Tabelle7[[#This Row],[Gesamtcode]],Tabelle6[Gesamtcode],0))&amp;" "&amp;INDEX(Tabelle6[Aktorkanal],MATCH(Tabelle7[[#This Row],[Gesamtcode]],Tabelle6[Gesamtcode],0))</f>
        <v>#N/A</v>
      </c>
    </row>
    <row r="264" spans="2:15" x14ac:dyDescent="0.25">
      <c r="B264" t="s">
        <v>297</v>
      </c>
      <c r="C264" t="e">
        <f>INDEX(Tabelle132[Zone],MATCH(Tabelle7[[#This Row],[Gesamtcode]],Tabelle132[Gesamtcode],0))</f>
        <v>#N/A</v>
      </c>
      <c r="D264" t="e">
        <f>INDEX(Tabelle132[Raum],MATCH(Tabelle7[[#This Row],[Gesamtcode]],Tabelle132[Gesamtcode],0))</f>
        <v>#N/A</v>
      </c>
      <c r="E264" t="e">
        <f>INDEX(Tabelle132[Bezeichnung],MATCH(Tabelle7[[#This Row],[Gesamtcode]],Tabelle132[Gesamtcode],0))</f>
        <v>#N/A</v>
      </c>
      <c r="F264" t="e">
        <f>"_"&amp;INDEX(Tabelle132[Geräte/Gewerke],MATCH(Tabelle7[[#This Row],[Gesamtcode]],Tabelle132[Gesamtcode],0))</f>
        <v>#N/A</v>
      </c>
      <c r="G264" t="e">
        <f>INDEX(Tabelle13[Gewerknr.],MATCH(Tabelle7[[#This Row],[Gewerke]],Tabelle13[Hauptgruppe],0))</f>
        <v>#N/A</v>
      </c>
      <c r="H264" t="s">
        <v>306</v>
      </c>
      <c r="I264" t="e">
        <f ca="1">INDEX(Tabelle134[Funktionsbereichsnr.],MATCH(Tabelle7[[#This Row],[Funktionsbereiche]],INDIRECT("Tabelle134["&amp;Tabelle7[[#This Row],[Gewerke]]&amp;"]"),0))</f>
        <v>#N/A</v>
      </c>
      <c r="J264" t="e">
        <f>Tabelle7[[#This Row],[Gesamtcode]]&amp;"_"&amp;Tabelle7[[#This Row],[Zone]]&amp;"_"&amp;Tabelle7[[#This Row],[Raum]]&amp;"_"&amp;Tabelle7[[#This Row],[Bezeichnung]]</f>
        <v>#N/A</v>
      </c>
      <c r="K264">
        <v>3</v>
      </c>
      <c r="L264" t="e">
        <f>Tabelle7[[#This Row],[Hauptgruppe]]&amp;"/-/-"</f>
        <v>#N/A</v>
      </c>
      <c r="M264" t="e">
        <f ca="1">Tabelle7[[#This Row],[Hauptgruppe]]&amp;"/"&amp;Tabelle7[[#This Row],[Mittelgruppe]]&amp;"/-"</f>
        <v>#N/A</v>
      </c>
      <c r="N264" t="e">
        <f ca="1">Tabelle7[[#This Row],[Hauptgruppe]]&amp;"/"&amp;Tabelle7[[#This Row],[Mittelgruppe]]&amp;"/"&amp;Tabelle7[[#This Row],[Untergruppe]]</f>
        <v>#N/A</v>
      </c>
      <c r="O264" t="e">
        <f>INDEX(Tabelle6[Aktor],MATCH(Tabelle7[[#This Row],[Gesamtcode]],Tabelle6[Gesamtcode],0))&amp;" "&amp;INDEX(Tabelle6[Aktorkanal],MATCH(Tabelle7[[#This Row],[Gesamtcode]],Tabelle6[Gesamtcode],0))</f>
        <v>#N/A</v>
      </c>
    </row>
    <row r="265" spans="2:15" x14ac:dyDescent="0.25">
      <c r="B265" t="s">
        <v>298</v>
      </c>
      <c r="C265" t="e">
        <f>INDEX(Tabelle132[Zone],MATCH(Tabelle7[[#This Row],[Gesamtcode]],Tabelle132[Gesamtcode],0))</f>
        <v>#N/A</v>
      </c>
      <c r="D265" t="e">
        <f>INDEX(Tabelle132[Raum],MATCH(Tabelle7[[#This Row],[Gesamtcode]],Tabelle132[Gesamtcode],0))</f>
        <v>#N/A</v>
      </c>
      <c r="E265" t="e">
        <f>INDEX(Tabelle132[Bezeichnung],MATCH(Tabelle7[[#This Row],[Gesamtcode]],Tabelle132[Gesamtcode],0))</f>
        <v>#N/A</v>
      </c>
      <c r="F265" t="e">
        <f>"_"&amp;INDEX(Tabelle132[Geräte/Gewerke],MATCH(Tabelle7[[#This Row],[Gesamtcode]],Tabelle132[Gesamtcode],0))</f>
        <v>#N/A</v>
      </c>
      <c r="G265" t="e">
        <f>INDEX(Tabelle13[Gewerknr.],MATCH(Tabelle7[[#This Row],[Gewerke]],Tabelle13[Hauptgruppe],0))</f>
        <v>#N/A</v>
      </c>
      <c r="H265" t="s">
        <v>306</v>
      </c>
      <c r="I265" t="e">
        <f ca="1">INDEX(Tabelle134[Funktionsbereichsnr.],MATCH(Tabelle7[[#This Row],[Funktionsbereiche]],INDIRECT("Tabelle134["&amp;Tabelle7[[#This Row],[Gewerke]]&amp;"]"),0))</f>
        <v>#N/A</v>
      </c>
      <c r="J265" t="e">
        <f>Tabelle7[[#This Row],[Gesamtcode]]&amp;"_"&amp;Tabelle7[[#This Row],[Zone]]&amp;"_"&amp;Tabelle7[[#This Row],[Raum]]&amp;"_"&amp;Tabelle7[[#This Row],[Bezeichnung]]</f>
        <v>#N/A</v>
      </c>
      <c r="K265">
        <v>4</v>
      </c>
      <c r="L265" t="e">
        <f>Tabelle7[[#This Row],[Hauptgruppe]]&amp;"/-/-"</f>
        <v>#N/A</v>
      </c>
      <c r="M265" t="e">
        <f ca="1">Tabelle7[[#This Row],[Hauptgruppe]]&amp;"/"&amp;Tabelle7[[#This Row],[Mittelgruppe]]&amp;"/-"</f>
        <v>#N/A</v>
      </c>
      <c r="N265" t="e">
        <f ca="1">Tabelle7[[#This Row],[Hauptgruppe]]&amp;"/"&amp;Tabelle7[[#This Row],[Mittelgruppe]]&amp;"/"&amp;Tabelle7[[#This Row],[Untergruppe]]</f>
        <v>#N/A</v>
      </c>
      <c r="O265" t="e">
        <f>INDEX(Tabelle6[Aktor],MATCH(Tabelle7[[#This Row],[Gesamtcode]],Tabelle6[Gesamtcode],0))&amp;" "&amp;INDEX(Tabelle6[Aktorkanal],MATCH(Tabelle7[[#This Row],[Gesamtcode]],Tabelle6[Gesamtcode],0))</f>
        <v>#N/A</v>
      </c>
    </row>
    <row r="266" spans="2:15" x14ac:dyDescent="0.25">
      <c r="B266" t="s">
        <v>299</v>
      </c>
      <c r="C266" t="e">
        <f>INDEX(Tabelle132[Zone],MATCH(Tabelle7[[#This Row],[Gesamtcode]],Tabelle132[Gesamtcode],0))</f>
        <v>#N/A</v>
      </c>
      <c r="D266" t="e">
        <f>INDEX(Tabelle132[Raum],MATCH(Tabelle7[[#This Row],[Gesamtcode]],Tabelle132[Gesamtcode],0))</f>
        <v>#N/A</v>
      </c>
      <c r="E266" t="e">
        <f>INDEX(Tabelle132[Bezeichnung],MATCH(Tabelle7[[#This Row],[Gesamtcode]],Tabelle132[Gesamtcode],0))</f>
        <v>#N/A</v>
      </c>
      <c r="F266" t="e">
        <f>"_"&amp;INDEX(Tabelle132[Geräte/Gewerke],MATCH(Tabelle7[[#This Row],[Gesamtcode]],Tabelle132[Gesamtcode],0))</f>
        <v>#N/A</v>
      </c>
      <c r="G266" t="e">
        <f>INDEX(Tabelle13[Gewerknr.],MATCH(Tabelle7[[#This Row],[Gewerke]],Tabelle13[Hauptgruppe],0))</f>
        <v>#N/A</v>
      </c>
      <c r="H266" t="s">
        <v>306</v>
      </c>
      <c r="I266" t="e">
        <f ca="1">INDEX(Tabelle134[Funktionsbereichsnr.],MATCH(Tabelle7[[#This Row],[Funktionsbereiche]],INDIRECT("Tabelle134["&amp;Tabelle7[[#This Row],[Gewerke]]&amp;"]"),0))</f>
        <v>#N/A</v>
      </c>
      <c r="J266" t="e">
        <f>Tabelle7[[#This Row],[Gesamtcode]]&amp;"_"&amp;Tabelle7[[#This Row],[Zone]]&amp;"_"&amp;Tabelle7[[#This Row],[Raum]]&amp;"_"&amp;Tabelle7[[#This Row],[Bezeichnung]]</f>
        <v>#N/A</v>
      </c>
      <c r="K266">
        <v>5</v>
      </c>
      <c r="L266" t="e">
        <f>Tabelle7[[#This Row],[Hauptgruppe]]&amp;"/-/-"</f>
        <v>#N/A</v>
      </c>
      <c r="M266" t="e">
        <f ca="1">Tabelle7[[#This Row],[Hauptgruppe]]&amp;"/"&amp;Tabelle7[[#This Row],[Mittelgruppe]]&amp;"/-"</f>
        <v>#N/A</v>
      </c>
      <c r="N266" t="e">
        <f ca="1">Tabelle7[[#This Row],[Hauptgruppe]]&amp;"/"&amp;Tabelle7[[#This Row],[Mittelgruppe]]&amp;"/"&amp;Tabelle7[[#This Row],[Untergruppe]]</f>
        <v>#N/A</v>
      </c>
      <c r="O266" t="e">
        <f>INDEX(Tabelle6[Aktor],MATCH(Tabelle7[[#This Row],[Gesamtcode]],Tabelle6[Gesamtcode],0))&amp;" "&amp;INDEX(Tabelle6[Aktorkanal],MATCH(Tabelle7[[#This Row],[Gesamtcode]],Tabelle6[Gesamtcode],0))</f>
        <v>#N/A</v>
      </c>
    </row>
    <row r="267" spans="2:15" x14ac:dyDescent="0.25">
      <c r="B267" t="s">
        <v>300</v>
      </c>
      <c r="C267" t="e">
        <f>INDEX(Tabelle132[Zone],MATCH(Tabelle7[[#This Row],[Gesamtcode]],Tabelle132[Gesamtcode],0))</f>
        <v>#N/A</v>
      </c>
      <c r="D267" t="e">
        <f>INDEX(Tabelle132[Raum],MATCH(Tabelle7[[#This Row],[Gesamtcode]],Tabelle132[Gesamtcode],0))</f>
        <v>#N/A</v>
      </c>
      <c r="E267" t="e">
        <f>INDEX(Tabelle132[Bezeichnung],MATCH(Tabelle7[[#This Row],[Gesamtcode]],Tabelle132[Gesamtcode],0))</f>
        <v>#N/A</v>
      </c>
      <c r="F267" t="e">
        <f>"_"&amp;INDEX(Tabelle132[Geräte/Gewerke],MATCH(Tabelle7[[#This Row],[Gesamtcode]],Tabelle132[Gesamtcode],0))</f>
        <v>#N/A</v>
      </c>
      <c r="G267" t="e">
        <f>INDEX(Tabelle13[Gewerknr.],MATCH(Tabelle7[[#This Row],[Gewerke]],Tabelle13[Hauptgruppe],0))</f>
        <v>#N/A</v>
      </c>
      <c r="H267" t="s">
        <v>306</v>
      </c>
      <c r="I267" t="e">
        <f ca="1">INDEX(Tabelle134[Funktionsbereichsnr.],MATCH(Tabelle7[[#This Row],[Funktionsbereiche]],INDIRECT("Tabelle134["&amp;Tabelle7[[#This Row],[Gewerke]]&amp;"]"),0))</f>
        <v>#N/A</v>
      </c>
      <c r="J267" t="e">
        <f>Tabelle7[[#This Row],[Gesamtcode]]&amp;"_"&amp;Tabelle7[[#This Row],[Zone]]&amp;"_"&amp;Tabelle7[[#This Row],[Raum]]&amp;"_"&amp;Tabelle7[[#This Row],[Bezeichnung]]</f>
        <v>#N/A</v>
      </c>
      <c r="K267">
        <v>6</v>
      </c>
      <c r="L267" t="e">
        <f>Tabelle7[[#This Row],[Hauptgruppe]]&amp;"/-/-"</f>
        <v>#N/A</v>
      </c>
      <c r="M267" t="e">
        <f ca="1">Tabelle7[[#This Row],[Hauptgruppe]]&amp;"/"&amp;Tabelle7[[#This Row],[Mittelgruppe]]&amp;"/-"</f>
        <v>#N/A</v>
      </c>
      <c r="N267" t="e">
        <f ca="1">Tabelle7[[#This Row],[Hauptgruppe]]&amp;"/"&amp;Tabelle7[[#This Row],[Mittelgruppe]]&amp;"/"&amp;Tabelle7[[#This Row],[Untergruppe]]</f>
        <v>#N/A</v>
      </c>
      <c r="O267" t="e">
        <f>INDEX(Tabelle6[Aktor],MATCH(Tabelle7[[#This Row],[Gesamtcode]],Tabelle6[Gesamtcode],0))&amp;" "&amp;INDEX(Tabelle6[Aktorkanal],MATCH(Tabelle7[[#This Row],[Gesamtcode]],Tabelle6[Gesamtcode],0))</f>
        <v>#N/A</v>
      </c>
    </row>
    <row r="268" spans="2:15" x14ac:dyDescent="0.25">
      <c r="B268" t="s">
        <v>301</v>
      </c>
      <c r="C268" t="e">
        <f>INDEX(Tabelle132[Zone],MATCH(Tabelle7[[#This Row],[Gesamtcode]],Tabelle132[Gesamtcode],0))</f>
        <v>#N/A</v>
      </c>
      <c r="D268" t="e">
        <f>INDEX(Tabelle132[Raum],MATCH(Tabelle7[[#This Row],[Gesamtcode]],Tabelle132[Gesamtcode],0))</f>
        <v>#N/A</v>
      </c>
      <c r="E268" t="e">
        <f>INDEX(Tabelle132[Bezeichnung],MATCH(Tabelle7[[#This Row],[Gesamtcode]],Tabelle132[Gesamtcode],0))</f>
        <v>#N/A</v>
      </c>
      <c r="F268" t="e">
        <f>"_"&amp;INDEX(Tabelle132[Geräte/Gewerke],MATCH(Tabelle7[[#This Row],[Gesamtcode]],Tabelle132[Gesamtcode],0))</f>
        <v>#N/A</v>
      </c>
      <c r="G268" t="e">
        <f>INDEX(Tabelle13[Gewerknr.],MATCH(Tabelle7[[#This Row],[Gewerke]],Tabelle13[Hauptgruppe],0))</f>
        <v>#N/A</v>
      </c>
      <c r="H268" t="s">
        <v>306</v>
      </c>
      <c r="I268" t="e">
        <f ca="1">INDEX(Tabelle134[Funktionsbereichsnr.],MATCH(Tabelle7[[#This Row],[Funktionsbereiche]],INDIRECT("Tabelle134["&amp;Tabelle7[[#This Row],[Gewerke]]&amp;"]"),0))</f>
        <v>#N/A</v>
      </c>
      <c r="J268" t="e">
        <f>Tabelle7[[#This Row],[Gesamtcode]]&amp;"_"&amp;Tabelle7[[#This Row],[Zone]]&amp;"_"&amp;Tabelle7[[#This Row],[Raum]]&amp;"_"&amp;Tabelle7[[#This Row],[Bezeichnung]]</f>
        <v>#N/A</v>
      </c>
      <c r="K268">
        <v>7</v>
      </c>
      <c r="L268" t="e">
        <f>Tabelle7[[#This Row],[Hauptgruppe]]&amp;"/-/-"</f>
        <v>#N/A</v>
      </c>
      <c r="M268" t="e">
        <f ca="1">Tabelle7[[#This Row],[Hauptgruppe]]&amp;"/"&amp;Tabelle7[[#This Row],[Mittelgruppe]]&amp;"/-"</f>
        <v>#N/A</v>
      </c>
      <c r="N268" t="e">
        <f ca="1">Tabelle7[[#This Row],[Hauptgruppe]]&amp;"/"&amp;Tabelle7[[#This Row],[Mittelgruppe]]&amp;"/"&amp;Tabelle7[[#This Row],[Untergruppe]]</f>
        <v>#N/A</v>
      </c>
      <c r="O268" t="e">
        <f>INDEX(Tabelle6[Aktor],MATCH(Tabelle7[[#This Row],[Gesamtcode]],Tabelle6[Gesamtcode],0))&amp;" "&amp;INDEX(Tabelle6[Aktorkanal],MATCH(Tabelle7[[#This Row],[Gesamtcode]],Tabelle6[Gesamtcode],0))</f>
        <v>#N/A</v>
      </c>
    </row>
    <row r="269" spans="2:15" x14ac:dyDescent="0.25">
      <c r="B269" t="s">
        <v>302</v>
      </c>
      <c r="C269" t="e">
        <f>INDEX(Tabelle132[Zone],MATCH(Tabelle7[[#This Row],[Gesamtcode]],Tabelle132[Gesamtcode],0))</f>
        <v>#N/A</v>
      </c>
      <c r="D269" t="e">
        <f>INDEX(Tabelle132[Raum],MATCH(Tabelle7[[#This Row],[Gesamtcode]],Tabelle132[Gesamtcode],0))</f>
        <v>#N/A</v>
      </c>
      <c r="E269" t="e">
        <f>INDEX(Tabelle132[Bezeichnung],MATCH(Tabelle7[[#This Row],[Gesamtcode]],Tabelle132[Gesamtcode],0))</f>
        <v>#N/A</v>
      </c>
      <c r="F269" t="e">
        <f>"_"&amp;INDEX(Tabelle132[Geräte/Gewerke],MATCH(Tabelle7[[#This Row],[Gesamtcode]],Tabelle132[Gesamtcode],0))</f>
        <v>#N/A</v>
      </c>
      <c r="G269" t="e">
        <f>INDEX(Tabelle13[Gewerknr.],MATCH(Tabelle7[[#This Row],[Gewerke]],Tabelle13[Hauptgruppe],0))</f>
        <v>#N/A</v>
      </c>
      <c r="H269" t="s">
        <v>306</v>
      </c>
      <c r="I269" t="e">
        <f ca="1">INDEX(Tabelle134[Funktionsbereichsnr.],MATCH(Tabelle7[[#This Row],[Funktionsbereiche]],INDIRECT("Tabelle134["&amp;Tabelle7[[#This Row],[Gewerke]]&amp;"]"),0))</f>
        <v>#N/A</v>
      </c>
      <c r="J269" t="e">
        <f>Tabelle7[[#This Row],[Gesamtcode]]&amp;"_"&amp;Tabelle7[[#This Row],[Zone]]&amp;"_"&amp;Tabelle7[[#This Row],[Raum]]&amp;"_"&amp;Tabelle7[[#This Row],[Bezeichnung]]</f>
        <v>#N/A</v>
      </c>
      <c r="K269">
        <v>8</v>
      </c>
      <c r="L269" t="e">
        <f>Tabelle7[[#This Row],[Hauptgruppe]]&amp;"/-/-"</f>
        <v>#N/A</v>
      </c>
      <c r="M269" t="e">
        <f ca="1">Tabelle7[[#This Row],[Hauptgruppe]]&amp;"/"&amp;Tabelle7[[#This Row],[Mittelgruppe]]&amp;"/-"</f>
        <v>#N/A</v>
      </c>
      <c r="N269" t="e">
        <f ca="1">Tabelle7[[#This Row],[Hauptgruppe]]&amp;"/"&amp;Tabelle7[[#This Row],[Mittelgruppe]]&amp;"/"&amp;Tabelle7[[#This Row],[Untergruppe]]</f>
        <v>#N/A</v>
      </c>
      <c r="O269" t="e">
        <f>INDEX(Tabelle6[Aktor],MATCH(Tabelle7[[#This Row],[Gesamtcode]],Tabelle6[Gesamtcode],0))&amp;" "&amp;INDEX(Tabelle6[Aktorkanal],MATCH(Tabelle7[[#This Row],[Gesamtcode]],Tabelle6[Gesamtcode],0))</f>
        <v>#N/A</v>
      </c>
    </row>
    <row r="270" spans="2:15" x14ac:dyDescent="0.25">
      <c r="B270" t="s">
        <v>303</v>
      </c>
      <c r="C270" t="e">
        <f>INDEX(Tabelle132[Zone],MATCH(Tabelle7[[#This Row],[Gesamtcode]],Tabelle132[Gesamtcode],0))</f>
        <v>#N/A</v>
      </c>
      <c r="D270" t="e">
        <f>INDEX(Tabelle132[Raum],MATCH(Tabelle7[[#This Row],[Gesamtcode]],Tabelle132[Gesamtcode],0))</f>
        <v>#N/A</v>
      </c>
      <c r="E270" t="e">
        <f>INDEX(Tabelle132[Bezeichnung],MATCH(Tabelle7[[#This Row],[Gesamtcode]],Tabelle132[Gesamtcode],0))</f>
        <v>#N/A</v>
      </c>
      <c r="F270" t="e">
        <f>"_"&amp;INDEX(Tabelle132[Geräte/Gewerke],MATCH(Tabelle7[[#This Row],[Gesamtcode]],Tabelle132[Gesamtcode],0))</f>
        <v>#N/A</v>
      </c>
      <c r="G270" t="e">
        <f>INDEX(Tabelle13[Gewerknr.],MATCH(Tabelle7[[#This Row],[Gewerke]],Tabelle13[Hauptgruppe],0))</f>
        <v>#N/A</v>
      </c>
      <c r="H270" t="s">
        <v>306</v>
      </c>
      <c r="I270" t="e">
        <f ca="1">INDEX(Tabelle134[Funktionsbereichsnr.],MATCH(Tabelle7[[#This Row],[Funktionsbereiche]],INDIRECT("Tabelle134["&amp;Tabelle7[[#This Row],[Gewerke]]&amp;"]"),0))</f>
        <v>#N/A</v>
      </c>
      <c r="J270" t="e">
        <f>Tabelle7[[#This Row],[Gesamtcode]]&amp;"_"&amp;Tabelle7[[#This Row],[Zone]]&amp;"_"&amp;Tabelle7[[#This Row],[Raum]]&amp;"_"&amp;Tabelle7[[#This Row],[Bezeichnung]]</f>
        <v>#N/A</v>
      </c>
      <c r="K270">
        <v>9</v>
      </c>
      <c r="L270" t="e">
        <f>Tabelle7[[#This Row],[Hauptgruppe]]&amp;"/-/-"</f>
        <v>#N/A</v>
      </c>
      <c r="M270" t="e">
        <f ca="1">Tabelle7[[#This Row],[Hauptgruppe]]&amp;"/"&amp;Tabelle7[[#This Row],[Mittelgruppe]]&amp;"/-"</f>
        <v>#N/A</v>
      </c>
      <c r="N270" t="e">
        <f ca="1">Tabelle7[[#This Row],[Hauptgruppe]]&amp;"/"&amp;Tabelle7[[#This Row],[Mittelgruppe]]&amp;"/"&amp;Tabelle7[[#This Row],[Untergruppe]]</f>
        <v>#N/A</v>
      </c>
      <c r="O270" t="e">
        <f>INDEX(Tabelle6[Aktor],MATCH(Tabelle7[[#This Row],[Gesamtcode]],Tabelle6[Gesamtcode],0))&amp;" "&amp;INDEX(Tabelle6[Aktorkanal],MATCH(Tabelle7[[#This Row],[Gesamtcode]],Tabelle6[Gesamtcode],0))</f>
        <v>#N/A</v>
      </c>
    </row>
    <row r="271" spans="2:15" x14ac:dyDescent="0.25">
      <c r="B271" t="s">
        <v>281</v>
      </c>
      <c r="C271" t="e">
        <f>INDEX(Tabelle132[Zone],MATCH(Tabelle7[[#This Row],[Gesamtcode]],Tabelle132[Gesamtcode],0))</f>
        <v>#N/A</v>
      </c>
      <c r="D271" t="e">
        <f>INDEX(Tabelle132[Raum],MATCH(Tabelle7[[#This Row],[Gesamtcode]],Tabelle132[Gesamtcode],0))</f>
        <v>#N/A</v>
      </c>
      <c r="E271" t="e">
        <f>INDEX(Tabelle132[Bezeichnung],MATCH(Tabelle7[[#This Row],[Gesamtcode]],Tabelle132[Gesamtcode],0))</f>
        <v>#N/A</v>
      </c>
      <c r="F271" t="e">
        <f>"_"&amp;INDEX(Tabelle132[Geräte/Gewerke],MATCH(Tabelle7[[#This Row],[Gesamtcode]],Tabelle132[Gesamtcode],0))</f>
        <v>#N/A</v>
      </c>
      <c r="G271" t="e">
        <f>INDEX(Tabelle13[Gewerknr.],MATCH(Tabelle7[[#This Row],[Gewerke]],Tabelle13[Hauptgruppe],0))</f>
        <v>#N/A</v>
      </c>
      <c r="H271" t="s">
        <v>307</v>
      </c>
      <c r="I271" t="e">
        <f ca="1">INDEX(Tabelle134[Funktionsbereichsnr.],MATCH(Tabelle7[[#This Row],[Funktionsbereiche]],INDIRECT("Tabelle134["&amp;Tabelle7[[#This Row],[Gewerke]]&amp;"]"),0))</f>
        <v>#N/A</v>
      </c>
      <c r="J271" t="e">
        <f>Tabelle7[[#This Row],[Gesamtcode]]&amp;"_"&amp;Tabelle7[[#This Row],[Zone]]&amp;"_"&amp;Tabelle7[[#This Row],[Raum]]&amp;"_"&amp;Tabelle7[[#This Row],[Bezeichnung]]</f>
        <v>#N/A</v>
      </c>
      <c r="K271">
        <v>0</v>
      </c>
      <c r="L271" t="e">
        <f>Tabelle7[[#This Row],[Hauptgruppe]]&amp;"/-/-"</f>
        <v>#N/A</v>
      </c>
      <c r="M271" t="e">
        <f ca="1">Tabelle7[[#This Row],[Hauptgruppe]]&amp;"/"&amp;Tabelle7[[#This Row],[Mittelgruppe]]&amp;"/-"</f>
        <v>#N/A</v>
      </c>
      <c r="N271" t="e">
        <f ca="1">Tabelle7[[#This Row],[Hauptgruppe]]&amp;"/"&amp;Tabelle7[[#This Row],[Mittelgruppe]]&amp;"/"&amp;Tabelle7[[#This Row],[Untergruppe]]</f>
        <v>#N/A</v>
      </c>
      <c r="O271" t="e">
        <f>INDEX(Tabelle6[Aktor],MATCH(Tabelle7[[#This Row],[Gesamtcode]],Tabelle6[Gesamtcode],0))&amp;" "&amp;INDEX(Tabelle6[Aktorkanal],MATCH(Tabelle7[[#This Row],[Gesamtcode]],Tabelle6[Gesamtcode],0))</f>
        <v>#N/A</v>
      </c>
    </row>
    <row r="272" spans="2:15" x14ac:dyDescent="0.25">
      <c r="B272" t="s">
        <v>282</v>
      </c>
      <c r="C272" t="e">
        <f>INDEX(Tabelle132[Zone],MATCH(Tabelle7[[#This Row],[Gesamtcode]],Tabelle132[Gesamtcode],0))</f>
        <v>#N/A</v>
      </c>
      <c r="D272" t="e">
        <f>INDEX(Tabelle132[Raum],MATCH(Tabelle7[[#This Row],[Gesamtcode]],Tabelle132[Gesamtcode],0))</f>
        <v>#N/A</v>
      </c>
      <c r="E272" t="e">
        <f>INDEX(Tabelle132[Bezeichnung],MATCH(Tabelle7[[#This Row],[Gesamtcode]],Tabelle132[Gesamtcode],0))</f>
        <v>#N/A</v>
      </c>
      <c r="F272" t="e">
        <f>"_"&amp;INDEX(Tabelle132[Geräte/Gewerke],MATCH(Tabelle7[[#This Row],[Gesamtcode]],Tabelle132[Gesamtcode],0))</f>
        <v>#N/A</v>
      </c>
      <c r="G272" t="e">
        <f>INDEX(Tabelle13[Gewerknr.],MATCH(Tabelle7[[#This Row],[Gewerke]],Tabelle13[Hauptgruppe],0))</f>
        <v>#N/A</v>
      </c>
      <c r="H272" t="s">
        <v>307</v>
      </c>
      <c r="I272" t="e">
        <f ca="1">INDEX(Tabelle134[Funktionsbereichsnr.],MATCH(Tabelle7[[#This Row],[Funktionsbereiche]],INDIRECT("Tabelle134["&amp;Tabelle7[[#This Row],[Gewerke]]&amp;"]"),0))</f>
        <v>#N/A</v>
      </c>
      <c r="J272" t="e">
        <f>Tabelle7[[#This Row],[Gesamtcode]]&amp;"_"&amp;Tabelle7[[#This Row],[Zone]]&amp;"_"&amp;Tabelle7[[#This Row],[Raum]]&amp;"_"&amp;Tabelle7[[#This Row],[Bezeichnung]]</f>
        <v>#N/A</v>
      </c>
      <c r="K272">
        <v>1</v>
      </c>
      <c r="L272" t="e">
        <f>Tabelle7[[#This Row],[Hauptgruppe]]&amp;"/-/-"</f>
        <v>#N/A</v>
      </c>
      <c r="M272" t="e">
        <f ca="1">Tabelle7[[#This Row],[Hauptgruppe]]&amp;"/"&amp;Tabelle7[[#This Row],[Mittelgruppe]]&amp;"/-"</f>
        <v>#N/A</v>
      </c>
      <c r="N272" t="e">
        <f ca="1">Tabelle7[[#This Row],[Hauptgruppe]]&amp;"/"&amp;Tabelle7[[#This Row],[Mittelgruppe]]&amp;"/"&amp;Tabelle7[[#This Row],[Untergruppe]]</f>
        <v>#N/A</v>
      </c>
      <c r="O272" t="e">
        <f>INDEX(Tabelle6[Aktor],MATCH(Tabelle7[[#This Row],[Gesamtcode]],Tabelle6[Gesamtcode],0))&amp;" "&amp;INDEX(Tabelle6[Aktorkanal],MATCH(Tabelle7[[#This Row],[Gesamtcode]],Tabelle6[Gesamtcode],0))</f>
        <v>#N/A</v>
      </c>
    </row>
    <row r="273" spans="2:15" x14ac:dyDescent="0.25">
      <c r="B273" t="s">
        <v>283</v>
      </c>
      <c r="C273" t="e">
        <f>INDEX(Tabelle132[Zone],MATCH(Tabelle7[[#This Row],[Gesamtcode]],Tabelle132[Gesamtcode],0))</f>
        <v>#N/A</v>
      </c>
      <c r="D273" t="e">
        <f>INDEX(Tabelle132[Raum],MATCH(Tabelle7[[#This Row],[Gesamtcode]],Tabelle132[Gesamtcode],0))</f>
        <v>#N/A</v>
      </c>
      <c r="E273" t="e">
        <f>INDEX(Tabelle132[Bezeichnung],MATCH(Tabelle7[[#This Row],[Gesamtcode]],Tabelle132[Gesamtcode],0))</f>
        <v>#N/A</v>
      </c>
      <c r="F273" t="e">
        <f>"_"&amp;INDEX(Tabelle132[Geräte/Gewerke],MATCH(Tabelle7[[#This Row],[Gesamtcode]],Tabelle132[Gesamtcode],0))</f>
        <v>#N/A</v>
      </c>
      <c r="G273" t="e">
        <f>INDEX(Tabelle13[Gewerknr.],MATCH(Tabelle7[[#This Row],[Gewerke]],Tabelle13[Hauptgruppe],0))</f>
        <v>#N/A</v>
      </c>
      <c r="H273" t="s">
        <v>307</v>
      </c>
      <c r="I273" t="e">
        <f ca="1">INDEX(Tabelle134[Funktionsbereichsnr.],MATCH(Tabelle7[[#This Row],[Funktionsbereiche]],INDIRECT("Tabelle134["&amp;Tabelle7[[#This Row],[Gewerke]]&amp;"]"),0))</f>
        <v>#N/A</v>
      </c>
      <c r="J273" t="e">
        <f>Tabelle7[[#This Row],[Gesamtcode]]&amp;"_"&amp;Tabelle7[[#This Row],[Zone]]&amp;"_"&amp;Tabelle7[[#This Row],[Raum]]&amp;"_"&amp;Tabelle7[[#This Row],[Bezeichnung]]</f>
        <v>#N/A</v>
      </c>
      <c r="K273">
        <v>10</v>
      </c>
      <c r="L273" t="e">
        <f>Tabelle7[[#This Row],[Hauptgruppe]]&amp;"/-/-"</f>
        <v>#N/A</v>
      </c>
      <c r="M273" t="e">
        <f ca="1">Tabelle7[[#This Row],[Hauptgruppe]]&amp;"/"&amp;Tabelle7[[#This Row],[Mittelgruppe]]&amp;"/-"</f>
        <v>#N/A</v>
      </c>
      <c r="N273" t="e">
        <f ca="1">Tabelle7[[#This Row],[Hauptgruppe]]&amp;"/"&amp;Tabelle7[[#This Row],[Mittelgruppe]]&amp;"/"&amp;Tabelle7[[#This Row],[Untergruppe]]</f>
        <v>#N/A</v>
      </c>
      <c r="O273" t="e">
        <f>INDEX(Tabelle6[Aktor],MATCH(Tabelle7[[#This Row],[Gesamtcode]],Tabelle6[Gesamtcode],0))&amp;" "&amp;INDEX(Tabelle6[Aktorkanal],MATCH(Tabelle7[[#This Row],[Gesamtcode]],Tabelle6[Gesamtcode],0))</f>
        <v>#N/A</v>
      </c>
    </row>
    <row r="274" spans="2:15" x14ac:dyDescent="0.25">
      <c r="B274" t="s">
        <v>284</v>
      </c>
      <c r="C274" t="e">
        <f>INDEX(Tabelle132[Zone],MATCH(Tabelle7[[#This Row],[Gesamtcode]],Tabelle132[Gesamtcode],0))</f>
        <v>#N/A</v>
      </c>
      <c r="D274" t="e">
        <f>INDEX(Tabelle132[Raum],MATCH(Tabelle7[[#This Row],[Gesamtcode]],Tabelle132[Gesamtcode],0))</f>
        <v>#N/A</v>
      </c>
      <c r="E274" t="e">
        <f>INDEX(Tabelle132[Bezeichnung],MATCH(Tabelle7[[#This Row],[Gesamtcode]],Tabelle132[Gesamtcode],0))</f>
        <v>#N/A</v>
      </c>
      <c r="F274" t="e">
        <f>"_"&amp;INDEX(Tabelle132[Geräte/Gewerke],MATCH(Tabelle7[[#This Row],[Gesamtcode]],Tabelle132[Gesamtcode],0))</f>
        <v>#N/A</v>
      </c>
      <c r="G274" t="e">
        <f>INDEX(Tabelle13[Gewerknr.],MATCH(Tabelle7[[#This Row],[Gewerke]],Tabelle13[Hauptgruppe],0))</f>
        <v>#N/A</v>
      </c>
      <c r="H274" t="s">
        <v>307</v>
      </c>
      <c r="I274" t="e">
        <f ca="1">INDEX(Tabelle134[Funktionsbereichsnr.],MATCH(Tabelle7[[#This Row],[Funktionsbereiche]],INDIRECT("Tabelle134["&amp;Tabelle7[[#This Row],[Gewerke]]&amp;"]"),0))</f>
        <v>#N/A</v>
      </c>
      <c r="J274" t="e">
        <f>Tabelle7[[#This Row],[Gesamtcode]]&amp;"_"&amp;Tabelle7[[#This Row],[Zone]]&amp;"_"&amp;Tabelle7[[#This Row],[Raum]]&amp;"_"&amp;Tabelle7[[#This Row],[Bezeichnung]]</f>
        <v>#N/A</v>
      </c>
      <c r="K274">
        <v>11</v>
      </c>
      <c r="L274" t="e">
        <f>Tabelle7[[#This Row],[Hauptgruppe]]&amp;"/-/-"</f>
        <v>#N/A</v>
      </c>
      <c r="M274" t="e">
        <f ca="1">Tabelle7[[#This Row],[Hauptgruppe]]&amp;"/"&amp;Tabelle7[[#This Row],[Mittelgruppe]]&amp;"/-"</f>
        <v>#N/A</v>
      </c>
      <c r="N274" t="e">
        <f ca="1">Tabelle7[[#This Row],[Hauptgruppe]]&amp;"/"&amp;Tabelle7[[#This Row],[Mittelgruppe]]&amp;"/"&amp;Tabelle7[[#This Row],[Untergruppe]]</f>
        <v>#N/A</v>
      </c>
      <c r="O274" t="e">
        <f>INDEX(Tabelle6[Aktor],MATCH(Tabelle7[[#This Row],[Gesamtcode]],Tabelle6[Gesamtcode],0))&amp;" "&amp;INDEX(Tabelle6[Aktorkanal],MATCH(Tabelle7[[#This Row],[Gesamtcode]],Tabelle6[Gesamtcode],0))</f>
        <v>#N/A</v>
      </c>
    </row>
    <row r="275" spans="2:15" x14ac:dyDescent="0.25">
      <c r="B275" t="s">
        <v>309</v>
      </c>
      <c r="C275" t="e">
        <f>INDEX(Tabelle132[Zone],MATCH(Tabelle7[[#This Row],[Gesamtcode]],Tabelle132[Gesamtcode],0))</f>
        <v>#N/A</v>
      </c>
      <c r="D275" t="e">
        <f>INDEX(Tabelle132[Raum],MATCH(Tabelle7[[#This Row],[Gesamtcode]],Tabelle132[Gesamtcode],0))</f>
        <v>#N/A</v>
      </c>
      <c r="E275" t="e">
        <f>INDEX(Tabelle132[Bezeichnung],MATCH(Tabelle7[[#This Row],[Gesamtcode]],Tabelle132[Gesamtcode],0))</f>
        <v>#N/A</v>
      </c>
      <c r="F275" t="e">
        <f>"_"&amp;INDEX(Tabelle132[Geräte/Gewerke],MATCH(Tabelle7[[#This Row],[Gesamtcode]],Tabelle132[Gesamtcode],0))</f>
        <v>#N/A</v>
      </c>
      <c r="G275" t="e">
        <f>INDEX(Tabelle13[Gewerknr.],MATCH(Tabelle7[[#This Row],[Gewerke]],Tabelle13[Hauptgruppe],0))</f>
        <v>#N/A</v>
      </c>
      <c r="H275" t="s">
        <v>304</v>
      </c>
      <c r="I275" t="e">
        <f ca="1">INDEX(Tabelle134[Funktionsbereichsnr.],MATCH(Tabelle7[[#This Row],[Funktionsbereiche]],INDIRECT("Tabelle134["&amp;Tabelle7[[#This Row],[Gewerke]]&amp;"]"),0))</f>
        <v>#N/A</v>
      </c>
      <c r="J275" t="e">
        <f>Tabelle7[[#This Row],[Gesamtcode]]&amp;"_"&amp;Tabelle7[[#This Row],[Zone]]&amp;"_"&amp;Tabelle7[[#This Row],[Raum]]&amp;"_"&amp;Tabelle7[[#This Row],[Bezeichnung]]</f>
        <v>#N/A</v>
      </c>
      <c r="K275">
        <v>13</v>
      </c>
      <c r="L275" t="e">
        <f>Tabelle7[[#This Row],[Hauptgruppe]]&amp;"/-/-"</f>
        <v>#N/A</v>
      </c>
      <c r="M275" t="e">
        <f ca="1">Tabelle7[[#This Row],[Hauptgruppe]]&amp;"/"&amp;Tabelle7[[#This Row],[Mittelgruppe]]&amp;"/-"</f>
        <v>#N/A</v>
      </c>
      <c r="N275" t="e">
        <f ca="1">Tabelle7[[#This Row],[Hauptgruppe]]&amp;"/"&amp;Tabelle7[[#This Row],[Mittelgruppe]]&amp;"/"&amp;Tabelle7[[#This Row],[Untergruppe]]</f>
        <v>#N/A</v>
      </c>
      <c r="O275" t="e">
        <f>INDEX(Tabelle6[Aktor],MATCH(Tabelle7[[#This Row],[Gesamtcode]],Tabelle6[Gesamtcode],0))&amp;" "&amp;INDEX(Tabelle6[Aktorkanal],MATCH(Tabelle7[[#This Row],[Gesamtcode]],Tabelle6[Gesamtcode],0))</f>
        <v>#N/A</v>
      </c>
    </row>
    <row r="276" spans="2:15" x14ac:dyDescent="0.25">
      <c r="B276" t="s">
        <v>309</v>
      </c>
      <c r="C276" t="e">
        <f>INDEX(Tabelle132[Zone],MATCH(Tabelle7[[#This Row],[Gesamtcode]],Tabelle132[Gesamtcode],0))</f>
        <v>#N/A</v>
      </c>
      <c r="D276" t="e">
        <f>INDEX(Tabelle132[Raum],MATCH(Tabelle7[[#This Row],[Gesamtcode]],Tabelle132[Gesamtcode],0))</f>
        <v>#N/A</v>
      </c>
      <c r="E276" t="e">
        <f>INDEX(Tabelle132[Bezeichnung],MATCH(Tabelle7[[#This Row],[Gesamtcode]],Tabelle132[Gesamtcode],0))</f>
        <v>#N/A</v>
      </c>
      <c r="F276" t="e">
        <f>"_"&amp;INDEX(Tabelle132[Geräte/Gewerke],MATCH(Tabelle7[[#This Row],[Gesamtcode]],Tabelle132[Gesamtcode],0))</f>
        <v>#N/A</v>
      </c>
      <c r="G276" t="e">
        <f>INDEX(Tabelle13[Gewerknr.],MATCH(Tabelle7[[#This Row],[Gewerke]],Tabelle13[Hauptgruppe],0))</f>
        <v>#N/A</v>
      </c>
      <c r="H276" t="s">
        <v>305</v>
      </c>
      <c r="I276" t="e">
        <f ca="1">INDEX(Tabelle134[Funktionsbereichsnr.],MATCH(Tabelle7[[#This Row],[Funktionsbereiche]],INDIRECT("Tabelle134["&amp;Tabelle7[[#This Row],[Gewerke]]&amp;"]"),0))</f>
        <v>#N/A</v>
      </c>
      <c r="J276" t="e">
        <f>Tabelle7[[#This Row],[Gesamtcode]]&amp;"_"&amp;Tabelle7[[#This Row],[Zone]]&amp;"_"&amp;Tabelle7[[#This Row],[Raum]]&amp;"_"&amp;Tabelle7[[#This Row],[Bezeichnung]]</f>
        <v>#N/A</v>
      </c>
      <c r="K276">
        <v>13</v>
      </c>
      <c r="L276" t="e">
        <f>Tabelle7[[#This Row],[Hauptgruppe]]&amp;"/-/-"</f>
        <v>#N/A</v>
      </c>
      <c r="M276" t="e">
        <f ca="1">Tabelle7[[#This Row],[Hauptgruppe]]&amp;"/"&amp;Tabelle7[[#This Row],[Mittelgruppe]]&amp;"/-"</f>
        <v>#N/A</v>
      </c>
      <c r="N276" t="e">
        <f ca="1">Tabelle7[[#This Row],[Hauptgruppe]]&amp;"/"&amp;Tabelle7[[#This Row],[Mittelgruppe]]&amp;"/"&amp;Tabelle7[[#This Row],[Untergruppe]]</f>
        <v>#N/A</v>
      </c>
      <c r="O276" t="e">
        <f>INDEX(Tabelle6[Aktor],MATCH(Tabelle7[[#This Row],[Gesamtcode]],Tabelle6[Gesamtcode],0))&amp;" "&amp;INDEX(Tabelle6[Aktorkanal],MATCH(Tabelle7[[#This Row],[Gesamtcode]],Tabelle6[Gesamtcode],0))</f>
        <v>#N/A</v>
      </c>
    </row>
    <row r="277" spans="2:15" x14ac:dyDescent="0.25">
      <c r="B277" t="s">
        <v>287</v>
      </c>
      <c r="C277" t="e">
        <f>INDEX(Tabelle132[Zone],MATCH(Tabelle7[[#This Row],[Gesamtcode]],Tabelle132[Gesamtcode],0))</f>
        <v>#N/A</v>
      </c>
      <c r="D277" t="e">
        <f>INDEX(Tabelle132[Raum],MATCH(Tabelle7[[#This Row],[Gesamtcode]],Tabelle132[Gesamtcode],0))</f>
        <v>#N/A</v>
      </c>
      <c r="E277" t="e">
        <f>INDEX(Tabelle132[Bezeichnung],MATCH(Tabelle7[[#This Row],[Gesamtcode]],Tabelle132[Gesamtcode],0))</f>
        <v>#N/A</v>
      </c>
      <c r="F277" t="e">
        <f>"_"&amp;INDEX(Tabelle132[Geräte/Gewerke],MATCH(Tabelle7[[#This Row],[Gesamtcode]],Tabelle132[Gesamtcode],0))</f>
        <v>#N/A</v>
      </c>
      <c r="G277" t="e">
        <f>INDEX(Tabelle13[Gewerknr.],MATCH(Tabelle7[[#This Row],[Gewerke]],Tabelle13[Hauptgruppe],0))</f>
        <v>#N/A</v>
      </c>
      <c r="H277" t="s">
        <v>307</v>
      </c>
      <c r="I277" t="e">
        <f ca="1">INDEX(Tabelle134[Funktionsbereichsnr.],MATCH(Tabelle7[[#This Row],[Funktionsbereiche]],INDIRECT("Tabelle134["&amp;Tabelle7[[#This Row],[Gewerke]]&amp;"]"),0))</f>
        <v>#N/A</v>
      </c>
      <c r="J277" t="e">
        <f>Tabelle7[[#This Row],[Gesamtcode]]&amp;"_"&amp;Tabelle7[[#This Row],[Zone]]&amp;"_"&amp;Tabelle7[[#This Row],[Raum]]&amp;"_"&amp;Tabelle7[[#This Row],[Bezeichnung]]</f>
        <v>#N/A</v>
      </c>
      <c r="K277">
        <v>14</v>
      </c>
      <c r="L277" t="e">
        <f>Tabelle7[[#This Row],[Hauptgruppe]]&amp;"/-/-"</f>
        <v>#N/A</v>
      </c>
      <c r="M277" t="e">
        <f ca="1">Tabelle7[[#This Row],[Hauptgruppe]]&amp;"/"&amp;Tabelle7[[#This Row],[Mittelgruppe]]&amp;"/-"</f>
        <v>#N/A</v>
      </c>
      <c r="N277" t="e">
        <f ca="1">Tabelle7[[#This Row],[Hauptgruppe]]&amp;"/"&amp;Tabelle7[[#This Row],[Mittelgruppe]]&amp;"/"&amp;Tabelle7[[#This Row],[Untergruppe]]</f>
        <v>#N/A</v>
      </c>
      <c r="O277" t="e">
        <f>INDEX(Tabelle6[Aktor],MATCH(Tabelle7[[#This Row],[Gesamtcode]],Tabelle6[Gesamtcode],0))&amp;" "&amp;INDEX(Tabelle6[Aktorkanal],MATCH(Tabelle7[[#This Row],[Gesamtcode]],Tabelle6[Gesamtcode],0))</f>
        <v>#N/A</v>
      </c>
    </row>
    <row r="278" spans="2:15" x14ac:dyDescent="0.25">
      <c r="B278" t="s">
        <v>288</v>
      </c>
      <c r="C278" t="e">
        <f>INDEX(Tabelle132[Zone],MATCH(Tabelle7[[#This Row],[Gesamtcode]],Tabelle132[Gesamtcode],0))</f>
        <v>#N/A</v>
      </c>
      <c r="D278" t="e">
        <f>INDEX(Tabelle132[Raum],MATCH(Tabelle7[[#This Row],[Gesamtcode]],Tabelle132[Gesamtcode],0))</f>
        <v>#N/A</v>
      </c>
      <c r="E278" t="e">
        <f>INDEX(Tabelle132[Bezeichnung],MATCH(Tabelle7[[#This Row],[Gesamtcode]],Tabelle132[Gesamtcode],0))</f>
        <v>#N/A</v>
      </c>
      <c r="F278" t="e">
        <f>"_"&amp;INDEX(Tabelle132[Geräte/Gewerke],MATCH(Tabelle7[[#This Row],[Gesamtcode]],Tabelle132[Gesamtcode],0))</f>
        <v>#N/A</v>
      </c>
      <c r="G278" t="e">
        <f>INDEX(Tabelle13[Gewerknr.],MATCH(Tabelle7[[#This Row],[Gewerke]],Tabelle13[Hauptgruppe],0))</f>
        <v>#N/A</v>
      </c>
      <c r="H278" t="s">
        <v>307</v>
      </c>
      <c r="I278" t="e">
        <f ca="1">INDEX(Tabelle134[Funktionsbereichsnr.],MATCH(Tabelle7[[#This Row],[Funktionsbereiche]],INDIRECT("Tabelle134["&amp;Tabelle7[[#This Row],[Gewerke]]&amp;"]"),0))</f>
        <v>#N/A</v>
      </c>
      <c r="J278" t="e">
        <f>Tabelle7[[#This Row],[Gesamtcode]]&amp;"_"&amp;Tabelle7[[#This Row],[Zone]]&amp;"_"&amp;Tabelle7[[#This Row],[Raum]]&amp;"_"&amp;Tabelle7[[#This Row],[Bezeichnung]]</f>
        <v>#N/A</v>
      </c>
      <c r="K278">
        <v>15</v>
      </c>
      <c r="L278" t="e">
        <f>Tabelle7[[#This Row],[Hauptgruppe]]&amp;"/-/-"</f>
        <v>#N/A</v>
      </c>
      <c r="M278" t="e">
        <f ca="1">Tabelle7[[#This Row],[Hauptgruppe]]&amp;"/"&amp;Tabelle7[[#This Row],[Mittelgruppe]]&amp;"/-"</f>
        <v>#N/A</v>
      </c>
      <c r="N278" t="e">
        <f ca="1">Tabelle7[[#This Row],[Hauptgruppe]]&amp;"/"&amp;Tabelle7[[#This Row],[Mittelgruppe]]&amp;"/"&amp;Tabelle7[[#This Row],[Untergruppe]]</f>
        <v>#N/A</v>
      </c>
      <c r="O278" t="e">
        <f>INDEX(Tabelle6[Aktor],MATCH(Tabelle7[[#This Row],[Gesamtcode]],Tabelle6[Gesamtcode],0))&amp;" "&amp;INDEX(Tabelle6[Aktorkanal],MATCH(Tabelle7[[#This Row],[Gesamtcode]],Tabelle6[Gesamtcode],0))</f>
        <v>#N/A</v>
      </c>
    </row>
    <row r="279" spans="2:15" x14ac:dyDescent="0.25">
      <c r="B279" t="s">
        <v>289</v>
      </c>
      <c r="C279" t="e">
        <f>INDEX(Tabelle132[Zone],MATCH(Tabelle7[[#This Row],[Gesamtcode]],Tabelle132[Gesamtcode],0))</f>
        <v>#N/A</v>
      </c>
      <c r="D279" t="e">
        <f>INDEX(Tabelle132[Raum],MATCH(Tabelle7[[#This Row],[Gesamtcode]],Tabelle132[Gesamtcode],0))</f>
        <v>#N/A</v>
      </c>
      <c r="E279" t="e">
        <f>INDEX(Tabelle132[Bezeichnung],MATCH(Tabelle7[[#This Row],[Gesamtcode]],Tabelle132[Gesamtcode],0))</f>
        <v>#N/A</v>
      </c>
      <c r="F279" t="e">
        <f>"_"&amp;INDEX(Tabelle132[Geräte/Gewerke],MATCH(Tabelle7[[#This Row],[Gesamtcode]],Tabelle132[Gesamtcode],0))</f>
        <v>#N/A</v>
      </c>
      <c r="G279" t="e">
        <f>INDEX(Tabelle13[Gewerknr.],MATCH(Tabelle7[[#This Row],[Gewerke]],Tabelle13[Hauptgruppe],0))</f>
        <v>#N/A</v>
      </c>
      <c r="H279" t="s">
        <v>307</v>
      </c>
      <c r="I279" t="e">
        <f ca="1">INDEX(Tabelle134[Funktionsbereichsnr.],MATCH(Tabelle7[[#This Row],[Funktionsbereiche]],INDIRECT("Tabelle134["&amp;Tabelle7[[#This Row],[Gewerke]]&amp;"]"),0))</f>
        <v>#N/A</v>
      </c>
      <c r="J279" t="e">
        <f>Tabelle7[[#This Row],[Gesamtcode]]&amp;"_"&amp;Tabelle7[[#This Row],[Zone]]&amp;"_"&amp;Tabelle7[[#This Row],[Raum]]&amp;"_"&amp;Tabelle7[[#This Row],[Bezeichnung]]</f>
        <v>#N/A</v>
      </c>
      <c r="K279">
        <v>16</v>
      </c>
      <c r="L279" t="e">
        <f>Tabelle7[[#This Row],[Hauptgruppe]]&amp;"/-/-"</f>
        <v>#N/A</v>
      </c>
      <c r="M279" t="e">
        <f ca="1">Tabelle7[[#This Row],[Hauptgruppe]]&amp;"/"&amp;Tabelle7[[#This Row],[Mittelgruppe]]&amp;"/-"</f>
        <v>#N/A</v>
      </c>
      <c r="N279" t="e">
        <f ca="1">Tabelle7[[#This Row],[Hauptgruppe]]&amp;"/"&amp;Tabelle7[[#This Row],[Mittelgruppe]]&amp;"/"&amp;Tabelle7[[#This Row],[Untergruppe]]</f>
        <v>#N/A</v>
      </c>
      <c r="O279" t="e">
        <f>INDEX(Tabelle6[Aktor],MATCH(Tabelle7[[#This Row],[Gesamtcode]],Tabelle6[Gesamtcode],0))&amp;" "&amp;INDEX(Tabelle6[Aktorkanal],MATCH(Tabelle7[[#This Row],[Gesamtcode]],Tabelle6[Gesamtcode],0))</f>
        <v>#N/A</v>
      </c>
    </row>
    <row r="280" spans="2:15" x14ac:dyDescent="0.25">
      <c r="B280" t="s">
        <v>290</v>
      </c>
      <c r="C280" t="e">
        <f>INDEX(Tabelle132[Zone],MATCH(Tabelle7[[#This Row],[Gesamtcode]],Tabelle132[Gesamtcode],0))</f>
        <v>#N/A</v>
      </c>
      <c r="D280" t="e">
        <f>INDEX(Tabelle132[Raum],MATCH(Tabelle7[[#This Row],[Gesamtcode]],Tabelle132[Gesamtcode],0))</f>
        <v>#N/A</v>
      </c>
      <c r="E280" t="e">
        <f>INDEX(Tabelle132[Bezeichnung],MATCH(Tabelle7[[#This Row],[Gesamtcode]],Tabelle132[Gesamtcode],0))</f>
        <v>#N/A</v>
      </c>
      <c r="F280" t="e">
        <f>"_"&amp;INDEX(Tabelle132[Geräte/Gewerke],MATCH(Tabelle7[[#This Row],[Gesamtcode]],Tabelle132[Gesamtcode],0))</f>
        <v>#N/A</v>
      </c>
      <c r="G280" t="e">
        <f>INDEX(Tabelle13[Gewerknr.],MATCH(Tabelle7[[#This Row],[Gewerke]],Tabelle13[Hauptgruppe],0))</f>
        <v>#N/A</v>
      </c>
      <c r="H280" t="s">
        <v>307</v>
      </c>
      <c r="I280" t="e">
        <f ca="1">INDEX(Tabelle134[Funktionsbereichsnr.],MATCH(Tabelle7[[#This Row],[Funktionsbereiche]],INDIRECT("Tabelle134["&amp;Tabelle7[[#This Row],[Gewerke]]&amp;"]"),0))</f>
        <v>#N/A</v>
      </c>
      <c r="J280" t="e">
        <f>Tabelle7[[#This Row],[Gesamtcode]]&amp;"_"&amp;Tabelle7[[#This Row],[Zone]]&amp;"_"&amp;Tabelle7[[#This Row],[Raum]]&amp;"_"&amp;Tabelle7[[#This Row],[Bezeichnung]]</f>
        <v>#N/A</v>
      </c>
      <c r="K280">
        <v>17</v>
      </c>
      <c r="L280" t="e">
        <f>Tabelle7[[#This Row],[Hauptgruppe]]&amp;"/-/-"</f>
        <v>#N/A</v>
      </c>
      <c r="M280" t="e">
        <f ca="1">Tabelle7[[#This Row],[Hauptgruppe]]&amp;"/"&amp;Tabelle7[[#This Row],[Mittelgruppe]]&amp;"/-"</f>
        <v>#N/A</v>
      </c>
      <c r="N280" t="e">
        <f ca="1">Tabelle7[[#This Row],[Hauptgruppe]]&amp;"/"&amp;Tabelle7[[#This Row],[Mittelgruppe]]&amp;"/"&amp;Tabelle7[[#This Row],[Untergruppe]]</f>
        <v>#N/A</v>
      </c>
      <c r="O280" t="e">
        <f>INDEX(Tabelle6[Aktor],MATCH(Tabelle7[[#This Row],[Gesamtcode]],Tabelle6[Gesamtcode],0))&amp;" "&amp;INDEX(Tabelle6[Aktorkanal],MATCH(Tabelle7[[#This Row],[Gesamtcode]],Tabelle6[Gesamtcode],0))</f>
        <v>#N/A</v>
      </c>
    </row>
    <row r="281" spans="2:15" x14ac:dyDescent="0.25">
      <c r="B281" t="s">
        <v>291</v>
      </c>
      <c r="C281" t="e">
        <f>INDEX(Tabelle132[Zone],MATCH(Tabelle7[[#This Row],[Gesamtcode]],Tabelle132[Gesamtcode],0))</f>
        <v>#N/A</v>
      </c>
      <c r="D281" t="e">
        <f>INDEX(Tabelle132[Raum],MATCH(Tabelle7[[#This Row],[Gesamtcode]],Tabelle132[Gesamtcode],0))</f>
        <v>#N/A</v>
      </c>
      <c r="E281" t="e">
        <f>INDEX(Tabelle132[Bezeichnung],MATCH(Tabelle7[[#This Row],[Gesamtcode]],Tabelle132[Gesamtcode],0))</f>
        <v>#N/A</v>
      </c>
      <c r="F281" t="e">
        <f>"_"&amp;INDEX(Tabelle132[Geräte/Gewerke],MATCH(Tabelle7[[#This Row],[Gesamtcode]],Tabelle132[Gesamtcode],0))</f>
        <v>#N/A</v>
      </c>
      <c r="G281" t="e">
        <f>INDEX(Tabelle13[Gewerknr.],MATCH(Tabelle7[[#This Row],[Gewerke]],Tabelle13[Hauptgruppe],0))</f>
        <v>#N/A</v>
      </c>
      <c r="H281" t="s">
        <v>307</v>
      </c>
      <c r="I281" t="e">
        <f ca="1">INDEX(Tabelle134[Funktionsbereichsnr.],MATCH(Tabelle7[[#This Row],[Funktionsbereiche]],INDIRECT("Tabelle134["&amp;Tabelle7[[#This Row],[Gewerke]]&amp;"]"),0))</f>
        <v>#N/A</v>
      </c>
      <c r="J281" t="e">
        <f>Tabelle7[[#This Row],[Gesamtcode]]&amp;"_"&amp;Tabelle7[[#This Row],[Zone]]&amp;"_"&amp;Tabelle7[[#This Row],[Raum]]&amp;"_"&amp;Tabelle7[[#This Row],[Bezeichnung]]</f>
        <v>#N/A</v>
      </c>
      <c r="K281">
        <v>18</v>
      </c>
      <c r="L281" t="e">
        <f>Tabelle7[[#This Row],[Hauptgruppe]]&amp;"/-/-"</f>
        <v>#N/A</v>
      </c>
      <c r="M281" t="e">
        <f ca="1">Tabelle7[[#This Row],[Hauptgruppe]]&amp;"/"&amp;Tabelle7[[#This Row],[Mittelgruppe]]&amp;"/-"</f>
        <v>#N/A</v>
      </c>
      <c r="N281" t="e">
        <f ca="1">Tabelle7[[#This Row],[Hauptgruppe]]&amp;"/"&amp;Tabelle7[[#This Row],[Mittelgruppe]]&amp;"/"&amp;Tabelle7[[#This Row],[Untergruppe]]</f>
        <v>#N/A</v>
      </c>
      <c r="O281" t="e">
        <f>INDEX(Tabelle6[Aktor],MATCH(Tabelle7[[#This Row],[Gesamtcode]],Tabelle6[Gesamtcode],0))&amp;" "&amp;INDEX(Tabelle6[Aktorkanal],MATCH(Tabelle7[[#This Row],[Gesamtcode]],Tabelle6[Gesamtcode],0))</f>
        <v>#N/A</v>
      </c>
    </row>
    <row r="282" spans="2:15" x14ac:dyDescent="0.25">
      <c r="B282" t="s">
        <v>292</v>
      </c>
      <c r="C282" t="e">
        <f>INDEX(Tabelle132[Zone],MATCH(Tabelle7[[#This Row],[Gesamtcode]],Tabelle132[Gesamtcode],0))</f>
        <v>#N/A</v>
      </c>
      <c r="D282" t="e">
        <f>INDEX(Tabelle132[Raum],MATCH(Tabelle7[[#This Row],[Gesamtcode]],Tabelle132[Gesamtcode],0))</f>
        <v>#N/A</v>
      </c>
      <c r="E282" t="e">
        <f>INDEX(Tabelle132[Bezeichnung],MATCH(Tabelle7[[#This Row],[Gesamtcode]],Tabelle132[Gesamtcode],0))</f>
        <v>#N/A</v>
      </c>
      <c r="F282" t="e">
        <f>"_"&amp;INDEX(Tabelle132[Geräte/Gewerke],MATCH(Tabelle7[[#This Row],[Gesamtcode]],Tabelle132[Gesamtcode],0))</f>
        <v>#N/A</v>
      </c>
      <c r="G282" t="e">
        <f>INDEX(Tabelle13[Gewerknr.],MATCH(Tabelle7[[#This Row],[Gewerke]],Tabelle13[Hauptgruppe],0))</f>
        <v>#N/A</v>
      </c>
      <c r="H282" t="s">
        <v>307</v>
      </c>
      <c r="I282" t="e">
        <f ca="1">INDEX(Tabelle134[Funktionsbereichsnr.],MATCH(Tabelle7[[#This Row],[Funktionsbereiche]],INDIRECT("Tabelle134["&amp;Tabelle7[[#This Row],[Gewerke]]&amp;"]"),0))</f>
        <v>#N/A</v>
      </c>
      <c r="J282" t="e">
        <f>Tabelle7[[#This Row],[Gesamtcode]]&amp;"_"&amp;Tabelle7[[#This Row],[Zone]]&amp;"_"&amp;Tabelle7[[#This Row],[Raum]]&amp;"_"&amp;Tabelle7[[#This Row],[Bezeichnung]]</f>
        <v>#N/A</v>
      </c>
      <c r="K282">
        <v>19</v>
      </c>
      <c r="L282" t="e">
        <f>Tabelle7[[#This Row],[Hauptgruppe]]&amp;"/-/-"</f>
        <v>#N/A</v>
      </c>
      <c r="M282" t="e">
        <f ca="1">Tabelle7[[#This Row],[Hauptgruppe]]&amp;"/"&amp;Tabelle7[[#This Row],[Mittelgruppe]]&amp;"/-"</f>
        <v>#N/A</v>
      </c>
      <c r="N282" t="e">
        <f ca="1">Tabelle7[[#This Row],[Hauptgruppe]]&amp;"/"&amp;Tabelle7[[#This Row],[Mittelgruppe]]&amp;"/"&amp;Tabelle7[[#This Row],[Untergruppe]]</f>
        <v>#N/A</v>
      </c>
      <c r="O282" t="e">
        <f>INDEX(Tabelle6[Aktor],MATCH(Tabelle7[[#This Row],[Gesamtcode]],Tabelle6[Gesamtcode],0))&amp;" "&amp;INDEX(Tabelle6[Aktorkanal],MATCH(Tabelle7[[#This Row],[Gesamtcode]],Tabelle6[Gesamtcode],0))</f>
        <v>#N/A</v>
      </c>
    </row>
    <row r="283" spans="2:15" x14ac:dyDescent="0.25">
      <c r="B283" t="s">
        <v>293</v>
      </c>
      <c r="C283" t="e">
        <f>INDEX(Tabelle132[Zone],MATCH(Tabelle7[[#This Row],[Gesamtcode]],Tabelle132[Gesamtcode],0))</f>
        <v>#N/A</v>
      </c>
      <c r="D283" t="e">
        <f>INDEX(Tabelle132[Raum],MATCH(Tabelle7[[#This Row],[Gesamtcode]],Tabelle132[Gesamtcode],0))</f>
        <v>#N/A</v>
      </c>
      <c r="E283" t="e">
        <f>INDEX(Tabelle132[Bezeichnung],MATCH(Tabelle7[[#This Row],[Gesamtcode]],Tabelle132[Gesamtcode],0))</f>
        <v>#N/A</v>
      </c>
      <c r="F283" t="e">
        <f>"_"&amp;INDEX(Tabelle132[Geräte/Gewerke],MATCH(Tabelle7[[#This Row],[Gesamtcode]],Tabelle132[Gesamtcode],0))</f>
        <v>#N/A</v>
      </c>
      <c r="G283" t="e">
        <f>INDEX(Tabelle13[Gewerknr.],MATCH(Tabelle7[[#This Row],[Gewerke]],Tabelle13[Hauptgruppe],0))</f>
        <v>#N/A</v>
      </c>
      <c r="H283" t="s">
        <v>307</v>
      </c>
      <c r="I283" t="e">
        <f ca="1">INDEX(Tabelle134[Funktionsbereichsnr.],MATCH(Tabelle7[[#This Row],[Funktionsbereiche]],INDIRECT("Tabelle134["&amp;Tabelle7[[#This Row],[Gewerke]]&amp;"]"),0))</f>
        <v>#N/A</v>
      </c>
      <c r="J283" t="e">
        <f>Tabelle7[[#This Row],[Gesamtcode]]&amp;"_"&amp;Tabelle7[[#This Row],[Zone]]&amp;"_"&amp;Tabelle7[[#This Row],[Raum]]&amp;"_"&amp;Tabelle7[[#This Row],[Bezeichnung]]</f>
        <v>#N/A</v>
      </c>
      <c r="K283">
        <v>2</v>
      </c>
      <c r="L283" t="e">
        <f>Tabelle7[[#This Row],[Hauptgruppe]]&amp;"/-/-"</f>
        <v>#N/A</v>
      </c>
      <c r="M283" t="e">
        <f ca="1">Tabelle7[[#This Row],[Hauptgruppe]]&amp;"/"&amp;Tabelle7[[#This Row],[Mittelgruppe]]&amp;"/-"</f>
        <v>#N/A</v>
      </c>
      <c r="N283" t="e">
        <f ca="1">Tabelle7[[#This Row],[Hauptgruppe]]&amp;"/"&amp;Tabelle7[[#This Row],[Mittelgruppe]]&amp;"/"&amp;Tabelle7[[#This Row],[Untergruppe]]</f>
        <v>#N/A</v>
      </c>
      <c r="O283" t="e">
        <f>INDEX(Tabelle6[Aktor],MATCH(Tabelle7[[#This Row],[Gesamtcode]],Tabelle6[Gesamtcode],0))&amp;" "&amp;INDEX(Tabelle6[Aktorkanal],MATCH(Tabelle7[[#This Row],[Gesamtcode]],Tabelle6[Gesamtcode],0))</f>
        <v>#N/A</v>
      </c>
    </row>
    <row r="284" spans="2:15" x14ac:dyDescent="0.25">
      <c r="B284" t="s">
        <v>294</v>
      </c>
      <c r="C284" t="e">
        <f>INDEX(Tabelle132[Zone],MATCH(Tabelle7[[#This Row],[Gesamtcode]],Tabelle132[Gesamtcode],0))</f>
        <v>#N/A</v>
      </c>
      <c r="D284" t="e">
        <f>INDEX(Tabelle132[Raum],MATCH(Tabelle7[[#This Row],[Gesamtcode]],Tabelle132[Gesamtcode],0))</f>
        <v>#N/A</v>
      </c>
      <c r="E284" t="e">
        <f>INDEX(Tabelle132[Bezeichnung],MATCH(Tabelle7[[#This Row],[Gesamtcode]],Tabelle132[Gesamtcode],0))</f>
        <v>#N/A</v>
      </c>
      <c r="F284" t="e">
        <f>"_"&amp;INDEX(Tabelle132[Geräte/Gewerke],MATCH(Tabelle7[[#This Row],[Gesamtcode]],Tabelle132[Gesamtcode],0))</f>
        <v>#N/A</v>
      </c>
      <c r="G284" t="e">
        <f>INDEX(Tabelle13[Gewerknr.],MATCH(Tabelle7[[#This Row],[Gewerke]],Tabelle13[Hauptgruppe],0))</f>
        <v>#N/A</v>
      </c>
      <c r="H284" t="s">
        <v>307</v>
      </c>
      <c r="I284" t="e">
        <f ca="1">INDEX(Tabelle134[Funktionsbereichsnr.],MATCH(Tabelle7[[#This Row],[Funktionsbereiche]],INDIRECT("Tabelle134["&amp;Tabelle7[[#This Row],[Gewerke]]&amp;"]"),0))</f>
        <v>#N/A</v>
      </c>
      <c r="J284" t="e">
        <f>Tabelle7[[#This Row],[Gesamtcode]]&amp;"_"&amp;Tabelle7[[#This Row],[Zone]]&amp;"_"&amp;Tabelle7[[#This Row],[Raum]]&amp;"_"&amp;Tabelle7[[#This Row],[Bezeichnung]]</f>
        <v>#N/A</v>
      </c>
      <c r="K284">
        <v>20</v>
      </c>
      <c r="L284" t="e">
        <f>Tabelle7[[#This Row],[Hauptgruppe]]&amp;"/-/-"</f>
        <v>#N/A</v>
      </c>
      <c r="M284" t="e">
        <f ca="1">Tabelle7[[#This Row],[Hauptgruppe]]&amp;"/"&amp;Tabelle7[[#This Row],[Mittelgruppe]]&amp;"/-"</f>
        <v>#N/A</v>
      </c>
      <c r="N284" t="e">
        <f ca="1">Tabelle7[[#This Row],[Hauptgruppe]]&amp;"/"&amp;Tabelle7[[#This Row],[Mittelgruppe]]&amp;"/"&amp;Tabelle7[[#This Row],[Untergruppe]]</f>
        <v>#N/A</v>
      </c>
      <c r="O284" t="e">
        <f>INDEX(Tabelle6[Aktor],MATCH(Tabelle7[[#This Row],[Gesamtcode]],Tabelle6[Gesamtcode],0))&amp;" "&amp;INDEX(Tabelle6[Aktorkanal],MATCH(Tabelle7[[#This Row],[Gesamtcode]],Tabelle6[Gesamtcode],0))</f>
        <v>#N/A</v>
      </c>
    </row>
    <row r="285" spans="2:15" x14ac:dyDescent="0.25">
      <c r="B285" t="s">
        <v>295</v>
      </c>
      <c r="C285" t="e">
        <f>INDEX(Tabelle132[Zone],MATCH(Tabelle7[[#This Row],[Gesamtcode]],Tabelle132[Gesamtcode],0))</f>
        <v>#N/A</v>
      </c>
      <c r="D285" t="e">
        <f>INDEX(Tabelle132[Raum],MATCH(Tabelle7[[#This Row],[Gesamtcode]],Tabelle132[Gesamtcode],0))</f>
        <v>#N/A</v>
      </c>
      <c r="E285" t="e">
        <f>INDEX(Tabelle132[Bezeichnung],MATCH(Tabelle7[[#This Row],[Gesamtcode]],Tabelle132[Gesamtcode],0))</f>
        <v>#N/A</v>
      </c>
      <c r="F285" t="e">
        <f>"_"&amp;INDEX(Tabelle132[Geräte/Gewerke],MATCH(Tabelle7[[#This Row],[Gesamtcode]],Tabelle132[Gesamtcode],0))</f>
        <v>#N/A</v>
      </c>
      <c r="G285" t="e">
        <f>INDEX(Tabelle13[Gewerknr.],MATCH(Tabelle7[[#This Row],[Gewerke]],Tabelle13[Hauptgruppe],0))</f>
        <v>#N/A</v>
      </c>
      <c r="H285" t="s">
        <v>307</v>
      </c>
      <c r="I285" t="e">
        <f ca="1">INDEX(Tabelle134[Funktionsbereichsnr.],MATCH(Tabelle7[[#This Row],[Funktionsbereiche]],INDIRECT("Tabelle134["&amp;Tabelle7[[#This Row],[Gewerke]]&amp;"]"),0))</f>
        <v>#N/A</v>
      </c>
      <c r="J285" t="e">
        <f>Tabelle7[[#This Row],[Gesamtcode]]&amp;"_"&amp;Tabelle7[[#This Row],[Zone]]&amp;"_"&amp;Tabelle7[[#This Row],[Raum]]&amp;"_"&amp;Tabelle7[[#This Row],[Bezeichnung]]</f>
        <v>#N/A</v>
      </c>
      <c r="K285">
        <v>21</v>
      </c>
      <c r="L285" t="e">
        <f>Tabelle7[[#This Row],[Hauptgruppe]]&amp;"/-/-"</f>
        <v>#N/A</v>
      </c>
      <c r="M285" t="e">
        <f ca="1">Tabelle7[[#This Row],[Hauptgruppe]]&amp;"/"&amp;Tabelle7[[#This Row],[Mittelgruppe]]&amp;"/-"</f>
        <v>#N/A</v>
      </c>
      <c r="N285" t="e">
        <f ca="1">Tabelle7[[#This Row],[Hauptgruppe]]&amp;"/"&amp;Tabelle7[[#This Row],[Mittelgruppe]]&amp;"/"&amp;Tabelle7[[#This Row],[Untergruppe]]</f>
        <v>#N/A</v>
      </c>
      <c r="O285" t="e">
        <f>INDEX(Tabelle6[Aktor],MATCH(Tabelle7[[#This Row],[Gesamtcode]],Tabelle6[Gesamtcode],0))&amp;" "&amp;INDEX(Tabelle6[Aktorkanal],MATCH(Tabelle7[[#This Row],[Gesamtcode]],Tabelle6[Gesamtcode],0))</f>
        <v>#N/A</v>
      </c>
    </row>
    <row r="286" spans="2:15" x14ac:dyDescent="0.25">
      <c r="B286" t="s">
        <v>296</v>
      </c>
      <c r="C286" t="e">
        <f>INDEX(Tabelle132[Zone],MATCH(Tabelle7[[#This Row],[Gesamtcode]],Tabelle132[Gesamtcode],0))</f>
        <v>#N/A</v>
      </c>
      <c r="D286" t="e">
        <f>INDEX(Tabelle132[Raum],MATCH(Tabelle7[[#This Row],[Gesamtcode]],Tabelle132[Gesamtcode],0))</f>
        <v>#N/A</v>
      </c>
      <c r="E286" t="e">
        <f>INDEX(Tabelle132[Bezeichnung],MATCH(Tabelle7[[#This Row],[Gesamtcode]],Tabelle132[Gesamtcode],0))</f>
        <v>#N/A</v>
      </c>
      <c r="F286" t="e">
        <f>"_"&amp;INDEX(Tabelle132[Geräte/Gewerke],MATCH(Tabelle7[[#This Row],[Gesamtcode]],Tabelle132[Gesamtcode],0))</f>
        <v>#N/A</v>
      </c>
      <c r="G286" t="e">
        <f>INDEX(Tabelle13[Gewerknr.],MATCH(Tabelle7[[#This Row],[Gewerke]],Tabelle13[Hauptgruppe],0))</f>
        <v>#N/A</v>
      </c>
      <c r="H286" t="s">
        <v>307</v>
      </c>
      <c r="I286" t="e">
        <f ca="1">INDEX(Tabelle134[Funktionsbereichsnr.],MATCH(Tabelle7[[#This Row],[Funktionsbereiche]],INDIRECT("Tabelle134["&amp;Tabelle7[[#This Row],[Gewerke]]&amp;"]"),0))</f>
        <v>#N/A</v>
      </c>
      <c r="J286" t="e">
        <f>Tabelle7[[#This Row],[Gesamtcode]]&amp;"_"&amp;Tabelle7[[#This Row],[Zone]]&amp;"_"&amp;Tabelle7[[#This Row],[Raum]]&amp;"_"&amp;Tabelle7[[#This Row],[Bezeichnung]]</f>
        <v>#N/A</v>
      </c>
      <c r="K286">
        <v>22</v>
      </c>
      <c r="L286" t="e">
        <f>Tabelle7[[#This Row],[Hauptgruppe]]&amp;"/-/-"</f>
        <v>#N/A</v>
      </c>
      <c r="M286" t="e">
        <f ca="1">Tabelle7[[#This Row],[Hauptgruppe]]&amp;"/"&amp;Tabelle7[[#This Row],[Mittelgruppe]]&amp;"/-"</f>
        <v>#N/A</v>
      </c>
      <c r="N286" t="e">
        <f ca="1">Tabelle7[[#This Row],[Hauptgruppe]]&amp;"/"&amp;Tabelle7[[#This Row],[Mittelgruppe]]&amp;"/"&amp;Tabelle7[[#This Row],[Untergruppe]]</f>
        <v>#N/A</v>
      </c>
      <c r="O286" t="e">
        <f>INDEX(Tabelle6[Aktor],MATCH(Tabelle7[[#This Row],[Gesamtcode]],Tabelle6[Gesamtcode],0))&amp;" "&amp;INDEX(Tabelle6[Aktorkanal],MATCH(Tabelle7[[#This Row],[Gesamtcode]],Tabelle6[Gesamtcode],0))</f>
        <v>#N/A</v>
      </c>
    </row>
    <row r="287" spans="2:15" x14ac:dyDescent="0.25">
      <c r="B287" t="s">
        <v>297</v>
      </c>
      <c r="C287" t="e">
        <f>INDEX(Tabelle132[Zone],MATCH(Tabelle7[[#This Row],[Gesamtcode]],Tabelle132[Gesamtcode],0))</f>
        <v>#N/A</v>
      </c>
      <c r="D287" t="e">
        <f>INDEX(Tabelle132[Raum],MATCH(Tabelle7[[#This Row],[Gesamtcode]],Tabelle132[Gesamtcode],0))</f>
        <v>#N/A</v>
      </c>
      <c r="E287" t="e">
        <f>INDEX(Tabelle132[Bezeichnung],MATCH(Tabelle7[[#This Row],[Gesamtcode]],Tabelle132[Gesamtcode],0))</f>
        <v>#N/A</v>
      </c>
      <c r="F287" t="e">
        <f>"_"&amp;INDEX(Tabelle132[Geräte/Gewerke],MATCH(Tabelle7[[#This Row],[Gesamtcode]],Tabelle132[Gesamtcode],0))</f>
        <v>#N/A</v>
      </c>
      <c r="G287" t="e">
        <f>INDEX(Tabelle13[Gewerknr.],MATCH(Tabelle7[[#This Row],[Gewerke]],Tabelle13[Hauptgruppe],0))</f>
        <v>#N/A</v>
      </c>
      <c r="H287" t="s">
        <v>307</v>
      </c>
      <c r="I287" t="e">
        <f ca="1">INDEX(Tabelle134[Funktionsbereichsnr.],MATCH(Tabelle7[[#This Row],[Funktionsbereiche]],INDIRECT("Tabelle134["&amp;Tabelle7[[#This Row],[Gewerke]]&amp;"]"),0))</f>
        <v>#N/A</v>
      </c>
      <c r="J287" t="e">
        <f>Tabelle7[[#This Row],[Gesamtcode]]&amp;"_"&amp;Tabelle7[[#This Row],[Zone]]&amp;"_"&amp;Tabelle7[[#This Row],[Raum]]&amp;"_"&amp;Tabelle7[[#This Row],[Bezeichnung]]</f>
        <v>#N/A</v>
      </c>
      <c r="K287">
        <v>3</v>
      </c>
      <c r="L287" t="e">
        <f>Tabelle7[[#This Row],[Hauptgruppe]]&amp;"/-/-"</f>
        <v>#N/A</v>
      </c>
      <c r="M287" t="e">
        <f ca="1">Tabelle7[[#This Row],[Hauptgruppe]]&amp;"/"&amp;Tabelle7[[#This Row],[Mittelgruppe]]&amp;"/-"</f>
        <v>#N/A</v>
      </c>
      <c r="N287" t="e">
        <f ca="1">Tabelle7[[#This Row],[Hauptgruppe]]&amp;"/"&amp;Tabelle7[[#This Row],[Mittelgruppe]]&amp;"/"&amp;Tabelle7[[#This Row],[Untergruppe]]</f>
        <v>#N/A</v>
      </c>
      <c r="O287" t="e">
        <f>INDEX(Tabelle6[Aktor],MATCH(Tabelle7[[#This Row],[Gesamtcode]],Tabelle6[Gesamtcode],0))&amp;" "&amp;INDEX(Tabelle6[Aktorkanal],MATCH(Tabelle7[[#This Row],[Gesamtcode]],Tabelle6[Gesamtcode],0))</f>
        <v>#N/A</v>
      </c>
    </row>
    <row r="288" spans="2:15" x14ac:dyDescent="0.25">
      <c r="B288" t="s">
        <v>298</v>
      </c>
      <c r="C288" t="e">
        <f>INDEX(Tabelle132[Zone],MATCH(Tabelle7[[#This Row],[Gesamtcode]],Tabelle132[Gesamtcode],0))</f>
        <v>#N/A</v>
      </c>
      <c r="D288" t="e">
        <f>INDEX(Tabelle132[Raum],MATCH(Tabelle7[[#This Row],[Gesamtcode]],Tabelle132[Gesamtcode],0))</f>
        <v>#N/A</v>
      </c>
      <c r="E288" t="e">
        <f>INDEX(Tabelle132[Bezeichnung],MATCH(Tabelle7[[#This Row],[Gesamtcode]],Tabelle132[Gesamtcode],0))</f>
        <v>#N/A</v>
      </c>
      <c r="F288" t="e">
        <f>"_"&amp;INDEX(Tabelle132[Geräte/Gewerke],MATCH(Tabelle7[[#This Row],[Gesamtcode]],Tabelle132[Gesamtcode],0))</f>
        <v>#N/A</v>
      </c>
      <c r="G288" t="e">
        <f>INDEX(Tabelle13[Gewerknr.],MATCH(Tabelle7[[#This Row],[Gewerke]],Tabelle13[Hauptgruppe],0))</f>
        <v>#N/A</v>
      </c>
      <c r="H288" t="s">
        <v>307</v>
      </c>
      <c r="I288" t="e">
        <f ca="1">INDEX(Tabelle134[Funktionsbereichsnr.],MATCH(Tabelle7[[#This Row],[Funktionsbereiche]],INDIRECT("Tabelle134["&amp;Tabelle7[[#This Row],[Gewerke]]&amp;"]"),0))</f>
        <v>#N/A</v>
      </c>
      <c r="J288" t="e">
        <f>Tabelle7[[#This Row],[Gesamtcode]]&amp;"_"&amp;Tabelle7[[#This Row],[Zone]]&amp;"_"&amp;Tabelle7[[#This Row],[Raum]]&amp;"_"&amp;Tabelle7[[#This Row],[Bezeichnung]]</f>
        <v>#N/A</v>
      </c>
      <c r="K288">
        <v>4</v>
      </c>
      <c r="L288" t="e">
        <f>Tabelle7[[#This Row],[Hauptgruppe]]&amp;"/-/-"</f>
        <v>#N/A</v>
      </c>
      <c r="M288" t="e">
        <f ca="1">Tabelle7[[#This Row],[Hauptgruppe]]&amp;"/"&amp;Tabelle7[[#This Row],[Mittelgruppe]]&amp;"/-"</f>
        <v>#N/A</v>
      </c>
      <c r="N288" t="e">
        <f ca="1">Tabelle7[[#This Row],[Hauptgruppe]]&amp;"/"&amp;Tabelle7[[#This Row],[Mittelgruppe]]&amp;"/"&amp;Tabelle7[[#This Row],[Untergruppe]]</f>
        <v>#N/A</v>
      </c>
      <c r="O288" t="e">
        <f>INDEX(Tabelle6[Aktor],MATCH(Tabelle7[[#This Row],[Gesamtcode]],Tabelle6[Gesamtcode],0))&amp;" "&amp;INDEX(Tabelle6[Aktorkanal],MATCH(Tabelle7[[#This Row],[Gesamtcode]],Tabelle6[Gesamtcode],0))</f>
        <v>#N/A</v>
      </c>
    </row>
    <row r="289" spans="2:15" x14ac:dyDescent="0.25">
      <c r="B289" t="s">
        <v>299</v>
      </c>
      <c r="C289" t="e">
        <f>INDEX(Tabelle132[Zone],MATCH(Tabelle7[[#This Row],[Gesamtcode]],Tabelle132[Gesamtcode],0))</f>
        <v>#N/A</v>
      </c>
      <c r="D289" t="e">
        <f>INDEX(Tabelle132[Raum],MATCH(Tabelle7[[#This Row],[Gesamtcode]],Tabelle132[Gesamtcode],0))</f>
        <v>#N/A</v>
      </c>
      <c r="E289" t="e">
        <f>INDEX(Tabelle132[Bezeichnung],MATCH(Tabelle7[[#This Row],[Gesamtcode]],Tabelle132[Gesamtcode],0))</f>
        <v>#N/A</v>
      </c>
      <c r="F289" t="e">
        <f>"_"&amp;INDEX(Tabelle132[Geräte/Gewerke],MATCH(Tabelle7[[#This Row],[Gesamtcode]],Tabelle132[Gesamtcode],0))</f>
        <v>#N/A</v>
      </c>
      <c r="G289" t="e">
        <f>INDEX(Tabelle13[Gewerknr.],MATCH(Tabelle7[[#This Row],[Gewerke]],Tabelle13[Hauptgruppe],0))</f>
        <v>#N/A</v>
      </c>
      <c r="H289" t="s">
        <v>307</v>
      </c>
      <c r="I289" t="e">
        <f ca="1">INDEX(Tabelle134[Funktionsbereichsnr.],MATCH(Tabelle7[[#This Row],[Funktionsbereiche]],INDIRECT("Tabelle134["&amp;Tabelle7[[#This Row],[Gewerke]]&amp;"]"),0))</f>
        <v>#N/A</v>
      </c>
      <c r="J289" t="e">
        <f>Tabelle7[[#This Row],[Gesamtcode]]&amp;"_"&amp;Tabelle7[[#This Row],[Zone]]&amp;"_"&amp;Tabelle7[[#This Row],[Raum]]&amp;"_"&amp;Tabelle7[[#This Row],[Bezeichnung]]</f>
        <v>#N/A</v>
      </c>
      <c r="K289">
        <v>5</v>
      </c>
      <c r="L289" t="e">
        <f>Tabelle7[[#This Row],[Hauptgruppe]]&amp;"/-/-"</f>
        <v>#N/A</v>
      </c>
      <c r="M289" t="e">
        <f ca="1">Tabelle7[[#This Row],[Hauptgruppe]]&amp;"/"&amp;Tabelle7[[#This Row],[Mittelgruppe]]&amp;"/-"</f>
        <v>#N/A</v>
      </c>
      <c r="N289" t="e">
        <f ca="1">Tabelle7[[#This Row],[Hauptgruppe]]&amp;"/"&amp;Tabelle7[[#This Row],[Mittelgruppe]]&amp;"/"&amp;Tabelle7[[#This Row],[Untergruppe]]</f>
        <v>#N/A</v>
      </c>
      <c r="O289" t="e">
        <f>INDEX(Tabelle6[Aktor],MATCH(Tabelle7[[#This Row],[Gesamtcode]],Tabelle6[Gesamtcode],0))&amp;" "&amp;INDEX(Tabelle6[Aktorkanal],MATCH(Tabelle7[[#This Row],[Gesamtcode]],Tabelle6[Gesamtcode],0))</f>
        <v>#N/A</v>
      </c>
    </row>
    <row r="290" spans="2:15" x14ac:dyDescent="0.25">
      <c r="B290" t="s">
        <v>300</v>
      </c>
      <c r="C290" t="e">
        <f>INDEX(Tabelle132[Zone],MATCH(Tabelle7[[#This Row],[Gesamtcode]],Tabelle132[Gesamtcode],0))</f>
        <v>#N/A</v>
      </c>
      <c r="D290" t="e">
        <f>INDEX(Tabelle132[Raum],MATCH(Tabelle7[[#This Row],[Gesamtcode]],Tabelle132[Gesamtcode],0))</f>
        <v>#N/A</v>
      </c>
      <c r="E290" t="e">
        <f>INDEX(Tabelle132[Bezeichnung],MATCH(Tabelle7[[#This Row],[Gesamtcode]],Tabelle132[Gesamtcode],0))</f>
        <v>#N/A</v>
      </c>
      <c r="F290" t="e">
        <f>"_"&amp;INDEX(Tabelle132[Geräte/Gewerke],MATCH(Tabelle7[[#This Row],[Gesamtcode]],Tabelle132[Gesamtcode],0))</f>
        <v>#N/A</v>
      </c>
      <c r="G290" t="e">
        <f>INDEX(Tabelle13[Gewerknr.],MATCH(Tabelle7[[#This Row],[Gewerke]],Tabelle13[Hauptgruppe],0))</f>
        <v>#N/A</v>
      </c>
      <c r="H290" t="s">
        <v>307</v>
      </c>
      <c r="I290" t="e">
        <f ca="1">INDEX(Tabelle134[Funktionsbereichsnr.],MATCH(Tabelle7[[#This Row],[Funktionsbereiche]],INDIRECT("Tabelle134["&amp;Tabelle7[[#This Row],[Gewerke]]&amp;"]"),0))</f>
        <v>#N/A</v>
      </c>
      <c r="J290" t="e">
        <f>Tabelle7[[#This Row],[Gesamtcode]]&amp;"_"&amp;Tabelle7[[#This Row],[Zone]]&amp;"_"&amp;Tabelle7[[#This Row],[Raum]]&amp;"_"&amp;Tabelle7[[#This Row],[Bezeichnung]]</f>
        <v>#N/A</v>
      </c>
      <c r="K290">
        <v>6</v>
      </c>
      <c r="L290" t="e">
        <f>Tabelle7[[#This Row],[Hauptgruppe]]&amp;"/-/-"</f>
        <v>#N/A</v>
      </c>
      <c r="M290" t="e">
        <f ca="1">Tabelle7[[#This Row],[Hauptgruppe]]&amp;"/"&amp;Tabelle7[[#This Row],[Mittelgruppe]]&amp;"/-"</f>
        <v>#N/A</v>
      </c>
      <c r="N290" t="e">
        <f ca="1">Tabelle7[[#This Row],[Hauptgruppe]]&amp;"/"&amp;Tabelle7[[#This Row],[Mittelgruppe]]&amp;"/"&amp;Tabelle7[[#This Row],[Untergruppe]]</f>
        <v>#N/A</v>
      </c>
      <c r="O290" t="e">
        <f>INDEX(Tabelle6[Aktor],MATCH(Tabelle7[[#This Row],[Gesamtcode]],Tabelle6[Gesamtcode],0))&amp;" "&amp;INDEX(Tabelle6[Aktorkanal],MATCH(Tabelle7[[#This Row],[Gesamtcode]],Tabelle6[Gesamtcode],0))</f>
        <v>#N/A</v>
      </c>
    </row>
    <row r="291" spans="2:15" x14ac:dyDescent="0.25">
      <c r="B291" t="s">
        <v>301</v>
      </c>
      <c r="C291" t="e">
        <f>INDEX(Tabelle132[Zone],MATCH(Tabelle7[[#This Row],[Gesamtcode]],Tabelle132[Gesamtcode],0))</f>
        <v>#N/A</v>
      </c>
      <c r="D291" t="e">
        <f>INDEX(Tabelle132[Raum],MATCH(Tabelle7[[#This Row],[Gesamtcode]],Tabelle132[Gesamtcode],0))</f>
        <v>#N/A</v>
      </c>
      <c r="E291" t="e">
        <f>INDEX(Tabelle132[Bezeichnung],MATCH(Tabelle7[[#This Row],[Gesamtcode]],Tabelle132[Gesamtcode],0))</f>
        <v>#N/A</v>
      </c>
      <c r="F291" t="e">
        <f>"_"&amp;INDEX(Tabelle132[Geräte/Gewerke],MATCH(Tabelle7[[#This Row],[Gesamtcode]],Tabelle132[Gesamtcode],0))</f>
        <v>#N/A</v>
      </c>
      <c r="G291" t="e">
        <f>INDEX(Tabelle13[Gewerknr.],MATCH(Tabelle7[[#This Row],[Gewerke]],Tabelle13[Hauptgruppe],0))</f>
        <v>#N/A</v>
      </c>
      <c r="H291" t="s">
        <v>307</v>
      </c>
      <c r="I291" t="e">
        <f ca="1">INDEX(Tabelle134[Funktionsbereichsnr.],MATCH(Tabelle7[[#This Row],[Funktionsbereiche]],INDIRECT("Tabelle134["&amp;Tabelle7[[#This Row],[Gewerke]]&amp;"]"),0))</f>
        <v>#N/A</v>
      </c>
      <c r="J291" t="e">
        <f>Tabelle7[[#This Row],[Gesamtcode]]&amp;"_"&amp;Tabelle7[[#This Row],[Zone]]&amp;"_"&amp;Tabelle7[[#This Row],[Raum]]&amp;"_"&amp;Tabelle7[[#This Row],[Bezeichnung]]</f>
        <v>#N/A</v>
      </c>
      <c r="K291">
        <v>7</v>
      </c>
      <c r="L291" t="e">
        <f>Tabelle7[[#This Row],[Hauptgruppe]]&amp;"/-/-"</f>
        <v>#N/A</v>
      </c>
      <c r="M291" t="e">
        <f ca="1">Tabelle7[[#This Row],[Hauptgruppe]]&amp;"/"&amp;Tabelle7[[#This Row],[Mittelgruppe]]&amp;"/-"</f>
        <v>#N/A</v>
      </c>
      <c r="N291" t="e">
        <f ca="1">Tabelle7[[#This Row],[Hauptgruppe]]&amp;"/"&amp;Tabelle7[[#This Row],[Mittelgruppe]]&amp;"/"&amp;Tabelle7[[#This Row],[Untergruppe]]</f>
        <v>#N/A</v>
      </c>
      <c r="O291" t="e">
        <f>INDEX(Tabelle6[Aktor],MATCH(Tabelle7[[#This Row],[Gesamtcode]],Tabelle6[Gesamtcode],0))&amp;" "&amp;INDEX(Tabelle6[Aktorkanal],MATCH(Tabelle7[[#This Row],[Gesamtcode]],Tabelle6[Gesamtcode],0))</f>
        <v>#N/A</v>
      </c>
    </row>
    <row r="292" spans="2:15" x14ac:dyDescent="0.25">
      <c r="B292" t="s">
        <v>302</v>
      </c>
      <c r="C292" t="e">
        <f>INDEX(Tabelle132[Zone],MATCH(Tabelle7[[#This Row],[Gesamtcode]],Tabelle132[Gesamtcode],0))</f>
        <v>#N/A</v>
      </c>
      <c r="D292" t="e">
        <f>INDEX(Tabelle132[Raum],MATCH(Tabelle7[[#This Row],[Gesamtcode]],Tabelle132[Gesamtcode],0))</f>
        <v>#N/A</v>
      </c>
      <c r="E292" t="e">
        <f>INDEX(Tabelle132[Bezeichnung],MATCH(Tabelle7[[#This Row],[Gesamtcode]],Tabelle132[Gesamtcode],0))</f>
        <v>#N/A</v>
      </c>
      <c r="F292" t="e">
        <f>"_"&amp;INDEX(Tabelle132[Geräte/Gewerke],MATCH(Tabelle7[[#This Row],[Gesamtcode]],Tabelle132[Gesamtcode],0))</f>
        <v>#N/A</v>
      </c>
      <c r="G292" t="e">
        <f>INDEX(Tabelle13[Gewerknr.],MATCH(Tabelle7[[#This Row],[Gewerke]],Tabelle13[Hauptgruppe],0))</f>
        <v>#N/A</v>
      </c>
      <c r="H292" t="s">
        <v>307</v>
      </c>
      <c r="I292" t="e">
        <f ca="1">INDEX(Tabelle134[Funktionsbereichsnr.],MATCH(Tabelle7[[#This Row],[Funktionsbereiche]],INDIRECT("Tabelle134["&amp;Tabelle7[[#This Row],[Gewerke]]&amp;"]"),0))</f>
        <v>#N/A</v>
      </c>
      <c r="J292" t="e">
        <f>Tabelle7[[#This Row],[Gesamtcode]]&amp;"_"&amp;Tabelle7[[#This Row],[Zone]]&amp;"_"&amp;Tabelle7[[#This Row],[Raum]]&amp;"_"&amp;Tabelle7[[#This Row],[Bezeichnung]]</f>
        <v>#N/A</v>
      </c>
      <c r="K292">
        <v>8</v>
      </c>
      <c r="L292" t="e">
        <f>Tabelle7[[#This Row],[Hauptgruppe]]&amp;"/-/-"</f>
        <v>#N/A</v>
      </c>
      <c r="M292" t="e">
        <f ca="1">Tabelle7[[#This Row],[Hauptgruppe]]&amp;"/"&amp;Tabelle7[[#This Row],[Mittelgruppe]]&amp;"/-"</f>
        <v>#N/A</v>
      </c>
      <c r="N292" t="e">
        <f ca="1">Tabelle7[[#This Row],[Hauptgruppe]]&amp;"/"&amp;Tabelle7[[#This Row],[Mittelgruppe]]&amp;"/"&amp;Tabelle7[[#This Row],[Untergruppe]]</f>
        <v>#N/A</v>
      </c>
      <c r="O292" t="e">
        <f>INDEX(Tabelle6[Aktor],MATCH(Tabelle7[[#This Row],[Gesamtcode]],Tabelle6[Gesamtcode],0))&amp;" "&amp;INDEX(Tabelle6[Aktorkanal],MATCH(Tabelle7[[#This Row],[Gesamtcode]],Tabelle6[Gesamtcode],0))</f>
        <v>#N/A</v>
      </c>
    </row>
    <row r="293" spans="2:15" x14ac:dyDescent="0.25">
      <c r="B293" t="s">
        <v>303</v>
      </c>
      <c r="C293" t="e">
        <f>INDEX(Tabelle132[Zone],MATCH(Tabelle7[[#This Row],[Gesamtcode]],Tabelle132[Gesamtcode],0))</f>
        <v>#N/A</v>
      </c>
      <c r="D293" t="e">
        <f>INDEX(Tabelle132[Raum],MATCH(Tabelle7[[#This Row],[Gesamtcode]],Tabelle132[Gesamtcode],0))</f>
        <v>#N/A</v>
      </c>
      <c r="E293" t="e">
        <f>INDEX(Tabelle132[Bezeichnung],MATCH(Tabelle7[[#This Row],[Gesamtcode]],Tabelle132[Gesamtcode],0))</f>
        <v>#N/A</v>
      </c>
      <c r="F293" t="e">
        <f>"_"&amp;INDEX(Tabelle132[Geräte/Gewerke],MATCH(Tabelle7[[#This Row],[Gesamtcode]],Tabelle132[Gesamtcode],0))</f>
        <v>#N/A</v>
      </c>
      <c r="G293" t="e">
        <f>INDEX(Tabelle13[Gewerknr.],MATCH(Tabelle7[[#This Row],[Gewerke]],Tabelle13[Hauptgruppe],0))</f>
        <v>#N/A</v>
      </c>
      <c r="H293" t="s">
        <v>307</v>
      </c>
      <c r="I293" t="e">
        <f ca="1">INDEX(Tabelle134[Funktionsbereichsnr.],MATCH(Tabelle7[[#This Row],[Funktionsbereiche]],INDIRECT("Tabelle134["&amp;Tabelle7[[#This Row],[Gewerke]]&amp;"]"),0))</f>
        <v>#N/A</v>
      </c>
      <c r="J293" t="e">
        <f>Tabelle7[[#This Row],[Gesamtcode]]&amp;"_"&amp;Tabelle7[[#This Row],[Zone]]&amp;"_"&amp;Tabelle7[[#This Row],[Raum]]&amp;"_"&amp;Tabelle7[[#This Row],[Bezeichnung]]</f>
        <v>#N/A</v>
      </c>
      <c r="K293">
        <v>9</v>
      </c>
      <c r="L293" t="e">
        <f>Tabelle7[[#This Row],[Hauptgruppe]]&amp;"/-/-"</f>
        <v>#N/A</v>
      </c>
      <c r="M293" t="e">
        <f ca="1">Tabelle7[[#This Row],[Hauptgruppe]]&amp;"/"&amp;Tabelle7[[#This Row],[Mittelgruppe]]&amp;"/-"</f>
        <v>#N/A</v>
      </c>
      <c r="N293" t="e">
        <f ca="1">Tabelle7[[#This Row],[Hauptgruppe]]&amp;"/"&amp;Tabelle7[[#This Row],[Mittelgruppe]]&amp;"/"&amp;Tabelle7[[#This Row],[Untergruppe]]</f>
        <v>#N/A</v>
      </c>
      <c r="O293" t="e">
        <f>INDEX(Tabelle6[Aktor],MATCH(Tabelle7[[#This Row],[Gesamtcode]],Tabelle6[Gesamtcode],0))&amp;" "&amp;INDEX(Tabelle6[Aktorkanal],MATCH(Tabelle7[[#This Row],[Gesamtcode]],Tabelle6[Gesamtcode],0))</f>
        <v>#N/A</v>
      </c>
    </row>
    <row r="294" spans="2:15" x14ac:dyDescent="0.25">
      <c r="B294" t="s">
        <v>281</v>
      </c>
      <c r="C294" t="e">
        <f>INDEX(Tabelle132[Zone],MATCH(Tabelle7[[#This Row],[Gesamtcode]],Tabelle132[Gesamtcode],0))</f>
        <v>#N/A</v>
      </c>
      <c r="D294" t="e">
        <f>INDEX(Tabelle132[Raum],MATCH(Tabelle7[[#This Row],[Gesamtcode]],Tabelle132[Gesamtcode],0))</f>
        <v>#N/A</v>
      </c>
      <c r="E294" t="e">
        <f>INDEX(Tabelle132[Bezeichnung],MATCH(Tabelle7[[#This Row],[Gesamtcode]],Tabelle132[Gesamtcode],0))</f>
        <v>#N/A</v>
      </c>
      <c r="F294" t="e">
        <f>"_"&amp;INDEX(Tabelle132[Geräte/Gewerke],MATCH(Tabelle7[[#This Row],[Gesamtcode]],Tabelle132[Gesamtcode],0))</f>
        <v>#N/A</v>
      </c>
      <c r="G294" t="e">
        <f>INDEX(Tabelle13[Gewerknr.],MATCH(Tabelle7[[#This Row],[Gewerke]],Tabelle13[Hauptgruppe],0))</f>
        <v>#N/A</v>
      </c>
      <c r="H294" t="s">
        <v>308</v>
      </c>
      <c r="I294" t="e">
        <f ca="1">INDEX(Tabelle134[Funktionsbereichsnr.],MATCH(Tabelle7[[#This Row],[Funktionsbereiche]],INDIRECT("Tabelle134["&amp;Tabelle7[[#This Row],[Gewerke]]&amp;"]"),0))</f>
        <v>#N/A</v>
      </c>
      <c r="J294" t="e">
        <f>Tabelle7[[#This Row],[Gesamtcode]]&amp;"_"&amp;Tabelle7[[#This Row],[Zone]]&amp;"_"&amp;Tabelle7[[#This Row],[Raum]]&amp;"_"&amp;Tabelle7[[#This Row],[Bezeichnung]]</f>
        <v>#N/A</v>
      </c>
      <c r="K294">
        <v>0</v>
      </c>
      <c r="L294" t="e">
        <f>Tabelle7[[#This Row],[Hauptgruppe]]&amp;"/-/-"</f>
        <v>#N/A</v>
      </c>
      <c r="M294" t="e">
        <f ca="1">Tabelle7[[#This Row],[Hauptgruppe]]&amp;"/"&amp;Tabelle7[[#This Row],[Mittelgruppe]]&amp;"/-"</f>
        <v>#N/A</v>
      </c>
      <c r="N294" t="e">
        <f ca="1">Tabelle7[[#This Row],[Hauptgruppe]]&amp;"/"&amp;Tabelle7[[#This Row],[Mittelgruppe]]&amp;"/"&amp;Tabelle7[[#This Row],[Untergruppe]]</f>
        <v>#N/A</v>
      </c>
      <c r="O294" t="e">
        <f>INDEX(Tabelle6[Aktor],MATCH(Tabelle7[[#This Row],[Gesamtcode]],Tabelle6[Gesamtcode],0))&amp;" "&amp;INDEX(Tabelle6[Aktorkanal],MATCH(Tabelle7[[#This Row],[Gesamtcode]],Tabelle6[Gesamtcode],0))</f>
        <v>#N/A</v>
      </c>
    </row>
    <row r="295" spans="2:15" x14ac:dyDescent="0.25">
      <c r="B295" t="s">
        <v>282</v>
      </c>
      <c r="C295" t="e">
        <f>INDEX(Tabelle132[Zone],MATCH(Tabelle7[[#This Row],[Gesamtcode]],Tabelle132[Gesamtcode],0))</f>
        <v>#N/A</v>
      </c>
      <c r="D295" t="e">
        <f>INDEX(Tabelle132[Raum],MATCH(Tabelle7[[#This Row],[Gesamtcode]],Tabelle132[Gesamtcode],0))</f>
        <v>#N/A</v>
      </c>
      <c r="E295" t="e">
        <f>INDEX(Tabelle132[Bezeichnung],MATCH(Tabelle7[[#This Row],[Gesamtcode]],Tabelle132[Gesamtcode],0))</f>
        <v>#N/A</v>
      </c>
      <c r="F295" t="e">
        <f>"_"&amp;INDEX(Tabelle132[Geräte/Gewerke],MATCH(Tabelle7[[#This Row],[Gesamtcode]],Tabelle132[Gesamtcode],0))</f>
        <v>#N/A</v>
      </c>
      <c r="G295" t="e">
        <f>INDEX(Tabelle13[Gewerknr.],MATCH(Tabelle7[[#This Row],[Gewerke]],Tabelle13[Hauptgruppe],0))</f>
        <v>#N/A</v>
      </c>
      <c r="H295" t="s">
        <v>308</v>
      </c>
      <c r="I295" t="e">
        <f ca="1">INDEX(Tabelle134[Funktionsbereichsnr.],MATCH(Tabelle7[[#This Row],[Funktionsbereiche]],INDIRECT("Tabelle134["&amp;Tabelle7[[#This Row],[Gewerke]]&amp;"]"),0))</f>
        <v>#N/A</v>
      </c>
      <c r="J295" t="e">
        <f>Tabelle7[[#This Row],[Gesamtcode]]&amp;"_"&amp;Tabelle7[[#This Row],[Zone]]&amp;"_"&amp;Tabelle7[[#This Row],[Raum]]&amp;"_"&amp;Tabelle7[[#This Row],[Bezeichnung]]</f>
        <v>#N/A</v>
      </c>
      <c r="K295">
        <v>1</v>
      </c>
      <c r="L295" t="e">
        <f>Tabelle7[[#This Row],[Hauptgruppe]]&amp;"/-/-"</f>
        <v>#N/A</v>
      </c>
      <c r="M295" t="e">
        <f ca="1">Tabelle7[[#This Row],[Hauptgruppe]]&amp;"/"&amp;Tabelle7[[#This Row],[Mittelgruppe]]&amp;"/-"</f>
        <v>#N/A</v>
      </c>
      <c r="N295" t="e">
        <f ca="1">Tabelle7[[#This Row],[Hauptgruppe]]&amp;"/"&amp;Tabelle7[[#This Row],[Mittelgruppe]]&amp;"/"&amp;Tabelle7[[#This Row],[Untergruppe]]</f>
        <v>#N/A</v>
      </c>
      <c r="O295" t="e">
        <f>INDEX(Tabelle6[Aktor],MATCH(Tabelle7[[#This Row],[Gesamtcode]],Tabelle6[Gesamtcode],0))&amp;" "&amp;INDEX(Tabelle6[Aktorkanal],MATCH(Tabelle7[[#This Row],[Gesamtcode]],Tabelle6[Gesamtcode],0))</f>
        <v>#N/A</v>
      </c>
    </row>
    <row r="296" spans="2:15" x14ac:dyDescent="0.25">
      <c r="B296" t="s">
        <v>283</v>
      </c>
      <c r="C296" t="e">
        <f>INDEX(Tabelle132[Zone],MATCH(Tabelle7[[#This Row],[Gesamtcode]],Tabelle132[Gesamtcode],0))</f>
        <v>#N/A</v>
      </c>
      <c r="D296" t="e">
        <f>INDEX(Tabelle132[Raum],MATCH(Tabelle7[[#This Row],[Gesamtcode]],Tabelle132[Gesamtcode],0))</f>
        <v>#N/A</v>
      </c>
      <c r="E296" t="e">
        <f>INDEX(Tabelle132[Bezeichnung],MATCH(Tabelle7[[#This Row],[Gesamtcode]],Tabelle132[Gesamtcode],0))</f>
        <v>#N/A</v>
      </c>
      <c r="F296" t="e">
        <f>"_"&amp;INDEX(Tabelle132[Geräte/Gewerke],MATCH(Tabelle7[[#This Row],[Gesamtcode]],Tabelle132[Gesamtcode],0))</f>
        <v>#N/A</v>
      </c>
      <c r="G296" t="e">
        <f>INDEX(Tabelle13[Gewerknr.],MATCH(Tabelle7[[#This Row],[Gewerke]],Tabelle13[Hauptgruppe],0))</f>
        <v>#N/A</v>
      </c>
      <c r="H296" t="s">
        <v>308</v>
      </c>
      <c r="I296" t="e">
        <f ca="1">INDEX(Tabelle134[Funktionsbereichsnr.],MATCH(Tabelle7[[#This Row],[Funktionsbereiche]],INDIRECT("Tabelle134["&amp;Tabelle7[[#This Row],[Gewerke]]&amp;"]"),0))</f>
        <v>#N/A</v>
      </c>
      <c r="J296" t="e">
        <f>Tabelle7[[#This Row],[Gesamtcode]]&amp;"_"&amp;Tabelle7[[#This Row],[Zone]]&amp;"_"&amp;Tabelle7[[#This Row],[Raum]]&amp;"_"&amp;Tabelle7[[#This Row],[Bezeichnung]]</f>
        <v>#N/A</v>
      </c>
      <c r="K296">
        <v>10</v>
      </c>
      <c r="L296" t="e">
        <f>Tabelle7[[#This Row],[Hauptgruppe]]&amp;"/-/-"</f>
        <v>#N/A</v>
      </c>
      <c r="M296" t="e">
        <f ca="1">Tabelle7[[#This Row],[Hauptgruppe]]&amp;"/"&amp;Tabelle7[[#This Row],[Mittelgruppe]]&amp;"/-"</f>
        <v>#N/A</v>
      </c>
      <c r="N296" t="e">
        <f ca="1">Tabelle7[[#This Row],[Hauptgruppe]]&amp;"/"&amp;Tabelle7[[#This Row],[Mittelgruppe]]&amp;"/"&amp;Tabelle7[[#This Row],[Untergruppe]]</f>
        <v>#N/A</v>
      </c>
      <c r="O296" t="e">
        <f>INDEX(Tabelle6[Aktor],MATCH(Tabelle7[[#This Row],[Gesamtcode]],Tabelle6[Gesamtcode],0))&amp;" "&amp;INDEX(Tabelle6[Aktorkanal],MATCH(Tabelle7[[#This Row],[Gesamtcode]],Tabelle6[Gesamtcode],0))</f>
        <v>#N/A</v>
      </c>
    </row>
    <row r="297" spans="2:15" x14ac:dyDescent="0.25">
      <c r="B297" t="s">
        <v>284</v>
      </c>
      <c r="C297" t="e">
        <f>INDEX(Tabelle132[Zone],MATCH(Tabelle7[[#This Row],[Gesamtcode]],Tabelle132[Gesamtcode],0))</f>
        <v>#N/A</v>
      </c>
      <c r="D297" t="e">
        <f>INDEX(Tabelle132[Raum],MATCH(Tabelle7[[#This Row],[Gesamtcode]],Tabelle132[Gesamtcode],0))</f>
        <v>#N/A</v>
      </c>
      <c r="E297" t="e">
        <f>INDEX(Tabelle132[Bezeichnung],MATCH(Tabelle7[[#This Row],[Gesamtcode]],Tabelle132[Gesamtcode],0))</f>
        <v>#N/A</v>
      </c>
      <c r="F297" t="e">
        <f>"_"&amp;INDEX(Tabelle132[Geräte/Gewerke],MATCH(Tabelle7[[#This Row],[Gesamtcode]],Tabelle132[Gesamtcode],0))</f>
        <v>#N/A</v>
      </c>
      <c r="G297" t="e">
        <f>INDEX(Tabelle13[Gewerknr.],MATCH(Tabelle7[[#This Row],[Gewerke]],Tabelle13[Hauptgruppe],0))</f>
        <v>#N/A</v>
      </c>
      <c r="H297" t="s">
        <v>308</v>
      </c>
      <c r="I297" t="e">
        <f ca="1">INDEX(Tabelle134[Funktionsbereichsnr.],MATCH(Tabelle7[[#This Row],[Funktionsbereiche]],INDIRECT("Tabelle134["&amp;Tabelle7[[#This Row],[Gewerke]]&amp;"]"),0))</f>
        <v>#N/A</v>
      </c>
      <c r="J297" t="e">
        <f>Tabelle7[[#This Row],[Gesamtcode]]&amp;"_"&amp;Tabelle7[[#This Row],[Zone]]&amp;"_"&amp;Tabelle7[[#This Row],[Raum]]&amp;"_"&amp;Tabelle7[[#This Row],[Bezeichnung]]</f>
        <v>#N/A</v>
      </c>
      <c r="K297">
        <v>11</v>
      </c>
      <c r="L297" t="e">
        <f>Tabelle7[[#This Row],[Hauptgruppe]]&amp;"/-/-"</f>
        <v>#N/A</v>
      </c>
      <c r="M297" t="e">
        <f ca="1">Tabelle7[[#This Row],[Hauptgruppe]]&amp;"/"&amp;Tabelle7[[#This Row],[Mittelgruppe]]&amp;"/-"</f>
        <v>#N/A</v>
      </c>
      <c r="N297" t="e">
        <f ca="1">Tabelle7[[#This Row],[Hauptgruppe]]&amp;"/"&amp;Tabelle7[[#This Row],[Mittelgruppe]]&amp;"/"&amp;Tabelle7[[#This Row],[Untergruppe]]</f>
        <v>#N/A</v>
      </c>
      <c r="O297" t="e">
        <f>INDEX(Tabelle6[Aktor],MATCH(Tabelle7[[#This Row],[Gesamtcode]],Tabelle6[Gesamtcode],0))&amp;" "&amp;INDEX(Tabelle6[Aktorkanal],MATCH(Tabelle7[[#This Row],[Gesamtcode]],Tabelle6[Gesamtcode],0))</f>
        <v>#N/A</v>
      </c>
    </row>
    <row r="298" spans="2:15" x14ac:dyDescent="0.25">
      <c r="B298" t="s">
        <v>309</v>
      </c>
      <c r="C298" t="e">
        <f>INDEX(Tabelle132[Zone],MATCH(Tabelle7[[#This Row],[Gesamtcode]],Tabelle132[Gesamtcode],0))</f>
        <v>#N/A</v>
      </c>
      <c r="D298" t="e">
        <f>INDEX(Tabelle132[Raum],MATCH(Tabelle7[[#This Row],[Gesamtcode]],Tabelle132[Gesamtcode],0))</f>
        <v>#N/A</v>
      </c>
      <c r="E298" t="e">
        <f>INDEX(Tabelle132[Bezeichnung],MATCH(Tabelle7[[#This Row],[Gesamtcode]],Tabelle132[Gesamtcode],0))</f>
        <v>#N/A</v>
      </c>
      <c r="F298" t="e">
        <f>"_"&amp;INDEX(Tabelle132[Geräte/Gewerke],MATCH(Tabelle7[[#This Row],[Gesamtcode]],Tabelle132[Gesamtcode],0))</f>
        <v>#N/A</v>
      </c>
      <c r="G298" t="e">
        <f>INDEX(Tabelle13[Gewerknr.],MATCH(Tabelle7[[#This Row],[Gewerke]],Tabelle13[Hauptgruppe],0))</f>
        <v>#N/A</v>
      </c>
      <c r="H298" t="s">
        <v>306</v>
      </c>
      <c r="I298" t="e">
        <f ca="1">INDEX(Tabelle134[Funktionsbereichsnr.],MATCH(Tabelle7[[#This Row],[Funktionsbereiche]],INDIRECT("Tabelle134["&amp;Tabelle7[[#This Row],[Gewerke]]&amp;"]"),0))</f>
        <v>#N/A</v>
      </c>
      <c r="J298" t="e">
        <f>Tabelle7[[#This Row],[Gesamtcode]]&amp;"_"&amp;Tabelle7[[#This Row],[Zone]]&amp;"_"&amp;Tabelle7[[#This Row],[Raum]]&amp;"_"&amp;Tabelle7[[#This Row],[Bezeichnung]]</f>
        <v>#N/A</v>
      </c>
      <c r="K298">
        <v>13</v>
      </c>
      <c r="L298" t="e">
        <f>Tabelle7[[#This Row],[Hauptgruppe]]&amp;"/-/-"</f>
        <v>#N/A</v>
      </c>
      <c r="M298" t="e">
        <f ca="1">Tabelle7[[#This Row],[Hauptgruppe]]&amp;"/"&amp;Tabelle7[[#This Row],[Mittelgruppe]]&amp;"/-"</f>
        <v>#N/A</v>
      </c>
      <c r="N298" t="e">
        <f ca="1">Tabelle7[[#This Row],[Hauptgruppe]]&amp;"/"&amp;Tabelle7[[#This Row],[Mittelgruppe]]&amp;"/"&amp;Tabelle7[[#This Row],[Untergruppe]]</f>
        <v>#N/A</v>
      </c>
      <c r="O298" t="e">
        <f>INDEX(Tabelle6[Aktor],MATCH(Tabelle7[[#This Row],[Gesamtcode]],Tabelle6[Gesamtcode],0))&amp;" "&amp;INDEX(Tabelle6[Aktorkanal],MATCH(Tabelle7[[#This Row],[Gesamtcode]],Tabelle6[Gesamtcode],0))</f>
        <v>#N/A</v>
      </c>
    </row>
    <row r="299" spans="2:15" x14ac:dyDescent="0.25">
      <c r="B299" t="s">
        <v>309</v>
      </c>
      <c r="C299" t="e">
        <f>INDEX(Tabelle132[Zone],MATCH(Tabelle7[[#This Row],[Gesamtcode]],Tabelle132[Gesamtcode],0))</f>
        <v>#N/A</v>
      </c>
      <c r="D299" t="e">
        <f>INDEX(Tabelle132[Raum],MATCH(Tabelle7[[#This Row],[Gesamtcode]],Tabelle132[Gesamtcode],0))</f>
        <v>#N/A</v>
      </c>
      <c r="E299" t="e">
        <f>INDEX(Tabelle132[Bezeichnung],MATCH(Tabelle7[[#This Row],[Gesamtcode]],Tabelle132[Gesamtcode],0))</f>
        <v>#N/A</v>
      </c>
      <c r="F299" t="e">
        <f>"_"&amp;INDEX(Tabelle132[Geräte/Gewerke],MATCH(Tabelle7[[#This Row],[Gesamtcode]],Tabelle132[Gesamtcode],0))</f>
        <v>#N/A</v>
      </c>
      <c r="G299" t="e">
        <f>INDEX(Tabelle13[Gewerknr.],MATCH(Tabelle7[[#This Row],[Gewerke]],Tabelle13[Hauptgruppe],0))</f>
        <v>#N/A</v>
      </c>
      <c r="H299" t="s">
        <v>307</v>
      </c>
      <c r="I299" t="e">
        <f ca="1">INDEX(Tabelle134[Funktionsbereichsnr.],MATCH(Tabelle7[[#This Row],[Funktionsbereiche]],INDIRECT("Tabelle134["&amp;Tabelle7[[#This Row],[Gewerke]]&amp;"]"),0))</f>
        <v>#N/A</v>
      </c>
      <c r="J299" t="e">
        <f>Tabelle7[[#This Row],[Gesamtcode]]&amp;"_"&amp;Tabelle7[[#This Row],[Zone]]&amp;"_"&amp;Tabelle7[[#This Row],[Raum]]&amp;"_"&amp;Tabelle7[[#This Row],[Bezeichnung]]</f>
        <v>#N/A</v>
      </c>
      <c r="K299">
        <v>13</v>
      </c>
      <c r="L299" t="e">
        <f>Tabelle7[[#This Row],[Hauptgruppe]]&amp;"/-/-"</f>
        <v>#N/A</v>
      </c>
      <c r="M299" t="e">
        <f ca="1">Tabelle7[[#This Row],[Hauptgruppe]]&amp;"/"&amp;Tabelle7[[#This Row],[Mittelgruppe]]&amp;"/-"</f>
        <v>#N/A</v>
      </c>
      <c r="N299" t="e">
        <f ca="1">Tabelle7[[#This Row],[Hauptgruppe]]&amp;"/"&amp;Tabelle7[[#This Row],[Mittelgruppe]]&amp;"/"&amp;Tabelle7[[#This Row],[Untergruppe]]</f>
        <v>#N/A</v>
      </c>
      <c r="O299" t="e">
        <f>INDEX(Tabelle6[Aktor],MATCH(Tabelle7[[#This Row],[Gesamtcode]],Tabelle6[Gesamtcode],0))&amp;" "&amp;INDEX(Tabelle6[Aktorkanal],MATCH(Tabelle7[[#This Row],[Gesamtcode]],Tabelle6[Gesamtcode],0))</f>
        <v>#N/A</v>
      </c>
    </row>
    <row r="300" spans="2:15" x14ac:dyDescent="0.25">
      <c r="B300" t="s">
        <v>287</v>
      </c>
      <c r="C300" t="e">
        <f>INDEX(Tabelle132[Zone],MATCH(Tabelle7[[#This Row],[Gesamtcode]],Tabelle132[Gesamtcode],0))</f>
        <v>#N/A</v>
      </c>
      <c r="D300" t="e">
        <f>INDEX(Tabelle132[Raum],MATCH(Tabelle7[[#This Row],[Gesamtcode]],Tabelle132[Gesamtcode],0))</f>
        <v>#N/A</v>
      </c>
      <c r="E300" t="e">
        <f>INDEX(Tabelle132[Bezeichnung],MATCH(Tabelle7[[#This Row],[Gesamtcode]],Tabelle132[Gesamtcode],0))</f>
        <v>#N/A</v>
      </c>
      <c r="F300" t="e">
        <f>"_"&amp;INDEX(Tabelle132[Geräte/Gewerke],MATCH(Tabelle7[[#This Row],[Gesamtcode]],Tabelle132[Gesamtcode],0))</f>
        <v>#N/A</v>
      </c>
      <c r="G300" t="e">
        <f>INDEX(Tabelle13[Gewerknr.],MATCH(Tabelle7[[#This Row],[Gewerke]],Tabelle13[Hauptgruppe],0))</f>
        <v>#N/A</v>
      </c>
      <c r="H300" t="s">
        <v>308</v>
      </c>
      <c r="I300" t="e">
        <f ca="1">INDEX(Tabelle134[Funktionsbereichsnr.],MATCH(Tabelle7[[#This Row],[Funktionsbereiche]],INDIRECT("Tabelle134["&amp;Tabelle7[[#This Row],[Gewerke]]&amp;"]"),0))</f>
        <v>#N/A</v>
      </c>
      <c r="J300" t="e">
        <f>Tabelle7[[#This Row],[Gesamtcode]]&amp;"_"&amp;Tabelle7[[#This Row],[Zone]]&amp;"_"&amp;Tabelle7[[#This Row],[Raum]]&amp;"_"&amp;Tabelle7[[#This Row],[Bezeichnung]]</f>
        <v>#N/A</v>
      </c>
      <c r="K300">
        <v>14</v>
      </c>
      <c r="L300" t="e">
        <f>Tabelle7[[#This Row],[Hauptgruppe]]&amp;"/-/-"</f>
        <v>#N/A</v>
      </c>
      <c r="M300" t="e">
        <f ca="1">Tabelle7[[#This Row],[Hauptgruppe]]&amp;"/"&amp;Tabelle7[[#This Row],[Mittelgruppe]]&amp;"/-"</f>
        <v>#N/A</v>
      </c>
      <c r="N300" t="e">
        <f ca="1">Tabelle7[[#This Row],[Hauptgruppe]]&amp;"/"&amp;Tabelle7[[#This Row],[Mittelgruppe]]&amp;"/"&amp;Tabelle7[[#This Row],[Untergruppe]]</f>
        <v>#N/A</v>
      </c>
      <c r="O300" t="e">
        <f>INDEX(Tabelle6[Aktor],MATCH(Tabelle7[[#This Row],[Gesamtcode]],Tabelle6[Gesamtcode],0))&amp;" "&amp;INDEX(Tabelle6[Aktorkanal],MATCH(Tabelle7[[#This Row],[Gesamtcode]],Tabelle6[Gesamtcode],0))</f>
        <v>#N/A</v>
      </c>
    </row>
    <row r="301" spans="2:15" x14ac:dyDescent="0.25">
      <c r="B301" t="s">
        <v>288</v>
      </c>
      <c r="C301" t="e">
        <f>INDEX(Tabelle132[Zone],MATCH(Tabelle7[[#This Row],[Gesamtcode]],Tabelle132[Gesamtcode],0))</f>
        <v>#N/A</v>
      </c>
      <c r="D301" t="e">
        <f>INDEX(Tabelle132[Raum],MATCH(Tabelle7[[#This Row],[Gesamtcode]],Tabelle132[Gesamtcode],0))</f>
        <v>#N/A</v>
      </c>
      <c r="E301" t="e">
        <f>INDEX(Tabelle132[Bezeichnung],MATCH(Tabelle7[[#This Row],[Gesamtcode]],Tabelle132[Gesamtcode],0))</f>
        <v>#N/A</v>
      </c>
      <c r="F301" t="e">
        <f>"_"&amp;INDEX(Tabelle132[Geräte/Gewerke],MATCH(Tabelle7[[#This Row],[Gesamtcode]],Tabelle132[Gesamtcode],0))</f>
        <v>#N/A</v>
      </c>
      <c r="G301" t="e">
        <f>INDEX(Tabelle13[Gewerknr.],MATCH(Tabelle7[[#This Row],[Gewerke]],Tabelle13[Hauptgruppe],0))</f>
        <v>#N/A</v>
      </c>
      <c r="H301" t="s">
        <v>308</v>
      </c>
      <c r="I301" t="e">
        <f ca="1">INDEX(Tabelle134[Funktionsbereichsnr.],MATCH(Tabelle7[[#This Row],[Funktionsbereiche]],INDIRECT("Tabelle134["&amp;Tabelle7[[#This Row],[Gewerke]]&amp;"]"),0))</f>
        <v>#N/A</v>
      </c>
      <c r="J301" t="e">
        <f>Tabelle7[[#This Row],[Gesamtcode]]&amp;"_"&amp;Tabelle7[[#This Row],[Zone]]&amp;"_"&amp;Tabelle7[[#This Row],[Raum]]&amp;"_"&amp;Tabelle7[[#This Row],[Bezeichnung]]</f>
        <v>#N/A</v>
      </c>
      <c r="K301">
        <v>15</v>
      </c>
      <c r="L301" t="e">
        <f>Tabelle7[[#This Row],[Hauptgruppe]]&amp;"/-/-"</f>
        <v>#N/A</v>
      </c>
      <c r="M301" t="e">
        <f ca="1">Tabelle7[[#This Row],[Hauptgruppe]]&amp;"/"&amp;Tabelle7[[#This Row],[Mittelgruppe]]&amp;"/-"</f>
        <v>#N/A</v>
      </c>
      <c r="N301" t="e">
        <f ca="1">Tabelle7[[#This Row],[Hauptgruppe]]&amp;"/"&amp;Tabelle7[[#This Row],[Mittelgruppe]]&amp;"/"&amp;Tabelle7[[#This Row],[Untergruppe]]</f>
        <v>#N/A</v>
      </c>
      <c r="O301" t="e">
        <f>INDEX(Tabelle6[Aktor],MATCH(Tabelle7[[#This Row],[Gesamtcode]],Tabelle6[Gesamtcode],0))&amp;" "&amp;INDEX(Tabelle6[Aktorkanal],MATCH(Tabelle7[[#This Row],[Gesamtcode]],Tabelle6[Gesamtcode],0))</f>
        <v>#N/A</v>
      </c>
    </row>
    <row r="302" spans="2:15" x14ac:dyDescent="0.25">
      <c r="B302" t="s">
        <v>289</v>
      </c>
      <c r="C302" t="e">
        <f>INDEX(Tabelle132[Zone],MATCH(Tabelle7[[#This Row],[Gesamtcode]],Tabelle132[Gesamtcode],0))</f>
        <v>#N/A</v>
      </c>
      <c r="D302" t="e">
        <f>INDEX(Tabelle132[Raum],MATCH(Tabelle7[[#This Row],[Gesamtcode]],Tabelle132[Gesamtcode],0))</f>
        <v>#N/A</v>
      </c>
      <c r="E302" t="e">
        <f>INDEX(Tabelle132[Bezeichnung],MATCH(Tabelle7[[#This Row],[Gesamtcode]],Tabelle132[Gesamtcode],0))</f>
        <v>#N/A</v>
      </c>
      <c r="F302" t="e">
        <f>"_"&amp;INDEX(Tabelle132[Geräte/Gewerke],MATCH(Tabelle7[[#This Row],[Gesamtcode]],Tabelle132[Gesamtcode],0))</f>
        <v>#N/A</v>
      </c>
      <c r="G302" t="e">
        <f>INDEX(Tabelle13[Gewerknr.],MATCH(Tabelle7[[#This Row],[Gewerke]],Tabelle13[Hauptgruppe],0))</f>
        <v>#N/A</v>
      </c>
      <c r="H302" t="s">
        <v>308</v>
      </c>
      <c r="I302" t="e">
        <f ca="1">INDEX(Tabelle134[Funktionsbereichsnr.],MATCH(Tabelle7[[#This Row],[Funktionsbereiche]],INDIRECT("Tabelle134["&amp;Tabelle7[[#This Row],[Gewerke]]&amp;"]"),0))</f>
        <v>#N/A</v>
      </c>
      <c r="J302" t="e">
        <f>Tabelle7[[#This Row],[Gesamtcode]]&amp;"_"&amp;Tabelle7[[#This Row],[Zone]]&amp;"_"&amp;Tabelle7[[#This Row],[Raum]]&amp;"_"&amp;Tabelle7[[#This Row],[Bezeichnung]]</f>
        <v>#N/A</v>
      </c>
      <c r="K302">
        <v>16</v>
      </c>
      <c r="L302" t="e">
        <f>Tabelle7[[#This Row],[Hauptgruppe]]&amp;"/-/-"</f>
        <v>#N/A</v>
      </c>
      <c r="M302" t="e">
        <f ca="1">Tabelle7[[#This Row],[Hauptgruppe]]&amp;"/"&amp;Tabelle7[[#This Row],[Mittelgruppe]]&amp;"/-"</f>
        <v>#N/A</v>
      </c>
      <c r="N302" t="e">
        <f ca="1">Tabelle7[[#This Row],[Hauptgruppe]]&amp;"/"&amp;Tabelle7[[#This Row],[Mittelgruppe]]&amp;"/"&amp;Tabelle7[[#This Row],[Untergruppe]]</f>
        <v>#N/A</v>
      </c>
      <c r="O302" t="e">
        <f>INDEX(Tabelle6[Aktor],MATCH(Tabelle7[[#This Row],[Gesamtcode]],Tabelle6[Gesamtcode],0))&amp;" "&amp;INDEX(Tabelle6[Aktorkanal],MATCH(Tabelle7[[#This Row],[Gesamtcode]],Tabelle6[Gesamtcode],0))</f>
        <v>#N/A</v>
      </c>
    </row>
    <row r="303" spans="2:15" x14ac:dyDescent="0.25">
      <c r="B303" t="s">
        <v>290</v>
      </c>
      <c r="C303" t="e">
        <f>INDEX(Tabelle132[Zone],MATCH(Tabelle7[[#This Row],[Gesamtcode]],Tabelle132[Gesamtcode],0))</f>
        <v>#N/A</v>
      </c>
      <c r="D303" t="e">
        <f>INDEX(Tabelle132[Raum],MATCH(Tabelle7[[#This Row],[Gesamtcode]],Tabelle132[Gesamtcode],0))</f>
        <v>#N/A</v>
      </c>
      <c r="E303" t="e">
        <f>INDEX(Tabelle132[Bezeichnung],MATCH(Tabelle7[[#This Row],[Gesamtcode]],Tabelle132[Gesamtcode],0))</f>
        <v>#N/A</v>
      </c>
      <c r="F303" t="e">
        <f>"_"&amp;INDEX(Tabelle132[Geräte/Gewerke],MATCH(Tabelle7[[#This Row],[Gesamtcode]],Tabelle132[Gesamtcode],0))</f>
        <v>#N/A</v>
      </c>
      <c r="G303" t="e">
        <f>INDEX(Tabelle13[Gewerknr.],MATCH(Tabelle7[[#This Row],[Gewerke]],Tabelle13[Hauptgruppe],0))</f>
        <v>#N/A</v>
      </c>
      <c r="H303" t="s">
        <v>308</v>
      </c>
      <c r="I303" t="e">
        <f ca="1">INDEX(Tabelle134[Funktionsbereichsnr.],MATCH(Tabelle7[[#This Row],[Funktionsbereiche]],INDIRECT("Tabelle134["&amp;Tabelle7[[#This Row],[Gewerke]]&amp;"]"),0))</f>
        <v>#N/A</v>
      </c>
      <c r="J303" t="e">
        <f>Tabelle7[[#This Row],[Gesamtcode]]&amp;"_"&amp;Tabelle7[[#This Row],[Zone]]&amp;"_"&amp;Tabelle7[[#This Row],[Raum]]&amp;"_"&amp;Tabelle7[[#This Row],[Bezeichnung]]</f>
        <v>#N/A</v>
      </c>
      <c r="K303">
        <v>17</v>
      </c>
      <c r="L303" t="e">
        <f>Tabelle7[[#This Row],[Hauptgruppe]]&amp;"/-/-"</f>
        <v>#N/A</v>
      </c>
      <c r="M303" t="e">
        <f ca="1">Tabelle7[[#This Row],[Hauptgruppe]]&amp;"/"&amp;Tabelle7[[#This Row],[Mittelgruppe]]&amp;"/-"</f>
        <v>#N/A</v>
      </c>
      <c r="N303" t="e">
        <f ca="1">Tabelle7[[#This Row],[Hauptgruppe]]&amp;"/"&amp;Tabelle7[[#This Row],[Mittelgruppe]]&amp;"/"&amp;Tabelle7[[#This Row],[Untergruppe]]</f>
        <v>#N/A</v>
      </c>
      <c r="O303" t="e">
        <f>INDEX(Tabelle6[Aktor],MATCH(Tabelle7[[#This Row],[Gesamtcode]],Tabelle6[Gesamtcode],0))&amp;" "&amp;INDEX(Tabelle6[Aktorkanal],MATCH(Tabelle7[[#This Row],[Gesamtcode]],Tabelle6[Gesamtcode],0))</f>
        <v>#N/A</v>
      </c>
    </row>
    <row r="304" spans="2:15" x14ac:dyDescent="0.25">
      <c r="B304" t="s">
        <v>291</v>
      </c>
      <c r="C304" t="e">
        <f>INDEX(Tabelle132[Zone],MATCH(Tabelle7[[#This Row],[Gesamtcode]],Tabelle132[Gesamtcode],0))</f>
        <v>#N/A</v>
      </c>
      <c r="D304" t="e">
        <f>INDEX(Tabelle132[Raum],MATCH(Tabelle7[[#This Row],[Gesamtcode]],Tabelle132[Gesamtcode],0))</f>
        <v>#N/A</v>
      </c>
      <c r="E304" t="e">
        <f>INDEX(Tabelle132[Bezeichnung],MATCH(Tabelle7[[#This Row],[Gesamtcode]],Tabelle132[Gesamtcode],0))</f>
        <v>#N/A</v>
      </c>
      <c r="F304" t="e">
        <f>"_"&amp;INDEX(Tabelle132[Geräte/Gewerke],MATCH(Tabelle7[[#This Row],[Gesamtcode]],Tabelle132[Gesamtcode],0))</f>
        <v>#N/A</v>
      </c>
      <c r="G304" t="e">
        <f>INDEX(Tabelle13[Gewerknr.],MATCH(Tabelle7[[#This Row],[Gewerke]],Tabelle13[Hauptgruppe],0))</f>
        <v>#N/A</v>
      </c>
      <c r="H304" t="s">
        <v>308</v>
      </c>
      <c r="I304" t="e">
        <f ca="1">INDEX(Tabelle134[Funktionsbereichsnr.],MATCH(Tabelle7[[#This Row],[Funktionsbereiche]],INDIRECT("Tabelle134["&amp;Tabelle7[[#This Row],[Gewerke]]&amp;"]"),0))</f>
        <v>#N/A</v>
      </c>
      <c r="J304" t="e">
        <f>Tabelle7[[#This Row],[Gesamtcode]]&amp;"_"&amp;Tabelle7[[#This Row],[Zone]]&amp;"_"&amp;Tabelle7[[#This Row],[Raum]]&amp;"_"&amp;Tabelle7[[#This Row],[Bezeichnung]]</f>
        <v>#N/A</v>
      </c>
      <c r="K304">
        <v>18</v>
      </c>
      <c r="L304" t="e">
        <f>Tabelle7[[#This Row],[Hauptgruppe]]&amp;"/-/-"</f>
        <v>#N/A</v>
      </c>
      <c r="M304" t="e">
        <f ca="1">Tabelle7[[#This Row],[Hauptgruppe]]&amp;"/"&amp;Tabelle7[[#This Row],[Mittelgruppe]]&amp;"/-"</f>
        <v>#N/A</v>
      </c>
      <c r="N304" t="e">
        <f ca="1">Tabelle7[[#This Row],[Hauptgruppe]]&amp;"/"&amp;Tabelle7[[#This Row],[Mittelgruppe]]&amp;"/"&amp;Tabelle7[[#This Row],[Untergruppe]]</f>
        <v>#N/A</v>
      </c>
      <c r="O304" t="e">
        <f>INDEX(Tabelle6[Aktor],MATCH(Tabelle7[[#This Row],[Gesamtcode]],Tabelle6[Gesamtcode],0))&amp;" "&amp;INDEX(Tabelle6[Aktorkanal],MATCH(Tabelle7[[#This Row],[Gesamtcode]],Tabelle6[Gesamtcode],0))</f>
        <v>#N/A</v>
      </c>
    </row>
    <row r="305" spans="2:15" x14ac:dyDescent="0.25">
      <c r="B305" t="s">
        <v>292</v>
      </c>
      <c r="C305" t="e">
        <f>INDEX(Tabelle132[Zone],MATCH(Tabelle7[[#This Row],[Gesamtcode]],Tabelle132[Gesamtcode],0))</f>
        <v>#N/A</v>
      </c>
      <c r="D305" t="e">
        <f>INDEX(Tabelle132[Raum],MATCH(Tabelle7[[#This Row],[Gesamtcode]],Tabelle132[Gesamtcode],0))</f>
        <v>#N/A</v>
      </c>
      <c r="E305" t="e">
        <f>INDEX(Tabelle132[Bezeichnung],MATCH(Tabelle7[[#This Row],[Gesamtcode]],Tabelle132[Gesamtcode],0))</f>
        <v>#N/A</v>
      </c>
      <c r="F305" t="e">
        <f>"_"&amp;INDEX(Tabelle132[Geräte/Gewerke],MATCH(Tabelle7[[#This Row],[Gesamtcode]],Tabelle132[Gesamtcode],0))</f>
        <v>#N/A</v>
      </c>
      <c r="G305" t="e">
        <f>INDEX(Tabelle13[Gewerknr.],MATCH(Tabelle7[[#This Row],[Gewerke]],Tabelle13[Hauptgruppe],0))</f>
        <v>#N/A</v>
      </c>
      <c r="H305" t="s">
        <v>308</v>
      </c>
      <c r="I305" t="e">
        <f ca="1">INDEX(Tabelle134[Funktionsbereichsnr.],MATCH(Tabelle7[[#This Row],[Funktionsbereiche]],INDIRECT("Tabelle134["&amp;Tabelle7[[#This Row],[Gewerke]]&amp;"]"),0))</f>
        <v>#N/A</v>
      </c>
      <c r="J305" t="e">
        <f>Tabelle7[[#This Row],[Gesamtcode]]&amp;"_"&amp;Tabelle7[[#This Row],[Zone]]&amp;"_"&amp;Tabelle7[[#This Row],[Raum]]&amp;"_"&amp;Tabelle7[[#This Row],[Bezeichnung]]</f>
        <v>#N/A</v>
      </c>
      <c r="K305">
        <v>19</v>
      </c>
      <c r="L305" t="e">
        <f>Tabelle7[[#This Row],[Hauptgruppe]]&amp;"/-/-"</f>
        <v>#N/A</v>
      </c>
      <c r="M305" t="e">
        <f ca="1">Tabelle7[[#This Row],[Hauptgruppe]]&amp;"/"&amp;Tabelle7[[#This Row],[Mittelgruppe]]&amp;"/-"</f>
        <v>#N/A</v>
      </c>
      <c r="N305" t="e">
        <f ca="1">Tabelle7[[#This Row],[Hauptgruppe]]&amp;"/"&amp;Tabelle7[[#This Row],[Mittelgruppe]]&amp;"/"&amp;Tabelle7[[#This Row],[Untergruppe]]</f>
        <v>#N/A</v>
      </c>
      <c r="O305" t="e">
        <f>INDEX(Tabelle6[Aktor],MATCH(Tabelle7[[#This Row],[Gesamtcode]],Tabelle6[Gesamtcode],0))&amp;" "&amp;INDEX(Tabelle6[Aktorkanal],MATCH(Tabelle7[[#This Row],[Gesamtcode]],Tabelle6[Gesamtcode],0))</f>
        <v>#N/A</v>
      </c>
    </row>
    <row r="306" spans="2:15" x14ac:dyDescent="0.25">
      <c r="B306" t="s">
        <v>293</v>
      </c>
      <c r="C306" t="e">
        <f>INDEX(Tabelle132[Zone],MATCH(Tabelle7[[#This Row],[Gesamtcode]],Tabelle132[Gesamtcode],0))</f>
        <v>#N/A</v>
      </c>
      <c r="D306" t="e">
        <f>INDEX(Tabelle132[Raum],MATCH(Tabelle7[[#This Row],[Gesamtcode]],Tabelle132[Gesamtcode],0))</f>
        <v>#N/A</v>
      </c>
      <c r="E306" t="e">
        <f>INDEX(Tabelle132[Bezeichnung],MATCH(Tabelle7[[#This Row],[Gesamtcode]],Tabelle132[Gesamtcode],0))</f>
        <v>#N/A</v>
      </c>
      <c r="F306" t="e">
        <f>"_"&amp;INDEX(Tabelle132[Geräte/Gewerke],MATCH(Tabelle7[[#This Row],[Gesamtcode]],Tabelle132[Gesamtcode],0))</f>
        <v>#N/A</v>
      </c>
      <c r="G306" t="e">
        <f>INDEX(Tabelle13[Gewerknr.],MATCH(Tabelle7[[#This Row],[Gewerke]],Tabelle13[Hauptgruppe],0))</f>
        <v>#N/A</v>
      </c>
      <c r="H306" t="s">
        <v>308</v>
      </c>
      <c r="I306" t="e">
        <f ca="1">INDEX(Tabelle134[Funktionsbereichsnr.],MATCH(Tabelle7[[#This Row],[Funktionsbereiche]],INDIRECT("Tabelle134["&amp;Tabelle7[[#This Row],[Gewerke]]&amp;"]"),0))</f>
        <v>#N/A</v>
      </c>
      <c r="J306" t="e">
        <f>Tabelle7[[#This Row],[Gesamtcode]]&amp;"_"&amp;Tabelle7[[#This Row],[Zone]]&amp;"_"&amp;Tabelle7[[#This Row],[Raum]]&amp;"_"&amp;Tabelle7[[#This Row],[Bezeichnung]]</f>
        <v>#N/A</v>
      </c>
      <c r="K306">
        <v>2</v>
      </c>
      <c r="L306" t="e">
        <f>Tabelle7[[#This Row],[Hauptgruppe]]&amp;"/-/-"</f>
        <v>#N/A</v>
      </c>
      <c r="M306" t="e">
        <f ca="1">Tabelle7[[#This Row],[Hauptgruppe]]&amp;"/"&amp;Tabelle7[[#This Row],[Mittelgruppe]]&amp;"/-"</f>
        <v>#N/A</v>
      </c>
      <c r="N306" t="e">
        <f ca="1">Tabelle7[[#This Row],[Hauptgruppe]]&amp;"/"&amp;Tabelle7[[#This Row],[Mittelgruppe]]&amp;"/"&amp;Tabelle7[[#This Row],[Untergruppe]]</f>
        <v>#N/A</v>
      </c>
      <c r="O306" t="e">
        <f>INDEX(Tabelle6[Aktor],MATCH(Tabelle7[[#This Row],[Gesamtcode]],Tabelle6[Gesamtcode],0))&amp;" "&amp;INDEX(Tabelle6[Aktorkanal],MATCH(Tabelle7[[#This Row],[Gesamtcode]],Tabelle6[Gesamtcode],0))</f>
        <v>#N/A</v>
      </c>
    </row>
    <row r="307" spans="2:15" x14ac:dyDescent="0.25">
      <c r="B307" t="s">
        <v>294</v>
      </c>
      <c r="C307" t="e">
        <f>INDEX(Tabelle132[Zone],MATCH(Tabelle7[[#This Row],[Gesamtcode]],Tabelle132[Gesamtcode],0))</f>
        <v>#N/A</v>
      </c>
      <c r="D307" t="e">
        <f>INDEX(Tabelle132[Raum],MATCH(Tabelle7[[#This Row],[Gesamtcode]],Tabelle132[Gesamtcode],0))</f>
        <v>#N/A</v>
      </c>
      <c r="E307" t="e">
        <f>INDEX(Tabelle132[Bezeichnung],MATCH(Tabelle7[[#This Row],[Gesamtcode]],Tabelle132[Gesamtcode],0))</f>
        <v>#N/A</v>
      </c>
      <c r="F307" t="e">
        <f>"_"&amp;INDEX(Tabelle132[Geräte/Gewerke],MATCH(Tabelle7[[#This Row],[Gesamtcode]],Tabelle132[Gesamtcode],0))</f>
        <v>#N/A</v>
      </c>
      <c r="G307" t="e">
        <f>INDEX(Tabelle13[Gewerknr.],MATCH(Tabelle7[[#This Row],[Gewerke]],Tabelle13[Hauptgruppe],0))</f>
        <v>#N/A</v>
      </c>
      <c r="H307" t="s">
        <v>308</v>
      </c>
      <c r="I307" t="e">
        <f ca="1">INDEX(Tabelle134[Funktionsbereichsnr.],MATCH(Tabelle7[[#This Row],[Funktionsbereiche]],INDIRECT("Tabelle134["&amp;Tabelle7[[#This Row],[Gewerke]]&amp;"]"),0))</f>
        <v>#N/A</v>
      </c>
      <c r="J307" t="e">
        <f>Tabelle7[[#This Row],[Gesamtcode]]&amp;"_"&amp;Tabelle7[[#This Row],[Zone]]&amp;"_"&amp;Tabelle7[[#This Row],[Raum]]&amp;"_"&amp;Tabelle7[[#This Row],[Bezeichnung]]</f>
        <v>#N/A</v>
      </c>
      <c r="K307">
        <v>20</v>
      </c>
      <c r="L307" t="e">
        <f>Tabelle7[[#This Row],[Hauptgruppe]]&amp;"/-/-"</f>
        <v>#N/A</v>
      </c>
      <c r="M307" t="e">
        <f ca="1">Tabelle7[[#This Row],[Hauptgruppe]]&amp;"/"&amp;Tabelle7[[#This Row],[Mittelgruppe]]&amp;"/-"</f>
        <v>#N/A</v>
      </c>
      <c r="N307" t="e">
        <f ca="1">Tabelle7[[#This Row],[Hauptgruppe]]&amp;"/"&amp;Tabelle7[[#This Row],[Mittelgruppe]]&amp;"/"&amp;Tabelle7[[#This Row],[Untergruppe]]</f>
        <v>#N/A</v>
      </c>
      <c r="O307" t="e">
        <f>INDEX(Tabelle6[Aktor],MATCH(Tabelle7[[#This Row],[Gesamtcode]],Tabelle6[Gesamtcode],0))&amp;" "&amp;INDEX(Tabelle6[Aktorkanal],MATCH(Tabelle7[[#This Row],[Gesamtcode]],Tabelle6[Gesamtcode],0))</f>
        <v>#N/A</v>
      </c>
    </row>
    <row r="308" spans="2:15" x14ac:dyDescent="0.25">
      <c r="B308" t="s">
        <v>295</v>
      </c>
      <c r="C308" t="e">
        <f>INDEX(Tabelle132[Zone],MATCH(Tabelle7[[#This Row],[Gesamtcode]],Tabelle132[Gesamtcode],0))</f>
        <v>#N/A</v>
      </c>
      <c r="D308" t="e">
        <f>INDEX(Tabelle132[Raum],MATCH(Tabelle7[[#This Row],[Gesamtcode]],Tabelle132[Gesamtcode],0))</f>
        <v>#N/A</v>
      </c>
      <c r="E308" t="e">
        <f>INDEX(Tabelle132[Bezeichnung],MATCH(Tabelle7[[#This Row],[Gesamtcode]],Tabelle132[Gesamtcode],0))</f>
        <v>#N/A</v>
      </c>
      <c r="F308" t="e">
        <f>"_"&amp;INDEX(Tabelle132[Geräte/Gewerke],MATCH(Tabelle7[[#This Row],[Gesamtcode]],Tabelle132[Gesamtcode],0))</f>
        <v>#N/A</v>
      </c>
      <c r="G308" t="e">
        <f>INDEX(Tabelle13[Gewerknr.],MATCH(Tabelle7[[#This Row],[Gewerke]],Tabelle13[Hauptgruppe],0))</f>
        <v>#N/A</v>
      </c>
      <c r="H308" t="s">
        <v>308</v>
      </c>
      <c r="I308" t="e">
        <f ca="1">INDEX(Tabelle134[Funktionsbereichsnr.],MATCH(Tabelle7[[#This Row],[Funktionsbereiche]],INDIRECT("Tabelle134["&amp;Tabelle7[[#This Row],[Gewerke]]&amp;"]"),0))</f>
        <v>#N/A</v>
      </c>
      <c r="J308" t="e">
        <f>Tabelle7[[#This Row],[Gesamtcode]]&amp;"_"&amp;Tabelle7[[#This Row],[Zone]]&amp;"_"&amp;Tabelle7[[#This Row],[Raum]]&amp;"_"&amp;Tabelle7[[#This Row],[Bezeichnung]]</f>
        <v>#N/A</v>
      </c>
      <c r="K308">
        <v>21</v>
      </c>
      <c r="L308" t="e">
        <f>Tabelle7[[#This Row],[Hauptgruppe]]&amp;"/-/-"</f>
        <v>#N/A</v>
      </c>
      <c r="M308" t="e">
        <f ca="1">Tabelle7[[#This Row],[Hauptgruppe]]&amp;"/"&amp;Tabelle7[[#This Row],[Mittelgruppe]]&amp;"/-"</f>
        <v>#N/A</v>
      </c>
      <c r="N308" t="e">
        <f ca="1">Tabelle7[[#This Row],[Hauptgruppe]]&amp;"/"&amp;Tabelle7[[#This Row],[Mittelgruppe]]&amp;"/"&amp;Tabelle7[[#This Row],[Untergruppe]]</f>
        <v>#N/A</v>
      </c>
      <c r="O308" t="e">
        <f>INDEX(Tabelle6[Aktor],MATCH(Tabelle7[[#This Row],[Gesamtcode]],Tabelle6[Gesamtcode],0))&amp;" "&amp;INDEX(Tabelle6[Aktorkanal],MATCH(Tabelle7[[#This Row],[Gesamtcode]],Tabelle6[Gesamtcode],0))</f>
        <v>#N/A</v>
      </c>
    </row>
    <row r="309" spans="2:15" x14ac:dyDescent="0.25">
      <c r="B309" t="s">
        <v>296</v>
      </c>
      <c r="C309" t="e">
        <f>INDEX(Tabelle132[Zone],MATCH(Tabelle7[[#This Row],[Gesamtcode]],Tabelle132[Gesamtcode],0))</f>
        <v>#N/A</v>
      </c>
      <c r="D309" t="e">
        <f>INDEX(Tabelle132[Raum],MATCH(Tabelle7[[#This Row],[Gesamtcode]],Tabelle132[Gesamtcode],0))</f>
        <v>#N/A</v>
      </c>
      <c r="E309" t="e">
        <f>INDEX(Tabelle132[Bezeichnung],MATCH(Tabelle7[[#This Row],[Gesamtcode]],Tabelle132[Gesamtcode],0))</f>
        <v>#N/A</v>
      </c>
      <c r="F309" t="e">
        <f>"_"&amp;INDEX(Tabelle132[Geräte/Gewerke],MATCH(Tabelle7[[#This Row],[Gesamtcode]],Tabelle132[Gesamtcode],0))</f>
        <v>#N/A</v>
      </c>
      <c r="G309" t="e">
        <f>INDEX(Tabelle13[Gewerknr.],MATCH(Tabelle7[[#This Row],[Gewerke]],Tabelle13[Hauptgruppe],0))</f>
        <v>#N/A</v>
      </c>
      <c r="H309" t="s">
        <v>308</v>
      </c>
      <c r="I309" t="e">
        <f ca="1">INDEX(Tabelle134[Funktionsbereichsnr.],MATCH(Tabelle7[[#This Row],[Funktionsbereiche]],INDIRECT("Tabelle134["&amp;Tabelle7[[#This Row],[Gewerke]]&amp;"]"),0))</f>
        <v>#N/A</v>
      </c>
      <c r="J309" t="e">
        <f>Tabelle7[[#This Row],[Gesamtcode]]&amp;"_"&amp;Tabelle7[[#This Row],[Zone]]&amp;"_"&amp;Tabelle7[[#This Row],[Raum]]&amp;"_"&amp;Tabelle7[[#This Row],[Bezeichnung]]</f>
        <v>#N/A</v>
      </c>
      <c r="K309">
        <v>22</v>
      </c>
      <c r="L309" t="e">
        <f>Tabelle7[[#This Row],[Hauptgruppe]]&amp;"/-/-"</f>
        <v>#N/A</v>
      </c>
      <c r="M309" t="e">
        <f ca="1">Tabelle7[[#This Row],[Hauptgruppe]]&amp;"/"&amp;Tabelle7[[#This Row],[Mittelgruppe]]&amp;"/-"</f>
        <v>#N/A</v>
      </c>
      <c r="N309" t="e">
        <f ca="1">Tabelle7[[#This Row],[Hauptgruppe]]&amp;"/"&amp;Tabelle7[[#This Row],[Mittelgruppe]]&amp;"/"&amp;Tabelle7[[#This Row],[Untergruppe]]</f>
        <v>#N/A</v>
      </c>
      <c r="O309" t="e">
        <f>INDEX(Tabelle6[Aktor],MATCH(Tabelle7[[#This Row],[Gesamtcode]],Tabelle6[Gesamtcode],0))&amp;" "&amp;INDEX(Tabelle6[Aktorkanal],MATCH(Tabelle7[[#This Row],[Gesamtcode]],Tabelle6[Gesamtcode],0))</f>
        <v>#N/A</v>
      </c>
    </row>
    <row r="310" spans="2:15" x14ac:dyDescent="0.25">
      <c r="B310" t="s">
        <v>297</v>
      </c>
      <c r="C310" t="e">
        <f>INDEX(Tabelle132[Zone],MATCH(Tabelle7[[#This Row],[Gesamtcode]],Tabelle132[Gesamtcode],0))</f>
        <v>#N/A</v>
      </c>
      <c r="D310" t="e">
        <f>INDEX(Tabelle132[Raum],MATCH(Tabelle7[[#This Row],[Gesamtcode]],Tabelle132[Gesamtcode],0))</f>
        <v>#N/A</v>
      </c>
      <c r="E310" t="e">
        <f>INDEX(Tabelle132[Bezeichnung],MATCH(Tabelle7[[#This Row],[Gesamtcode]],Tabelle132[Gesamtcode],0))</f>
        <v>#N/A</v>
      </c>
      <c r="F310" t="e">
        <f>"_"&amp;INDEX(Tabelle132[Geräte/Gewerke],MATCH(Tabelle7[[#This Row],[Gesamtcode]],Tabelle132[Gesamtcode],0))</f>
        <v>#N/A</v>
      </c>
      <c r="G310" t="e">
        <f>INDEX(Tabelle13[Gewerknr.],MATCH(Tabelle7[[#This Row],[Gewerke]],Tabelle13[Hauptgruppe],0))</f>
        <v>#N/A</v>
      </c>
      <c r="H310" t="s">
        <v>308</v>
      </c>
      <c r="I310" t="e">
        <f ca="1">INDEX(Tabelle134[Funktionsbereichsnr.],MATCH(Tabelle7[[#This Row],[Funktionsbereiche]],INDIRECT("Tabelle134["&amp;Tabelle7[[#This Row],[Gewerke]]&amp;"]"),0))</f>
        <v>#N/A</v>
      </c>
      <c r="J310" t="e">
        <f>Tabelle7[[#This Row],[Gesamtcode]]&amp;"_"&amp;Tabelle7[[#This Row],[Zone]]&amp;"_"&amp;Tabelle7[[#This Row],[Raum]]&amp;"_"&amp;Tabelle7[[#This Row],[Bezeichnung]]</f>
        <v>#N/A</v>
      </c>
      <c r="K310">
        <v>3</v>
      </c>
      <c r="L310" t="e">
        <f>Tabelle7[[#This Row],[Hauptgruppe]]&amp;"/-/-"</f>
        <v>#N/A</v>
      </c>
      <c r="M310" t="e">
        <f ca="1">Tabelle7[[#This Row],[Hauptgruppe]]&amp;"/"&amp;Tabelle7[[#This Row],[Mittelgruppe]]&amp;"/-"</f>
        <v>#N/A</v>
      </c>
      <c r="N310" t="e">
        <f ca="1">Tabelle7[[#This Row],[Hauptgruppe]]&amp;"/"&amp;Tabelle7[[#This Row],[Mittelgruppe]]&amp;"/"&amp;Tabelle7[[#This Row],[Untergruppe]]</f>
        <v>#N/A</v>
      </c>
      <c r="O310" t="e">
        <f>INDEX(Tabelle6[Aktor],MATCH(Tabelle7[[#This Row],[Gesamtcode]],Tabelle6[Gesamtcode],0))&amp;" "&amp;INDEX(Tabelle6[Aktorkanal],MATCH(Tabelle7[[#This Row],[Gesamtcode]],Tabelle6[Gesamtcode],0))</f>
        <v>#N/A</v>
      </c>
    </row>
    <row r="311" spans="2:15" x14ac:dyDescent="0.25">
      <c r="B311" t="s">
        <v>298</v>
      </c>
      <c r="C311" t="e">
        <f>INDEX(Tabelle132[Zone],MATCH(Tabelle7[[#This Row],[Gesamtcode]],Tabelle132[Gesamtcode],0))</f>
        <v>#N/A</v>
      </c>
      <c r="D311" t="e">
        <f>INDEX(Tabelle132[Raum],MATCH(Tabelle7[[#This Row],[Gesamtcode]],Tabelle132[Gesamtcode],0))</f>
        <v>#N/A</v>
      </c>
      <c r="E311" t="e">
        <f>INDEX(Tabelle132[Bezeichnung],MATCH(Tabelle7[[#This Row],[Gesamtcode]],Tabelle132[Gesamtcode],0))</f>
        <v>#N/A</v>
      </c>
      <c r="F311" t="e">
        <f>"_"&amp;INDEX(Tabelle132[Geräte/Gewerke],MATCH(Tabelle7[[#This Row],[Gesamtcode]],Tabelle132[Gesamtcode],0))</f>
        <v>#N/A</v>
      </c>
      <c r="G311" t="e">
        <f>INDEX(Tabelle13[Gewerknr.],MATCH(Tabelle7[[#This Row],[Gewerke]],Tabelle13[Hauptgruppe],0))</f>
        <v>#N/A</v>
      </c>
      <c r="H311" t="s">
        <v>308</v>
      </c>
      <c r="I311" t="e">
        <f ca="1">INDEX(Tabelle134[Funktionsbereichsnr.],MATCH(Tabelle7[[#This Row],[Funktionsbereiche]],INDIRECT("Tabelle134["&amp;Tabelle7[[#This Row],[Gewerke]]&amp;"]"),0))</f>
        <v>#N/A</v>
      </c>
      <c r="J311" t="e">
        <f>Tabelle7[[#This Row],[Gesamtcode]]&amp;"_"&amp;Tabelle7[[#This Row],[Zone]]&amp;"_"&amp;Tabelle7[[#This Row],[Raum]]&amp;"_"&amp;Tabelle7[[#This Row],[Bezeichnung]]</f>
        <v>#N/A</v>
      </c>
      <c r="K311">
        <v>4</v>
      </c>
      <c r="L311" t="e">
        <f>Tabelle7[[#This Row],[Hauptgruppe]]&amp;"/-/-"</f>
        <v>#N/A</v>
      </c>
      <c r="M311" t="e">
        <f ca="1">Tabelle7[[#This Row],[Hauptgruppe]]&amp;"/"&amp;Tabelle7[[#This Row],[Mittelgruppe]]&amp;"/-"</f>
        <v>#N/A</v>
      </c>
      <c r="N311" t="e">
        <f ca="1">Tabelle7[[#This Row],[Hauptgruppe]]&amp;"/"&amp;Tabelle7[[#This Row],[Mittelgruppe]]&amp;"/"&amp;Tabelle7[[#This Row],[Untergruppe]]</f>
        <v>#N/A</v>
      </c>
      <c r="O311" t="e">
        <f>INDEX(Tabelle6[Aktor],MATCH(Tabelle7[[#This Row],[Gesamtcode]],Tabelle6[Gesamtcode],0))&amp;" "&amp;INDEX(Tabelle6[Aktorkanal],MATCH(Tabelle7[[#This Row],[Gesamtcode]],Tabelle6[Gesamtcode],0))</f>
        <v>#N/A</v>
      </c>
    </row>
    <row r="312" spans="2:15" x14ac:dyDescent="0.25">
      <c r="B312" t="s">
        <v>299</v>
      </c>
      <c r="C312" t="e">
        <f>INDEX(Tabelle132[Zone],MATCH(Tabelle7[[#This Row],[Gesamtcode]],Tabelle132[Gesamtcode],0))</f>
        <v>#N/A</v>
      </c>
      <c r="D312" t="e">
        <f>INDEX(Tabelle132[Raum],MATCH(Tabelle7[[#This Row],[Gesamtcode]],Tabelle132[Gesamtcode],0))</f>
        <v>#N/A</v>
      </c>
      <c r="E312" t="e">
        <f>INDEX(Tabelle132[Bezeichnung],MATCH(Tabelle7[[#This Row],[Gesamtcode]],Tabelle132[Gesamtcode],0))</f>
        <v>#N/A</v>
      </c>
      <c r="F312" t="e">
        <f>"_"&amp;INDEX(Tabelle132[Geräte/Gewerke],MATCH(Tabelle7[[#This Row],[Gesamtcode]],Tabelle132[Gesamtcode],0))</f>
        <v>#N/A</v>
      </c>
      <c r="G312" t="e">
        <f>INDEX(Tabelle13[Gewerknr.],MATCH(Tabelle7[[#This Row],[Gewerke]],Tabelle13[Hauptgruppe],0))</f>
        <v>#N/A</v>
      </c>
      <c r="H312" t="s">
        <v>308</v>
      </c>
      <c r="I312" t="e">
        <f ca="1">INDEX(Tabelle134[Funktionsbereichsnr.],MATCH(Tabelle7[[#This Row],[Funktionsbereiche]],INDIRECT("Tabelle134["&amp;Tabelle7[[#This Row],[Gewerke]]&amp;"]"),0))</f>
        <v>#N/A</v>
      </c>
      <c r="J312" t="e">
        <f>Tabelle7[[#This Row],[Gesamtcode]]&amp;"_"&amp;Tabelle7[[#This Row],[Zone]]&amp;"_"&amp;Tabelle7[[#This Row],[Raum]]&amp;"_"&amp;Tabelle7[[#This Row],[Bezeichnung]]</f>
        <v>#N/A</v>
      </c>
      <c r="K312">
        <v>5</v>
      </c>
      <c r="L312" t="e">
        <f>Tabelle7[[#This Row],[Hauptgruppe]]&amp;"/-/-"</f>
        <v>#N/A</v>
      </c>
      <c r="M312" t="e">
        <f ca="1">Tabelle7[[#This Row],[Hauptgruppe]]&amp;"/"&amp;Tabelle7[[#This Row],[Mittelgruppe]]&amp;"/-"</f>
        <v>#N/A</v>
      </c>
      <c r="N312" t="e">
        <f ca="1">Tabelle7[[#This Row],[Hauptgruppe]]&amp;"/"&amp;Tabelle7[[#This Row],[Mittelgruppe]]&amp;"/"&amp;Tabelle7[[#This Row],[Untergruppe]]</f>
        <v>#N/A</v>
      </c>
      <c r="O312" t="e">
        <f>INDEX(Tabelle6[Aktor],MATCH(Tabelle7[[#This Row],[Gesamtcode]],Tabelle6[Gesamtcode],0))&amp;" "&amp;INDEX(Tabelle6[Aktorkanal],MATCH(Tabelle7[[#This Row],[Gesamtcode]],Tabelle6[Gesamtcode],0))</f>
        <v>#N/A</v>
      </c>
    </row>
    <row r="313" spans="2:15" x14ac:dyDescent="0.25">
      <c r="B313" t="s">
        <v>300</v>
      </c>
      <c r="C313" t="e">
        <f>INDEX(Tabelle132[Zone],MATCH(Tabelle7[[#This Row],[Gesamtcode]],Tabelle132[Gesamtcode],0))</f>
        <v>#N/A</v>
      </c>
      <c r="D313" t="e">
        <f>INDEX(Tabelle132[Raum],MATCH(Tabelle7[[#This Row],[Gesamtcode]],Tabelle132[Gesamtcode],0))</f>
        <v>#N/A</v>
      </c>
      <c r="E313" t="e">
        <f>INDEX(Tabelle132[Bezeichnung],MATCH(Tabelle7[[#This Row],[Gesamtcode]],Tabelle132[Gesamtcode],0))</f>
        <v>#N/A</v>
      </c>
      <c r="F313" t="e">
        <f>"_"&amp;INDEX(Tabelle132[Geräte/Gewerke],MATCH(Tabelle7[[#This Row],[Gesamtcode]],Tabelle132[Gesamtcode],0))</f>
        <v>#N/A</v>
      </c>
      <c r="G313" t="e">
        <f>INDEX(Tabelle13[Gewerknr.],MATCH(Tabelle7[[#This Row],[Gewerke]],Tabelle13[Hauptgruppe],0))</f>
        <v>#N/A</v>
      </c>
      <c r="H313" t="s">
        <v>308</v>
      </c>
      <c r="I313" t="e">
        <f ca="1">INDEX(Tabelle134[Funktionsbereichsnr.],MATCH(Tabelle7[[#This Row],[Funktionsbereiche]],INDIRECT("Tabelle134["&amp;Tabelle7[[#This Row],[Gewerke]]&amp;"]"),0))</f>
        <v>#N/A</v>
      </c>
      <c r="J313" t="e">
        <f>Tabelle7[[#This Row],[Gesamtcode]]&amp;"_"&amp;Tabelle7[[#This Row],[Zone]]&amp;"_"&amp;Tabelle7[[#This Row],[Raum]]&amp;"_"&amp;Tabelle7[[#This Row],[Bezeichnung]]</f>
        <v>#N/A</v>
      </c>
      <c r="K313">
        <v>6</v>
      </c>
      <c r="L313" t="e">
        <f>Tabelle7[[#This Row],[Hauptgruppe]]&amp;"/-/-"</f>
        <v>#N/A</v>
      </c>
      <c r="M313" t="e">
        <f ca="1">Tabelle7[[#This Row],[Hauptgruppe]]&amp;"/"&amp;Tabelle7[[#This Row],[Mittelgruppe]]&amp;"/-"</f>
        <v>#N/A</v>
      </c>
      <c r="N313" t="e">
        <f ca="1">Tabelle7[[#This Row],[Hauptgruppe]]&amp;"/"&amp;Tabelle7[[#This Row],[Mittelgruppe]]&amp;"/"&amp;Tabelle7[[#This Row],[Untergruppe]]</f>
        <v>#N/A</v>
      </c>
      <c r="O313" t="e">
        <f>INDEX(Tabelle6[Aktor],MATCH(Tabelle7[[#This Row],[Gesamtcode]],Tabelle6[Gesamtcode],0))&amp;" "&amp;INDEX(Tabelle6[Aktorkanal],MATCH(Tabelle7[[#This Row],[Gesamtcode]],Tabelle6[Gesamtcode],0))</f>
        <v>#N/A</v>
      </c>
    </row>
    <row r="314" spans="2:15" x14ac:dyDescent="0.25">
      <c r="B314" t="s">
        <v>301</v>
      </c>
      <c r="C314" t="e">
        <f>INDEX(Tabelle132[Zone],MATCH(Tabelle7[[#This Row],[Gesamtcode]],Tabelle132[Gesamtcode],0))</f>
        <v>#N/A</v>
      </c>
      <c r="D314" t="e">
        <f>INDEX(Tabelle132[Raum],MATCH(Tabelle7[[#This Row],[Gesamtcode]],Tabelle132[Gesamtcode],0))</f>
        <v>#N/A</v>
      </c>
      <c r="E314" t="e">
        <f>INDEX(Tabelle132[Bezeichnung],MATCH(Tabelle7[[#This Row],[Gesamtcode]],Tabelle132[Gesamtcode],0))</f>
        <v>#N/A</v>
      </c>
      <c r="F314" t="e">
        <f>"_"&amp;INDEX(Tabelle132[Geräte/Gewerke],MATCH(Tabelle7[[#This Row],[Gesamtcode]],Tabelle132[Gesamtcode],0))</f>
        <v>#N/A</v>
      </c>
      <c r="G314" t="e">
        <f>INDEX(Tabelle13[Gewerknr.],MATCH(Tabelle7[[#This Row],[Gewerke]],Tabelle13[Hauptgruppe],0))</f>
        <v>#N/A</v>
      </c>
      <c r="H314" t="s">
        <v>308</v>
      </c>
      <c r="I314" t="e">
        <f ca="1">INDEX(Tabelle134[Funktionsbereichsnr.],MATCH(Tabelle7[[#This Row],[Funktionsbereiche]],INDIRECT("Tabelle134["&amp;Tabelle7[[#This Row],[Gewerke]]&amp;"]"),0))</f>
        <v>#N/A</v>
      </c>
      <c r="J314" t="e">
        <f>Tabelle7[[#This Row],[Gesamtcode]]&amp;"_"&amp;Tabelle7[[#This Row],[Zone]]&amp;"_"&amp;Tabelle7[[#This Row],[Raum]]&amp;"_"&amp;Tabelle7[[#This Row],[Bezeichnung]]</f>
        <v>#N/A</v>
      </c>
      <c r="K314">
        <v>7</v>
      </c>
      <c r="L314" t="e">
        <f>Tabelle7[[#This Row],[Hauptgruppe]]&amp;"/-/-"</f>
        <v>#N/A</v>
      </c>
      <c r="M314" t="e">
        <f ca="1">Tabelle7[[#This Row],[Hauptgruppe]]&amp;"/"&amp;Tabelle7[[#This Row],[Mittelgruppe]]&amp;"/-"</f>
        <v>#N/A</v>
      </c>
      <c r="N314" t="e">
        <f ca="1">Tabelle7[[#This Row],[Hauptgruppe]]&amp;"/"&amp;Tabelle7[[#This Row],[Mittelgruppe]]&amp;"/"&amp;Tabelle7[[#This Row],[Untergruppe]]</f>
        <v>#N/A</v>
      </c>
      <c r="O314" t="e">
        <f>INDEX(Tabelle6[Aktor],MATCH(Tabelle7[[#This Row],[Gesamtcode]],Tabelle6[Gesamtcode],0))&amp;" "&amp;INDEX(Tabelle6[Aktorkanal],MATCH(Tabelle7[[#This Row],[Gesamtcode]],Tabelle6[Gesamtcode],0))</f>
        <v>#N/A</v>
      </c>
    </row>
    <row r="315" spans="2:15" x14ac:dyDescent="0.25">
      <c r="B315" t="s">
        <v>302</v>
      </c>
      <c r="C315" t="e">
        <f>INDEX(Tabelle132[Zone],MATCH(Tabelle7[[#This Row],[Gesamtcode]],Tabelle132[Gesamtcode],0))</f>
        <v>#N/A</v>
      </c>
      <c r="D315" t="e">
        <f>INDEX(Tabelle132[Raum],MATCH(Tabelle7[[#This Row],[Gesamtcode]],Tabelle132[Gesamtcode],0))</f>
        <v>#N/A</v>
      </c>
      <c r="E315" t="e">
        <f>INDEX(Tabelle132[Bezeichnung],MATCH(Tabelle7[[#This Row],[Gesamtcode]],Tabelle132[Gesamtcode],0))</f>
        <v>#N/A</v>
      </c>
      <c r="F315" t="e">
        <f>"_"&amp;INDEX(Tabelle132[Geräte/Gewerke],MATCH(Tabelle7[[#This Row],[Gesamtcode]],Tabelle132[Gesamtcode],0))</f>
        <v>#N/A</v>
      </c>
      <c r="G315" t="e">
        <f>INDEX(Tabelle13[Gewerknr.],MATCH(Tabelle7[[#This Row],[Gewerke]],Tabelle13[Hauptgruppe],0))</f>
        <v>#N/A</v>
      </c>
      <c r="H315" t="s">
        <v>308</v>
      </c>
      <c r="I315" t="e">
        <f ca="1">INDEX(Tabelle134[Funktionsbereichsnr.],MATCH(Tabelle7[[#This Row],[Funktionsbereiche]],INDIRECT("Tabelle134["&amp;Tabelle7[[#This Row],[Gewerke]]&amp;"]"),0))</f>
        <v>#N/A</v>
      </c>
      <c r="J315" t="e">
        <f>Tabelle7[[#This Row],[Gesamtcode]]&amp;"_"&amp;Tabelle7[[#This Row],[Zone]]&amp;"_"&amp;Tabelle7[[#This Row],[Raum]]&amp;"_"&amp;Tabelle7[[#This Row],[Bezeichnung]]</f>
        <v>#N/A</v>
      </c>
      <c r="K315">
        <v>8</v>
      </c>
      <c r="L315" t="e">
        <f>Tabelle7[[#This Row],[Hauptgruppe]]&amp;"/-/-"</f>
        <v>#N/A</v>
      </c>
      <c r="M315" t="e">
        <f ca="1">Tabelle7[[#This Row],[Hauptgruppe]]&amp;"/"&amp;Tabelle7[[#This Row],[Mittelgruppe]]&amp;"/-"</f>
        <v>#N/A</v>
      </c>
      <c r="N315" t="e">
        <f ca="1">Tabelle7[[#This Row],[Hauptgruppe]]&amp;"/"&amp;Tabelle7[[#This Row],[Mittelgruppe]]&amp;"/"&amp;Tabelle7[[#This Row],[Untergruppe]]</f>
        <v>#N/A</v>
      </c>
      <c r="O315" t="e">
        <f>INDEX(Tabelle6[Aktor],MATCH(Tabelle7[[#This Row],[Gesamtcode]],Tabelle6[Gesamtcode],0))&amp;" "&amp;INDEX(Tabelle6[Aktorkanal],MATCH(Tabelle7[[#This Row],[Gesamtcode]],Tabelle6[Gesamtcode],0))</f>
        <v>#N/A</v>
      </c>
    </row>
    <row r="316" spans="2:15" x14ac:dyDescent="0.25">
      <c r="B316" t="s">
        <v>303</v>
      </c>
      <c r="C316" t="e">
        <f>INDEX(Tabelle132[Zone],MATCH(Tabelle7[[#This Row],[Gesamtcode]],Tabelle132[Gesamtcode],0))</f>
        <v>#N/A</v>
      </c>
      <c r="D316" t="e">
        <f>INDEX(Tabelle132[Raum],MATCH(Tabelle7[[#This Row],[Gesamtcode]],Tabelle132[Gesamtcode],0))</f>
        <v>#N/A</v>
      </c>
      <c r="E316" t="e">
        <f>INDEX(Tabelle132[Bezeichnung],MATCH(Tabelle7[[#This Row],[Gesamtcode]],Tabelle132[Gesamtcode],0))</f>
        <v>#N/A</v>
      </c>
      <c r="F316" t="e">
        <f>"_"&amp;INDEX(Tabelle132[Geräte/Gewerke],MATCH(Tabelle7[[#This Row],[Gesamtcode]],Tabelle132[Gesamtcode],0))</f>
        <v>#N/A</v>
      </c>
      <c r="G316" t="e">
        <f>INDEX(Tabelle13[Gewerknr.],MATCH(Tabelle7[[#This Row],[Gewerke]],Tabelle13[Hauptgruppe],0))</f>
        <v>#N/A</v>
      </c>
      <c r="H316" t="s">
        <v>308</v>
      </c>
      <c r="I316" t="e">
        <f ca="1">INDEX(Tabelle134[Funktionsbereichsnr.],MATCH(Tabelle7[[#This Row],[Funktionsbereiche]],INDIRECT("Tabelle134["&amp;Tabelle7[[#This Row],[Gewerke]]&amp;"]"),0))</f>
        <v>#N/A</v>
      </c>
      <c r="J316" t="e">
        <f>Tabelle7[[#This Row],[Gesamtcode]]&amp;"_"&amp;Tabelle7[[#This Row],[Zone]]&amp;"_"&amp;Tabelle7[[#This Row],[Raum]]&amp;"_"&amp;Tabelle7[[#This Row],[Bezeichnung]]</f>
        <v>#N/A</v>
      </c>
      <c r="K316">
        <v>9</v>
      </c>
      <c r="L316" t="e">
        <f>Tabelle7[[#This Row],[Hauptgruppe]]&amp;"/-/-"</f>
        <v>#N/A</v>
      </c>
      <c r="M316" t="e">
        <f ca="1">Tabelle7[[#This Row],[Hauptgruppe]]&amp;"/"&amp;Tabelle7[[#This Row],[Mittelgruppe]]&amp;"/-"</f>
        <v>#N/A</v>
      </c>
      <c r="N316" t="e">
        <f ca="1">Tabelle7[[#This Row],[Hauptgruppe]]&amp;"/"&amp;Tabelle7[[#This Row],[Mittelgruppe]]&amp;"/"&amp;Tabelle7[[#This Row],[Untergruppe]]</f>
        <v>#N/A</v>
      </c>
      <c r="O316" t="e">
        <f>INDEX(Tabelle6[Aktor],MATCH(Tabelle7[[#This Row],[Gesamtcode]],Tabelle6[Gesamtcode],0))&amp;" "&amp;INDEX(Tabelle6[Aktorkanal],MATCH(Tabelle7[[#This Row],[Gesamtcode]],Tabelle6[Gesamtcode],0))</f>
        <v>#N/A</v>
      </c>
    </row>
    <row r="317" spans="2:15" x14ac:dyDescent="0.25">
      <c r="B317" t="s">
        <v>281</v>
      </c>
      <c r="C317" t="e">
        <f>INDEX(Tabelle132[Zone],MATCH(Tabelle7[[#This Row],[Gesamtcode]],Tabelle132[Gesamtcode],0))</f>
        <v>#N/A</v>
      </c>
      <c r="D317" t="e">
        <f>INDEX(Tabelle132[Raum],MATCH(Tabelle7[[#This Row],[Gesamtcode]],Tabelle132[Gesamtcode],0))</f>
        <v>#N/A</v>
      </c>
      <c r="E317" t="e">
        <f>INDEX(Tabelle132[Bezeichnung],MATCH(Tabelle7[[#This Row],[Gesamtcode]],Tabelle132[Gesamtcode],0))</f>
        <v>#N/A</v>
      </c>
      <c r="F317" t="e">
        <f>"_"&amp;INDEX(Tabelle132[Geräte/Gewerke],MATCH(Tabelle7[[#This Row],[Gesamtcode]],Tabelle132[Gesamtcode],0))</f>
        <v>#N/A</v>
      </c>
      <c r="G317" t="e">
        <f>INDEX(Tabelle13[Gewerknr.],MATCH(Tabelle7[[#This Row],[Gewerke]],Tabelle13[Hauptgruppe],0))</f>
        <v>#N/A</v>
      </c>
      <c r="H317" t="s">
        <v>280</v>
      </c>
      <c r="I317" t="e">
        <f ca="1">INDEX(Tabelle134[Funktionsbereichsnr.],MATCH(Tabelle7[[#This Row],[Funktionsbereiche]],INDIRECT("Tabelle134["&amp;Tabelle7[[#This Row],[Gewerke]]&amp;"]"),0))</f>
        <v>#N/A</v>
      </c>
      <c r="J317" t="e">
        <f>Tabelle7[[#This Row],[Gesamtcode]]&amp;"_"&amp;Tabelle7[[#This Row],[Zone]]&amp;"_"&amp;Tabelle7[[#This Row],[Raum]]&amp;"_"&amp;Tabelle7[[#This Row],[Bezeichnung]]</f>
        <v>#N/A</v>
      </c>
      <c r="K317">
        <v>0</v>
      </c>
      <c r="L317" t="e">
        <f>Tabelle7[[#This Row],[Hauptgruppe]]&amp;"/-/-"</f>
        <v>#N/A</v>
      </c>
      <c r="M317" t="e">
        <f ca="1">Tabelle7[[#This Row],[Hauptgruppe]]&amp;"/"&amp;Tabelle7[[#This Row],[Mittelgruppe]]&amp;"/-"</f>
        <v>#N/A</v>
      </c>
      <c r="N317" t="e">
        <f ca="1">Tabelle7[[#This Row],[Hauptgruppe]]&amp;"/"&amp;Tabelle7[[#This Row],[Mittelgruppe]]&amp;"/"&amp;Tabelle7[[#This Row],[Untergruppe]]</f>
        <v>#N/A</v>
      </c>
      <c r="O317" t="e">
        <f>INDEX(Tabelle6[Aktor],MATCH(Tabelle7[[#This Row],[Gesamtcode]],Tabelle6[Gesamtcode],0))&amp;" "&amp;INDEX(Tabelle6[Aktorkanal],MATCH(Tabelle7[[#This Row],[Gesamtcode]],Tabelle6[Gesamtcode],0))</f>
        <v>#N/A</v>
      </c>
    </row>
    <row r="318" spans="2:15" x14ac:dyDescent="0.25">
      <c r="B318" t="s">
        <v>282</v>
      </c>
      <c r="C318" t="e">
        <f>INDEX(Tabelle132[Zone],MATCH(Tabelle7[[#This Row],[Gesamtcode]],Tabelle132[Gesamtcode],0))</f>
        <v>#N/A</v>
      </c>
      <c r="D318" t="e">
        <f>INDEX(Tabelle132[Raum],MATCH(Tabelle7[[#This Row],[Gesamtcode]],Tabelle132[Gesamtcode],0))</f>
        <v>#N/A</v>
      </c>
      <c r="E318" t="e">
        <f>INDEX(Tabelle132[Bezeichnung],MATCH(Tabelle7[[#This Row],[Gesamtcode]],Tabelle132[Gesamtcode],0))</f>
        <v>#N/A</v>
      </c>
      <c r="F318" t="e">
        <f>"_"&amp;INDEX(Tabelle132[Geräte/Gewerke],MATCH(Tabelle7[[#This Row],[Gesamtcode]],Tabelle132[Gesamtcode],0))</f>
        <v>#N/A</v>
      </c>
      <c r="G318" t="e">
        <f>INDEX(Tabelle13[Gewerknr.],MATCH(Tabelle7[[#This Row],[Gewerke]],Tabelle13[Hauptgruppe],0))</f>
        <v>#N/A</v>
      </c>
      <c r="H318" t="s">
        <v>280</v>
      </c>
      <c r="I318" t="e">
        <f ca="1">INDEX(Tabelle134[Funktionsbereichsnr.],MATCH(Tabelle7[[#This Row],[Funktionsbereiche]],INDIRECT("Tabelle134["&amp;Tabelle7[[#This Row],[Gewerke]]&amp;"]"),0))</f>
        <v>#N/A</v>
      </c>
      <c r="J318" t="e">
        <f>Tabelle7[[#This Row],[Gesamtcode]]&amp;"_"&amp;Tabelle7[[#This Row],[Zone]]&amp;"_"&amp;Tabelle7[[#This Row],[Raum]]&amp;"_"&amp;Tabelle7[[#This Row],[Bezeichnung]]</f>
        <v>#N/A</v>
      </c>
      <c r="K318">
        <v>1</v>
      </c>
      <c r="L318" t="e">
        <f>Tabelle7[[#This Row],[Hauptgruppe]]&amp;"/-/-"</f>
        <v>#N/A</v>
      </c>
      <c r="M318" t="e">
        <f ca="1">Tabelle7[[#This Row],[Hauptgruppe]]&amp;"/"&amp;Tabelle7[[#This Row],[Mittelgruppe]]&amp;"/-"</f>
        <v>#N/A</v>
      </c>
      <c r="N318" t="e">
        <f ca="1">Tabelle7[[#This Row],[Hauptgruppe]]&amp;"/"&amp;Tabelle7[[#This Row],[Mittelgruppe]]&amp;"/"&amp;Tabelle7[[#This Row],[Untergruppe]]</f>
        <v>#N/A</v>
      </c>
      <c r="O318" t="e">
        <f>INDEX(Tabelle6[Aktor],MATCH(Tabelle7[[#This Row],[Gesamtcode]],Tabelle6[Gesamtcode],0))&amp;" "&amp;INDEX(Tabelle6[Aktorkanal],MATCH(Tabelle7[[#This Row],[Gesamtcode]],Tabelle6[Gesamtcode],0))</f>
        <v>#N/A</v>
      </c>
    </row>
    <row r="319" spans="2:15" x14ac:dyDescent="0.25">
      <c r="B319" t="s">
        <v>283</v>
      </c>
      <c r="C319" t="e">
        <f>INDEX(Tabelle132[Zone],MATCH(Tabelle7[[#This Row],[Gesamtcode]],Tabelle132[Gesamtcode],0))</f>
        <v>#N/A</v>
      </c>
      <c r="D319" t="e">
        <f>INDEX(Tabelle132[Raum],MATCH(Tabelle7[[#This Row],[Gesamtcode]],Tabelle132[Gesamtcode],0))</f>
        <v>#N/A</v>
      </c>
      <c r="E319" t="e">
        <f>INDEX(Tabelle132[Bezeichnung],MATCH(Tabelle7[[#This Row],[Gesamtcode]],Tabelle132[Gesamtcode],0))</f>
        <v>#N/A</v>
      </c>
      <c r="F319" t="e">
        <f>"_"&amp;INDEX(Tabelle132[Geräte/Gewerke],MATCH(Tabelle7[[#This Row],[Gesamtcode]],Tabelle132[Gesamtcode],0))</f>
        <v>#N/A</v>
      </c>
      <c r="G319" t="e">
        <f>INDEX(Tabelle13[Gewerknr.],MATCH(Tabelle7[[#This Row],[Gewerke]],Tabelle13[Hauptgruppe],0))</f>
        <v>#N/A</v>
      </c>
      <c r="H319" t="s">
        <v>280</v>
      </c>
      <c r="I319" t="e">
        <f ca="1">INDEX(Tabelle134[Funktionsbereichsnr.],MATCH(Tabelle7[[#This Row],[Funktionsbereiche]],INDIRECT("Tabelle134["&amp;Tabelle7[[#This Row],[Gewerke]]&amp;"]"),0))</f>
        <v>#N/A</v>
      </c>
      <c r="J319" t="e">
        <f>Tabelle7[[#This Row],[Gesamtcode]]&amp;"_"&amp;Tabelle7[[#This Row],[Zone]]&amp;"_"&amp;Tabelle7[[#This Row],[Raum]]&amp;"_"&amp;Tabelle7[[#This Row],[Bezeichnung]]</f>
        <v>#N/A</v>
      </c>
      <c r="K319">
        <v>10</v>
      </c>
      <c r="L319" t="e">
        <f>Tabelle7[[#This Row],[Hauptgruppe]]&amp;"/-/-"</f>
        <v>#N/A</v>
      </c>
      <c r="M319" t="e">
        <f ca="1">Tabelle7[[#This Row],[Hauptgruppe]]&amp;"/"&amp;Tabelle7[[#This Row],[Mittelgruppe]]&amp;"/-"</f>
        <v>#N/A</v>
      </c>
      <c r="N319" t="e">
        <f ca="1">Tabelle7[[#This Row],[Hauptgruppe]]&amp;"/"&amp;Tabelle7[[#This Row],[Mittelgruppe]]&amp;"/"&amp;Tabelle7[[#This Row],[Untergruppe]]</f>
        <v>#N/A</v>
      </c>
      <c r="O319" t="e">
        <f>INDEX(Tabelle6[Aktor],MATCH(Tabelle7[[#This Row],[Gesamtcode]],Tabelle6[Gesamtcode],0))&amp;" "&amp;INDEX(Tabelle6[Aktorkanal],MATCH(Tabelle7[[#This Row],[Gesamtcode]],Tabelle6[Gesamtcode],0))</f>
        <v>#N/A</v>
      </c>
    </row>
    <row r="320" spans="2:15" x14ac:dyDescent="0.25">
      <c r="B320" t="s">
        <v>284</v>
      </c>
      <c r="C320" t="e">
        <f>INDEX(Tabelle132[Zone],MATCH(Tabelle7[[#This Row],[Gesamtcode]],Tabelle132[Gesamtcode],0))</f>
        <v>#N/A</v>
      </c>
      <c r="D320" t="e">
        <f>INDEX(Tabelle132[Raum],MATCH(Tabelle7[[#This Row],[Gesamtcode]],Tabelle132[Gesamtcode],0))</f>
        <v>#N/A</v>
      </c>
      <c r="E320" t="e">
        <f>INDEX(Tabelle132[Bezeichnung],MATCH(Tabelle7[[#This Row],[Gesamtcode]],Tabelle132[Gesamtcode],0))</f>
        <v>#N/A</v>
      </c>
      <c r="F320" t="e">
        <f>"_"&amp;INDEX(Tabelle132[Geräte/Gewerke],MATCH(Tabelle7[[#This Row],[Gesamtcode]],Tabelle132[Gesamtcode],0))</f>
        <v>#N/A</v>
      </c>
      <c r="G320" t="e">
        <f>INDEX(Tabelle13[Gewerknr.],MATCH(Tabelle7[[#This Row],[Gewerke]],Tabelle13[Hauptgruppe],0))</f>
        <v>#N/A</v>
      </c>
      <c r="H320" t="s">
        <v>280</v>
      </c>
      <c r="I320" t="e">
        <f ca="1">INDEX(Tabelle134[Funktionsbereichsnr.],MATCH(Tabelle7[[#This Row],[Funktionsbereiche]],INDIRECT("Tabelle134["&amp;Tabelle7[[#This Row],[Gewerke]]&amp;"]"),0))</f>
        <v>#N/A</v>
      </c>
      <c r="J320" t="e">
        <f>Tabelle7[[#This Row],[Gesamtcode]]&amp;"_"&amp;Tabelle7[[#This Row],[Zone]]&amp;"_"&amp;Tabelle7[[#This Row],[Raum]]&amp;"_"&amp;Tabelle7[[#This Row],[Bezeichnung]]</f>
        <v>#N/A</v>
      </c>
      <c r="K320">
        <v>11</v>
      </c>
      <c r="L320" t="e">
        <f>Tabelle7[[#This Row],[Hauptgruppe]]&amp;"/-/-"</f>
        <v>#N/A</v>
      </c>
      <c r="M320" t="e">
        <f ca="1">Tabelle7[[#This Row],[Hauptgruppe]]&amp;"/"&amp;Tabelle7[[#This Row],[Mittelgruppe]]&amp;"/-"</f>
        <v>#N/A</v>
      </c>
      <c r="N320" t="e">
        <f ca="1">Tabelle7[[#This Row],[Hauptgruppe]]&amp;"/"&amp;Tabelle7[[#This Row],[Mittelgruppe]]&amp;"/"&amp;Tabelle7[[#This Row],[Untergruppe]]</f>
        <v>#N/A</v>
      </c>
      <c r="O320" t="e">
        <f>INDEX(Tabelle6[Aktor],MATCH(Tabelle7[[#This Row],[Gesamtcode]],Tabelle6[Gesamtcode],0))&amp;" "&amp;INDEX(Tabelle6[Aktorkanal],MATCH(Tabelle7[[#This Row],[Gesamtcode]],Tabelle6[Gesamtcode],0))</f>
        <v>#N/A</v>
      </c>
    </row>
    <row r="321" spans="2:15" x14ac:dyDescent="0.25">
      <c r="B321" t="s">
        <v>309</v>
      </c>
      <c r="C321" t="e">
        <f>INDEX(Tabelle132[Zone],MATCH(Tabelle7[[#This Row],[Gesamtcode]],Tabelle132[Gesamtcode],0))</f>
        <v>#N/A</v>
      </c>
      <c r="D321" t="e">
        <f>INDEX(Tabelle132[Raum],MATCH(Tabelle7[[#This Row],[Gesamtcode]],Tabelle132[Gesamtcode],0))</f>
        <v>#N/A</v>
      </c>
      <c r="E321" t="e">
        <f>INDEX(Tabelle132[Bezeichnung],MATCH(Tabelle7[[#This Row],[Gesamtcode]],Tabelle132[Gesamtcode],0))</f>
        <v>#N/A</v>
      </c>
      <c r="F321" t="e">
        <f>"_"&amp;INDEX(Tabelle132[Geräte/Gewerke],MATCH(Tabelle7[[#This Row],[Gesamtcode]],Tabelle132[Gesamtcode],0))</f>
        <v>#N/A</v>
      </c>
      <c r="G321" t="e">
        <f>INDEX(Tabelle13[Gewerknr.],MATCH(Tabelle7[[#This Row],[Gewerke]],Tabelle13[Hauptgruppe],0))</f>
        <v>#N/A</v>
      </c>
      <c r="H321" t="s">
        <v>308</v>
      </c>
      <c r="I321" t="e">
        <f ca="1">INDEX(Tabelle134[Funktionsbereichsnr.],MATCH(Tabelle7[[#This Row],[Funktionsbereiche]],INDIRECT("Tabelle134["&amp;Tabelle7[[#This Row],[Gewerke]]&amp;"]"),0))</f>
        <v>#N/A</v>
      </c>
      <c r="J321" t="e">
        <f>Tabelle7[[#This Row],[Gesamtcode]]&amp;"_"&amp;Tabelle7[[#This Row],[Zone]]&amp;"_"&amp;Tabelle7[[#This Row],[Raum]]&amp;"_"&amp;Tabelle7[[#This Row],[Bezeichnung]]</f>
        <v>#N/A</v>
      </c>
      <c r="K321">
        <v>13</v>
      </c>
      <c r="L321" t="e">
        <f>Tabelle7[[#This Row],[Hauptgruppe]]&amp;"/-/-"</f>
        <v>#N/A</v>
      </c>
      <c r="M321" t="e">
        <f ca="1">Tabelle7[[#This Row],[Hauptgruppe]]&amp;"/"&amp;Tabelle7[[#This Row],[Mittelgruppe]]&amp;"/-"</f>
        <v>#N/A</v>
      </c>
      <c r="N321" t="e">
        <f ca="1">Tabelle7[[#This Row],[Hauptgruppe]]&amp;"/"&amp;Tabelle7[[#This Row],[Mittelgruppe]]&amp;"/"&amp;Tabelle7[[#This Row],[Untergruppe]]</f>
        <v>#N/A</v>
      </c>
      <c r="O321" t="e">
        <f>INDEX(Tabelle6[Aktor],MATCH(Tabelle7[[#This Row],[Gesamtcode]],Tabelle6[Gesamtcode],0))&amp;" "&amp;INDEX(Tabelle6[Aktorkanal],MATCH(Tabelle7[[#This Row],[Gesamtcode]],Tabelle6[Gesamtcode],0))</f>
        <v>#N/A</v>
      </c>
    </row>
    <row r="322" spans="2:15" x14ac:dyDescent="0.25">
      <c r="B322" t="s">
        <v>309</v>
      </c>
      <c r="C322" t="e">
        <f>INDEX(Tabelle132[Zone],MATCH(Tabelle7[[#This Row],[Gesamtcode]],Tabelle132[Gesamtcode],0))</f>
        <v>#N/A</v>
      </c>
      <c r="D322" t="e">
        <f>INDEX(Tabelle132[Raum],MATCH(Tabelle7[[#This Row],[Gesamtcode]],Tabelle132[Gesamtcode],0))</f>
        <v>#N/A</v>
      </c>
      <c r="E322" t="e">
        <f>INDEX(Tabelle132[Bezeichnung],MATCH(Tabelle7[[#This Row],[Gesamtcode]],Tabelle132[Gesamtcode],0))</f>
        <v>#N/A</v>
      </c>
      <c r="F322" t="e">
        <f>"_"&amp;INDEX(Tabelle132[Geräte/Gewerke],MATCH(Tabelle7[[#This Row],[Gesamtcode]],Tabelle132[Gesamtcode],0))</f>
        <v>#N/A</v>
      </c>
      <c r="G322" t="e">
        <f>INDEX(Tabelle13[Gewerknr.],MATCH(Tabelle7[[#This Row],[Gewerke]],Tabelle13[Hauptgruppe],0))</f>
        <v>#N/A</v>
      </c>
      <c r="H322" t="s">
        <v>280</v>
      </c>
      <c r="I322" t="e">
        <f ca="1">INDEX(Tabelle134[Funktionsbereichsnr.],MATCH(Tabelle7[[#This Row],[Funktionsbereiche]],INDIRECT("Tabelle134["&amp;Tabelle7[[#This Row],[Gewerke]]&amp;"]"),0))</f>
        <v>#N/A</v>
      </c>
      <c r="J322" t="e">
        <f>Tabelle7[[#This Row],[Gesamtcode]]&amp;"_"&amp;Tabelle7[[#This Row],[Zone]]&amp;"_"&amp;Tabelle7[[#This Row],[Raum]]&amp;"_"&amp;Tabelle7[[#This Row],[Bezeichnung]]</f>
        <v>#N/A</v>
      </c>
      <c r="K322">
        <v>13</v>
      </c>
      <c r="L322" t="e">
        <f>Tabelle7[[#This Row],[Hauptgruppe]]&amp;"/-/-"</f>
        <v>#N/A</v>
      </c>
      <c r="M322" t="e">
        <f ca="1">Tabelle7[[#This Row],[Hauptgruppe]]&amp;"/"&amp;Tabelle7[[#This Row],[Mittelgruppe]]&amp;"/-"</f>
        <v>#N/A</v>
      </c>
      <c r="N322" t="e">
        <f ca="1">Tabelle7[[#This Row],[Hauptgruppe]]&amp;"/"&amp;Tabelle7[[#This Row],[Mittelgruppe]]&amp;"/"&amp;Tabelle7[[#This Row],[Untergruppe]]</f>
        <v>#N/A</v>
      </c>
      <c r="O322" t="e">
        <f>INDEX(Tabelle6[Aktor],MATCH(Tabelle7[[#This Row],[Gesamtcode]],Tabelle6[Gesamtcode],0))&amp;" "&amp;INDEX(Tabelle6[Aktorkanal],MATCH(Tabelle7[[#This Row],[Gesamtcode]],Tabelle6[Gesamtcode],0))</f>
        <v>#N/A</v>
      </c>
    </row>
    <row r="323" spans="2:15" x14ac:dyDescent="0.25">
      <c r="B323" t="s">
        <v>287</v>
      </c>
      <c r="C323" t="e">
        <f>INDEX(Tabelle132[Zone],MATCH(Tabelle7[[#This Row],[Gesamtcode]],Tabelle132[Gesamtcode],0))</f>
        <v>#N/A</v>
      </c>
      <c r="D323" t="e">
        <f>INDEX(Tabelle132[Raum],MATCH(Tabelle7[[#This Row],[Gesamtcode]],Tabelle132[Gesamtcode],0))</f>
        <v>#N/A</v>
      </c>
      <c r="E323" t="e">
        <f>INDEX(Tabelle132[Bezeichnung],MATCH(Tabelle7[[#This Row],[Gesamtcode]],Tabelle132[Gesamtcode],0))</f>
        <v>#N/A</v>
      </c>
      <c r="F323" t="e">
        <f>"_"&amp;INDEX(Tabelle132[Geräte/Gewerke],MATCH(Tabelle7[[#This Row],[Gesamtcode]],Tabelle132[Gesamtcode],0))</f>
        <v>#N/A</v>
      </c>
      <c r="G323" t="e">
        <f>INDEX(Tabelle13[Gewerknr.],MATCH(Tabelle7[[#This Row],[Gewerke]],Tabelle13[Hauptgruppe],0))</f>
        <v>#N/A</v>
      </c>
      <c r="H323" t="s">
        <v>280</v>
      </c>
      <c r="I323" t="e">
        <f ca="1">INDEX(Tabelle134[Funktionsbereichsnr.],MATCH(Tabelle7[[#This Row],[Funktionsbereiche]],INDIRECT("Tabelle134["&amp;Tabelle7[[#This Row],[Gewerke]]&amp;"]"),0))</f>
        <v>#N/A</v>
      </c>
      <c r="J323" t="e">
        <f>Tabelle7[[#This Row],[Gesamtcode]]&amp;"_"&amp;Tabelle7[[#This Row],[Zone]]&amp;"_"&amp;Tabelle7[[#This Row],[Raum]]&amp;"_"&amp;Tabelle7[[#This Row],[Bezeichnung]]</f>
        <v>#N/A</v>
      </c>
      <c r="K323">
        <v>14</v>
      </c>
      <c r="L323" t="e">
        <f>Tabelle7[[#This Row],[Hauptgruppe]]&amp;"/-/-"</f>
        <v>#N/A</v>
      </c>
      <c r="M323" t="e">
        <f ca="1">Tabelle7[[#This Row],[Hauptgruppe]]&amp;"/"&amp;Tabelle7[[#This Row],[Mittelgruppe]]&amp;"/-"</f>
        <v>#N/A</v>
      </c>
      <c r="N323" t="e">
        <f ca="1">Tabelle7[[#This Row],[Hauptgruppe]]&amp;"/"&amp;Tabelle7[[#This Row],[Mittelgruppe]]&amp;"/"&amp;Tabelle7[[#This Row],[Untergruppe]]</f>
        <v>#N/A</v>
      </c>
      <c r="O323" t="e">
        <f>INDEX(Tabelle6[Aktor],MATCH(Tabelle7[[#This Row],[Gesamtcode]],Tabelle6[Gesamtcode],0))&amp;" "&amp;INDEX(Tabelle6[Aktorkanal],MATCH(Tabelle7[[#This Row],[Gesamtcode]],Tabelle6[Gesamtcode],0))</f>
        <v>#N/A</v>
      </c>
    </row>
    <row r="324" spans="2:15" x14ac:dyDescent="0.25">
      <c r="B324" t="s">
        <v>288</v>
      </c>
      <c r="C324" t="e">
        <f>INDEX(Tabelle132[Zone],MATCH(Tabelle7[[#This Row],[Gesamtcode]],Tabelle132[Gesamtcode],0))</f>
        <v>#N/A</v>
      </c>
      <c r="D324" t="e">
        <f>INDEX(Tabelle132[Raum],MATCH(Tabelle7[[#This Row],[Gesamtcode]],Tabelle132[Gesamtcode],0))</f>
        <v>#N/A</v>
      </c>
      <c r="E324" t="e">
        <f>INDEX(Tabelle132[Bezeichnung],MATCH(Tabelle7[[#This Row],[Gesamtcode]],Tabelle132[Gesamtcode],0))</f>
        <v>#N/A</v>
      </c>
      <c r="F324" t="e">
        <f>"_"&amp;INDEX(Tabelle132[Geräte/Gewerke],MATCH(Tabelle7[[#This Row],[Gesamtcode]],Tabelle132[Gesamtcode],0))</f>
        <v>#N/A</v>
      </c>
      <c r="G324" t="e">
        <f>INDEX(Tabelle13[Gewerknr.],MATCH(Tabelle7[[#This Row],[Gewerke]],Tabelle13[Hauptgruppe],0))</f>
        <v>#N/A</v>
      </c>
      <c r="H324" t="s">
        <v>280</v>
      </c>
      <c r="I324" t="e">
        <f ca="1">INDEX(Tabelle134[Funktionsbereichsnr.],MATCH(Tabelle7[[#This Row],[Funktionsbereiche]],INDIRECT("Tabelle134["&amp;Tabelle7[[#This Row],[Gewerke]]&amp;"]"),0))</f>
        <v>#N/A</v>
      </c>
      <c r="J324" t="e">
        <f>Tabelle7[[#This Row],[Gesamtcode]]&amp;"_"&amp;Tabelle7[[#This Row],[Zone]]&amp;"_"&amp;Tabelle7[[#This Row],[Raum]]&amp;"_"&amp;Tabelle7[[#This Row],[Bezeichnung]]</f>
        <v>#N/A</v>
      </c>
      <c r="K324">
        <v>15</v>
      </c>
      <c r="L324" t="e">
        <f>Tabelle7[[#This Row],[Hauptgruppe]]&amp;"/-/-"</f>
        <v>#N/A</v>
      </c>
      <c r="M324" t="e">
        <f ca="1">Tabelle7[[#This Row],[Hauptgruppe]]&amp;"/"&amp;Tabelle7[[#This Row],[Mittelgruppe]]&amp;"/-"</f>
        <v>#N/A</v>
      </c>
      <c r="N324" t="e">
        <f ca="1">Tabelle7[[#This Row],[Hauptgruppe]]&amp;"/"&amp;Tabelle7[[#This Row],[Mittelgruppe]]&amp;"/"&amp;Tabelle7[[#This Row],[Untergruppe]]</f>
        <v>#N/A</v>
      </c>
      <c r="O324" t="e">
        <f>INDEX(Tabelle6[Aktor],MATCH(Tabelle7[[#This Row],[Gesamtcode]],Tabelle6[Gesamtcode],0))&amp;" "&amp;INDEX(Tabelle6[Aktorkanal],MATCH(Tabelle7[[#This Row],[Gesamtcode]],Tabelle6[Gesamtcode],0))</f>
        <v>#N/A</v>
      </c>
    </row>
    <row r="325" spans="2:15" x14ac:dyDescent="0.25">
      <c r="B325" t="s">
        <v>289</v>
      </c>
      <c r="C325" t="e">
        <f>INDEX(Tabelle132[Zone],MATCH(Tabelle7[[#This Row],[Gesamtcode]],Tabelle132[Gesamtcode],0))</f>
        <v>#N/A</v>
      </c>
      <c r="D325" t="e">
        <f>INDEX(Tabelle132[Raum],MATCH(Tabelle7[[#This Row],[Gesamtcode]],Tabelle132[Gesamtcode],0))</f>
        <v>#N/A</v>
      </c>
      <c r="E325" t="e">
        <f>INDEX(Tabelle132[Bezeichnung],MATCH(Tabelle7[[#This Row],[Gesamtcode]],Tabelle132[Gesamtcode],0))</f>
        <v>#N/A</v>
      </c>
      <c r="F325" t="e">
        <f>"_"&amp;INDEX(Tabelle132[Geräte/Gewerke],MATCH(Tabelle7[[#This Row],[Gesamtcode]],Tabelle132[Gesamtcode],0))</f>
        <v>#N/A</v>
      </c>
      <c r="G325" t="e">
        <f>INDEX(Tabelle13[Gewerknr.],MATCH(Tabelle7[[#This Row],[Gewerke]],Tabelle13[Hauptgruppe],0))</f>
        <v>#N/A</v>
      </c>
      <c r="H325" t="s">
        <v>280</v>
      </c>
      <c r="I325" t="e">
        <f ca="1">INDEX(Tabelle134[Funktionsbereichsnr.],MATCH(Tabelle7[[#This Row],[Funktionsbereiche]],INDIRECT("Tabelle134["&amp;Tabelle7[[#This Row],[Gewerke]]&amp;"]"),0))</f>
        <v>#N/A</v>
      </c>
      <c r="J325" t="e">
        <f>Tabelle7[[#This Row],[Gesamtcode]]&amp;"_"&amp;Tabelle7[[#This Row],[Zone]]&amp;"_"&amp;Tabelle7[[#This Row],[Raum]]&amp;"_"&amp;Tabelle7[[#This Row],[Bezeichnung]]</f>
        <v>#N/A</v>
      </c>
      <c r="K325">
        <v>16</v>
      </c>
      <c r="L325" t="e">
        <f>Tabelle7[[#This Row],[Hauptgruppe]]&amp;"/-/-"</f>
        <v>#N/A</v>
      </c>
      <c r="M325" t="e">
        <f ca="1">Tabelle7[[#This Row],[Hauptgruppe]]&amp;"/"&amp;Tabelle7[[#This Row],[Mittelgruppe]]&amp;"/-"</f>
        <v>#N/A</v>
      </c>
      <c r="N325" t="e">
        <f ca="1">Tabelle7[[#This Row],[Hauptgruppe]]&amp;"/"&amp;Tabelle7[[#This Row],[Mittelgruppe]]&amp;"/"&amp;Tabelle7[[#This Row],[Untergruppe]]</f>
        <v>#N/A</v>
      </c>
      <c r="O325" t="e">
        <f>INDEX(Tabelle6[Aktor],MATCH(Tabelle7[[#This Row],[Gesamtcode]],Tabelle6[Gesamtcode],0))&amp;" "&amp;INDEX(Tabelle6[Aktorkanal],MATCH(Tabelle7[[#This Row],[Gesamtcode]],Tabelle6[Gesamtcode],0))</f>
        <v>#N/A</v>
      </c>
    </row>
    <row r="326" spans="2:15" x14ac:dyDescent="0.25">
      <c r="B326" t="s">
        <v>290</v>
      </c>
      <c r="C326" t="e">
        <f>INDEX(Tabelle132[Zone],MATCH(Tabelle7[[#This Row],[Gesamtcode]],Tabelle132[Gesamtcode],0))</f>
        <v>#N/A</v>
      </c>
      <c r="D326" t="e">
        <f>INDEX(Tabelle132[Raum],MATCH(Tabelle7[[#This Row],[Gesamtcode]],Tabelle132[Gesamtcode],0))</f>
        <v>#N/A</v>
      </c>
      <c r="E326" t="e">
        <f>INDEX(Tabelle132[Bezeichnung],MATCH(Tabelle7[[#This Row],[Gesamtcode]],Tabelle132[Gesamtcode],0))</f>
        <v>#N/A</v>
      </c>
      <c r="F326" t="e">
        <f>"_"&amp;INDEX(Tabelle132[Geräte/Gewerke],MATCH(Tabelle7[[#This Row],[Gesamtcode]],Tabelle132[Gesamtcode],0))</f>
        <v>#N/A</v>
      </c>
      <c r="G326" t="e">
        <f>INDEX(Tabelle13[Gewerknr.],MATCH(Tabelle7[[#This Row],[Gewerke]],Tabelle13[Hauptgruppe],0))</f>
        <v>#N/A</v>
      </c>
      <c r="H326" t="s">
        <v>280</v>
      </c>
      <c r="I326" t="e">
        <f ca="1">INDEX(Tabelle134[Funktionsbereichsnr.],MATCH(Tabelle7[[#This Row],[Funktionsbereiche]],INDIRECT("Tabelle134["&amp;Tabelle7[[#This Row],[Gewerke]]&amp;"]"),0))</f>
        <v>#N/A</v>
      </c>
      <c r="J326" t="e">
        <f>Tabelle7[[#This Row],[Gesamtcode]]&amp;"_"&amp;Tabelle7[[#This Row],[Zone]]&amp;"_"&amp;Tabelle7[[#This Row],[Raum]]&amp;"_"&amp;Tabelle7[[#This Row],[Bezeichnung]]</f>
        <v>#N/A</v>
      </c>
      <c r="K326">
        <v>17</v>
      </c>
      <c r="L326" t="e">
        <f>Tabelle7[[#This Row],[Hauptgruppe]]&amp;"/-/-"</f>
        <v>#N/A</v>
      </c>
      <c r="M326" t="e">
        <f ca="1">Tabelle7[[#This Row],[Hauptgruppe]]&amp;"/"&amp;Tabelle7[[#This Row],[Mittelgruppe]]&amp;"/-"</f>
        <v>#N/A</v>
      </c>
      <c r="N326" t="e">
        <f ca="1">Tabelle7[[#This Row],[Hauptgruppe]]&amp;"/"&amp;Tabelle7[[#This Row],[Mittelgruppe]]&amp;"/"&amp;Tabelle7[[#This Row],[Untergruppe]]</f>
        <v>#N/A</v>
      </c>
      <c r="O326" t="e">
        <f>INDEX(Tabelle6[Aktor],MATCH(Tabelle7[[#This Row],[Gesamtcode]],Tabelle6[Gesamtcode],0))&amp;" "&amp;INDEX(Tabelle6[Aktorkanal],MATCH(Tabelle7[[#This Row],[Gesamtcode]],Tabelle6[Gesamtcode],0))</f>
        <v>#N/A</v>
      </c>
    </row>
    <row r="327" spans="2:15" x14ac:dyDescent="0.25">
      <c r="B327" t="s">
        <v>291</v>
      </c>
      <c r="C327" t="e">
        <f>INDEX(Tabelle132[Zone],MATCH(Tabelle7[[#This Row],[Gesamtcode]],Tabelle132[Gesamtcode],0))</f>
        <v>#N/A</v>
      </c>
      <c r="D327" t="e">
        <f>INDEX(Tabelle132[Raum],MATCH(Tabelle7[[#This Row],[Gesamtcode]],Tabelle132[Gesamtcode],0))</f>
        <v>#N/A</v>
      </c>
      <c r="E327" t="e">
        <f>INDEX(Tabelle132[Bezeichnung],MATCH(Tabelle7[[#This Row],[Gesamtcode]],Tabelle132[Gesamtcode],0))</f>
        <v>#N/A</v>
      </c>
      <c r="F327" t="e">
        <f>"_"&amp;INDEX(Tabelle132[Geräte/Gewerke],MATCH(Tabelle7[[#This Row],[Gesamtcode]],Tabelle132[Gesamtcode],0))</f>
        <v>#N/A</v>
      </c>
      <c r="G327" t="e">
        <f>INDEX(Tabelle13[Gewerknr.],MATCH(Tabelle7[[#This Row],[Gewerke]],Tabelle13[Hauptgruppe],0))</f>
        <v>#N/A</v>
      </c>
      <c r="H327" t="s">
        <v>280</v>
      </c>
      <c r="I327" t="e">
        <f ca="1">INDEX(Tabelle134[Funktionsbereichsnr.],MATCH(Tabelle7[[#This Row],[Funktionsbereiche]],INDIRECT("Tabelle134["&amp;Tabelle7[[#This Row],[Gewerke]]&amp;"]"),0))</f>
        <v>#N/A</v>
      </c>
      <c r="J327" t="e">
        <f>Tabelle7[[#This Row],[Gesamtcode]]&amp;"_"&amp;Tabelle7[[#This Row],[Zone]]&amp;"_"&amp;Tabelle7[[#This Row],[Raum]]&amp;"_"&amp;Tabelle7[[#This Row],[Bezeichnung]]</f>
        <v>#N/A</v>
      </c>
      <c r="K327">
        <v>18</v>
      </c>
      <c r="L327" t="e">
        <f>Tabelle7[[#This Row],[Hauptgruppe]]&amp;"/-/-"</f>
        <v>#N/A</v>
      </c>
      <c r="M327" t="e">
        <f ca="1">Tabelle7[[#This Row],[Hauptgruppe]]&amp;"/"&amp;Tabelle7[[#This Row],[Mittelgruppe]]&amp;"/-"</f>
        <v>#N/A</v>
      </c>
      <c r="N327" t="e">
        <f ca="1">Tabelle7[[#This Row],[Hauptgruppe]]&amp;"/"&amp;Tabelle7[[#This Row],[Mittelgruppe]]&amp;"/"&amp;Tabelle7[[#This Row],[Untergruppe]]</f>
        <v>#N/A</v>
      </c>
      <c r="O327" t="e">
        <f>INDEX(Tabelle6[Aktor],MATCH(Tabelle7[[#This Row],[Gesamtcode]],Tabelle6[Gesamtcode],0))&amp;" "&amp;INDEX(Tabelle6[Aktorkanal],MATCH(Tabelle7[[#This Row],[Gesamtcode]],Tabelle6[Gesamtcode],0))</f>
        <v>#N/A</v>
      </c>
    </row>
    <row r="328" spans="2:15" x14ac:dyDescent="0.25">
      <c r="B328" t="s">
        <v>292</v>
      </c>
      <c r="C328" t="e">
        <f>INDEX(Tabelle132[Zone],MATCH(Tabelle7[[#This Row],[Gesamtcode]],Tabelle132[Gesamtcode],0))</f>
        <v>#N/A</v>
      </c>
      <c r="D328" t="e">
        <f>INDEX(Tabelle132[Raum],MATCH(Tabelle7[[#This Row],[Gesamtcode]],Tabelle132[Gesamtcode],0))</f>
        <v>#N/A</v>
      </c>
      <c r="E328" t="e">
        <f>INDEX(Tabelle132[Bezeichnung],MATCH(Tabelle7[[#This Row],[Gesamtcode]],Tabelle132[Gesamtcode],0))</f>
        <v>#N/A</v>
      </c>
      <c r="F328" t="e">
        <f>"_"&amp;INDEX(Tabelle132[Geräte/Gewerke],MATCH(Tabelle7[[#This Row],[Gesamtcode]],Tabelle132[Gesamtcode],0))</f>
        <v>#N/A</v>
      </c>
      <c r="G328" t="e">
        <f>INDEX(Tabelle13[Gewerknr.],MATCH(Tabelle7[[#This Row],[Gewerke]],Tabelle13[Hauptgruppe],0))</f>
        <v>#N/A</v>
      </c>
      <c r="H328" t="s">
        <v>280</v>
      </c>
      <c r="I328" t="e">
        <f ca="1">INDEX(Tabelle134[Funktionsbereichsnr.],MATCH(Tabelle7[[#This Row],[Funktionsbereiche]],INDIRECT("Tabelle134["&amp;Tabelle7[[#This Row],[Gewerke]]&amp;"]"),0))</f>
        <v>#N/A</v>
      </c>
      <c r="J328" t="e">
        <f>Tabelle7[[#This Row],[Gesamtcode]]&amp;"_"&amp;Tabelle7[[#This Row],[Zone]]&amp;"_"&amp;Tabelle7[[#This Row],[Raum]]&amp;"_"&amp;Tabelle7[[#This Row],[Bezeichnung]]</f>
        <v>#N/A</v>
      </c>
      <c r="K328">
        <v>19</v>
      </c>
      <c r="L328" t="e">
        <f>Tabelle7[[#This Row],[Hauptgruppe]]&amp;"/-/-"</f>
        <v>#N/A</v>
      </c>
      <c r="M328" t="e">
        <f ca="1">Tabelle7[[#This Row],[Hauptgruppe]]&amp;"/"&amp;Tabelle7[[#This Row],[Mittelgruppe]]&amp;"/-"</f>
        <v>#N/A</v>
      </c>
      <c r="N328" t="e">
        <f ca="1">Tabelle7[[#This Row],[Hauptgruppe]]&amp;"/"&amp;Tabelle7[[#This Row],[Mittelgruppe]]&amp;"/"&amp;Tabelle7[[#This Row],[Untergruppe]]</f>
        <v>#N/A</v>
      </c>
      <c r="O328" t="e">
        <f>INDEX(Tabelle6[Aktor],MATCH(Tabelle7[[#This Row],[Gesamtcode]],Tabelle6[Gesamtcode],0))&amp;" "&amp;INDEX(Tabelle6[Aktorkanal],MATCH(Tabelle7[[#This Row],[Gesamtcode]],Tabelle6[Gesamtcode],0))</f>
        <v>#N/A</v>
      </c>
    </row>
    <row r="329" spans="2:15" x14ac:dyDescent="0.25">
      <c r="B329" t="s">
        <v>293</v>
      </c>
      <c r="C329" t="e">
        <f>INDEX(Tabelle132[Zone],MATCH(Tabelle7[[#This Row],[Gesamtcode]],Tabelle132[Gesamtcode],0))</f>
        <v>#N/A</v>
      </c>
      <c r="D329" t="e">
        <f>INDEX(Tabelle132[Raum],MATCH(Tabelle7[[#This Row],[Gesamtcode]],Tabelle132[Gesamtcode],0))</f>
        <v>#N/A</v>
      </c>
      <c r="E329" t="e">
        <f>INDEX(Tabelle132[Bezeichnung],MATCH(Tabelle7[[#This Row],[Gesamtcode]],Tabelle132[Gesamtcode],0))</f>
        <v>#N/A</v>
      </c>
      <c r="F329" t="e">
        <f>"_"&amp;INDEX(Tabelle132[Geräte/Gewerke],MATCH(Tabelle7[[#This Row],[Gesamtcode]],Tabelle132[Gesamtcode],0))</f>
        <v>#N/A</v>
      </c>
      <c r="G329" t="e">
        <f>INDEX(Tabelle13[Gewerknr.],MATCH(Tabelle7[[#This Row],[Gewerke]],Tabelle13[Hauptgruppe],0))</f>
        <v>#N/A</v>
      </c>
      <c r="H329" t="s">
        <v>280</v>
      </c>
      <c r="I329" t="e">
        <f ca="1">INDEX(Tabelle134[Funktionsbereichsnr.],MATCH(Tabelle7[[#This Row],[Funktionsbereiche]],INDIRECT("Tabelle134["&amp;Tabelle7[[#This Row],[Gewerke]]&amp;"]"),0))</f>
        <v>#N/A</v>
      </c>
      <c r="J329" t="e">
        <f>Tabelle7[[#This Row],[Gesamtcode]]&amp;"_"&amp;Tabelle7[[#This Row],[Zone]]&amp;"_"&amp;Tabelle7[[#This Row],[Raum]]&amp;"_"&amp;Tabelle7[[#This Row],[Bezeichnung]]</f>
        <v>#N/A</v>
      </c>
      <c r="K329">
        <v>2</v>
      </c>
      <c r="L329" t="e">
        <f>Tabelle7[[#This Row],[Hauptgruppe]]&amp;"/-/-"</f>
        <v>#N/A</v>
      </c>
      <c r="M329" t="e">
        <f ca="1">Tabelle7[[#This Row],[Hauptgruppe]]&amp;"/"&amp;Tabelle7[[#This Row],[Mittelgruppe]]&amp;"/-"</f>
        <v>#N/A</v>
      </c>
      <c r="N329" t="e">
        <f ca="1">Tabelle7[[#This Row],[Hauptgruppe]]&amp;"/"&amp;Tabelle7[[#This Row],[Mittelgruppe]]&amp;"/"&amp;Tabelle7[[#This Row],[Untergruppe]]</f>
        <v>#N/A</v>
      </c>
      <c r="O329" t="e">
        <f>INDEX(Tabelle6[Aktor],MATCH(Tabelle7[[#This Row],[Gesamtcode]],Tabelle6[Gesamtcode],0))&amp;" "&amp;INDEX(Tabelle6[Aktorkanal],MATCH(Tabelle7[[#This Row],[Gesamtcode]],Tabelle6[Gesamtcode],0))</f>
        <v>#N/A</v>
      </c>
    </row>
    <row r="330" spans="2:15" x14ac:dyDescent="0.25">
      <c r="B330" t="s">
        <v>294</v>
      </c>
      <c r="C330" t="e">
        <f>INDEX(Tabelle132[Zone],MATCH(Tabelle7[[#This Row],[Gesamtcode]],Tabelle132[Gesamtcode],0))</f>
        <v>#N/A</v>
      </c>
      <c r="D330" t="e">
        <f>INDEX(Tabelle132[Raum],MATCH(Tabelle7[[#This Row],[Gesamtcode]],Tabelle132[Gesamtcode],0))</f>
        <v>#N/A</v>
      </c>
      <c r="E330" t="e">
        <f>INDEX(Tabelle132[Bezeichnung],MATCH(Tabelle7[[#This Row],[Gesamtcode]],Tabelle132[Gesamtcode],0))</f>
        <v>#N/A</v>
      </c>
      <c r="F330" t="e">
        <f>"_"&amp;INDEX(Tabelle132[Geräte/Gewerke],MATCH(Tabelle7[[#This Row],[Gesamtcode]],Tabelle132[Gesamtcode],0))</f>
        <v>#N/A</v>
      </c>
      <c r="G330" t="e">
        <f>INDEX(Tabelle13[Gewerknr.],MATCH(Tabelle7[[#This Row],[Gewerke]],Tabelle13[Hauptgruppe],0))</f>
        <v>#N/A</v>
      </c>
      <c r="H330" t="s">
        <v>280</v>
      </c>
      <c r="I330" t="e">
        <f ca="1">INDEX(Tabelle134[Funktionsbereichsnr.],MATCH(Tabelle7[[#This Row],[Funktionsbereiche]],INDIRECT("Tabelle134["&amp;Tabelle7[[#This Row],[Gewerke]]&amp;"]"),0))</f>
        <v>#N/A</v>
      </c>
      <c r="J330" t="e">
        <f>Tabelle7[[#This Row],[Gesamtcode]]&amp;"_"&amp;Tabelle7[[#This Row],[Zone]]&amp;"_"&amp;Tabelle7[[#This Row],[Raum]]&amp;"_"&amp;Tabelle7[[#This Row],[Bezeichnung]]</f>
        <v>#N/A</v>
      </c>
      <c r="K330">
        <v>20</v>
      </c>
      <c r="L330" t="e">
        <f>Tabelle7[[#This Row],[Hauptgruppe]]&amp;"/-/-"</f>
        <v>#N/A</v>
      </c>
      <c r="M330" t="e">
        <f ca="1">Tabelle7[[#This Row],[Hauptgruppe]]&amp;"/"&amp;Tabelle7[[#This Row],[Mittelgruppe]]&amp;"/-"</f>
        <v>#N/A</v>
      </c>
      <c r="N330" t="e">
        <f ca="1">Tabelle7[[#This Row],[Hauptgruppe]]&amp;"/"&amp;Tabelle7[[#This Row],[Mittelgruppe]]&amp;"/"&amp;Tabelle7[[#This Row],[Untergruppe]]</f>
        <v>#N/A</v>
      </c>
      <c r="O330" t="e">
        <f>INDEX(Tabelle6[Aktor],MATCH(Tabelle7[[#This Row],[Gesamtcode]],Tabelle6[Gesamtcode],0))&amp;" "&amp;INDEX(Tabelle6[Aktorkanal],MATCH(Tabelle7[[#This Row],[Gesamtcode]],Tabelle6[Gesamtcode],0))</f>
        <v>#N/A</v>
      </c>
    </row>
    <row r="331" spans="2:15" x14ac:dyDescent="0.25">
      <c r="B331" t="s">
        <v>295</v>
      </c>
      <c r="C331" t="e">
        <f>INDEX(Tabelle132[Zone],MATCH(Tabelle7[[#This Row],[Gesamtcode]],Tabelle132[Gesamtcode],0))</f>
        <v>#N/A</v>
      </c>
      <c r="D331" t="e">
        <f>INDEX(Tabelle132[Raum],MATCH(Tabelle7[[#This Row],[Gesamtcode]],Tabelle132[Gesamtcode],0))</f>
        <v>#N/A</v>
      </c>
      <c r="E331" t="e">
        <f>INDEX(Tabelle132[Bezeichnung],MATCH(Tabelle7[[#This Row],[Gesamtcode]],Tabelle132[Gesamtcode],0))</f>
        <v>#N/A</v>
      </c>
      <c r="F331" t="e">
        <f>"_"&amp;INDEX(Tabelle132[Geräte/Gewerke],MATCH(Tabelle7[[#This Row],[Gesamtcode]],Tabelle132[Gesamtcode],0))</f>
        <v>#N/A</v>
      </c>
      <c r="G331" t="e">
        <f>INDEX(Tabelle13[Gewerknr.],MATCH(Tabelle7[[#This Row],[Gewerke]],Tabelle13[Hauptgruppe],0))</f>
        <v>#N/A</v>
      </c>
      <c r="H331" t="s">
        <v>280</v>
      </c>
      <c r="I331" t="e">
        <f ca="1">INDEX(Tabelle134[Funktionsbereichsnr.],MATCH(Tabelle7[[#This Row],[Funktionsbereiche]],INDIRECT("Tabelle134["&amp;Tabelle7[[#This Row],[Gewerke]]&amp;"]"),0))</f>
        <v>#N/A</v>
      </c>
      <c r="J331" t="e">
        <f>Tabelle7[[#This Row],[Gesamtcode]]&amp;"_"&amp;Tabelle7[[#This Row],[Zone]]&amp;"_"&amp;Tabelle7[[#This Row],[Raum]]&amp;"_"&amp;Tabelle7[[#This Row],[Bezeichnung]]</f>
        <v>#N/A</v>
      </c>
      <c r="K331">
        <v>21</v>
      </c>
      <c r="L331" t="e">
        <f>Tabelle7[[#This Row],[Hauptgruppe]]&amp;"/-/-"</f>
        <v>#N/A</v>
      </c>
      <c r="M331" t="e">
        <f ca="1">Tabelle7[[#This Row],[Hauptgruppe]]&amp;"/"&amp;Tabelle7[[#This Row],[Mittelgruppe]]&amp;"/-"</f>
        <v>#N/A</v>
      </c>
      <c r="N331" t="e">
        <f ca="1">Tabelle7[[#This Row],[Hauptgruppe]]&amp;"/"&amp;Tabelle7[[#This Row],[Mittelgruppe]]&amp;"/"&amp;Tabelle7[[#This Row],[Untergruppe]]</f>
        <v>#N/A</v>
      </c>
      <c r="O331" t="e">
        <f>INDEX(Tabelle6[Aktor],MATCH(Tabelle7[[#This Row],[Gesamtcode]],Tabelle6[Gesamtcode],0))&amp;" "&amp;INDEX(Tabelle6[Aktorkanal],MATCH(Tabelle7[[#This Row],[Gesamtcode]],Tabelle6[Gesamtcode],0))</f>
        <v>#N/A</v>
      </c>
    </row>
    <row r="332" spans="2:15" x14ac:dyDescent="0.25">
      <c r="B332" t="s">
        <v>296</v>
      </c>
      <c r="C332" t="e">
        <f>INDEX(Tabelle132[Zone],MATCH(Tabelle7[[#This Row],[Gesamtcode]],Tabelle132[Gesamtcode],0))</f>
        <v>#N/A</v>
      </c>
      <c r="D332" t="e">
        <f>INDEX(Tabelle132[Raum],MATCH(Tabelle7[[#This Row],[Gesamtcode]],Tabelle132[Gesamtcode],0))</f>
        <v>#N/A</v>
      </c>
      <c r="E332" t="e">
        <f>INDEX(Tabelle132[Bezeichnung],MATCH(Tabelle7[[#This Row],[Gesamtcode]],Tabelle132[Gesamtcode],0))</f>
        <v>#N/A</v>
      </c>
      <c r="F332" t="e">
        <f>"_"&amp;INDEX(Tabelle132[Geräte/Gewerke],MATCH(Tabelle7[[#This Row],[Gesamtcode]],Tabelle132[Gesamtcode],0))</f>
        <v>#N/A</v>
      </c>
      <c r="G332" t="e">
        <f>INDEX(Tabelle13[Gewerknr.],MATCH(Tabelle7[[#This Row],[Gewerke]],Tabelle13[Hauptgruppe],0))</f>
        <v>#N/A</v>
      </c>
      <c r="H332" t="s">
        <v>280</v>
      </c>
      <c r="I332" t="e">
        <f ca="1">INDEX(Tabelle134[Funktionsbereichsnr.],MATCH(Tabelle7[[#This Row],[Funktionsbereiche]],INDIRECT("Tabelle134["&amp;Tabelle7[[#This Row],[Gewerke]]&amp;"]"),0))</f>
        <v>#N/A</v>
      </c>
      <c r="J332" t="e">
        <f>Tabelle7[[#This Row],[Gesamtcode]]&amp;"_"&amp;Tabelle7[[#This Row],[Zone]]&amp;"_"&amp;Tabelle7[[#This Row],[Raum]]&amp;"_"&amp;Tabelle7[[#This Row],[Bezeichnung]]</f>
        <v>#N/A</v>
      </c>
      <c r="K332">
        <v>22</v>
      </c>
      <c r="L332" t="e">
        <f>Tabelle7[[#This Row],[Hauptgruppe]]&amp;"/-/-"</f>
        <v>#N/A</v>
      </c>
      <c r="M332" t="e">
        <f ca="1">Tabelle7[[#This Row],[Hauptgruppe]]&amp;"/"&amp;Tabelle7[[#This Row],[Mittelgruppe]]&amp;"/-"</f>
        <v>#N/A</v>
      </c>
      <c r="N332" t="e">
        <f ca="1">Tabelle7[[#This Row],[Hauptgruppe]]&amp;"/"&amp;Tabelle7[[#This Row],[Mittelgruppe]]&amp;"/"&amp;Tabelle7[[#This Row],[Untergruppe]]</f>
        <v>#N/A</v>
      </c>
      <c r="O332" t="e">
        <f>INDEX(Tabelle6[Aktor],MATCH(Tabelle7[[#This Row],[Gesamtcode]],Tabelle6[Gesamtcode],0))&amp;" "&amp;INDEX(Tabelle6[Aktorkanal],MATCH(Tabelle7[[#This Row],[Gesamtcode]],Tabelle6[Gesamtcode],0))</f>
        <v>#N/A</v>
      </c>
    </row>
    <row r="333" spans="2:15" x14ac:dyDescent="0.25">
      <c r="B333" t="s">
        <v>297</v>
      </c>
      <c r="C333" t="e">
        <f>INDEX(Tabelle132[Zone],MATCH(Tabelle7[[#This Row],[Gesamtcode]],Tabelle132[Gesamtcode],0))</f>
        <v>#N/A</v>
      </c>
      <c r="D333" t="e">
        <f>INDEX(Tabelle132[Raum],MATCH(Tabelle7[[#This Row],[Gesamtcode]],Tabelle132[Gesamtcode],0))</f>
        <v>#N/A</v>
      </c>
      <c r="E333" t="e">
        <f>INDEX(Tabelle132[Bezeichnung],MATCH(Tabelle7[[#This Row],[Gesamtcode]],Tabelle132[Gesamtcode],0))</f>
        <v>#N/A</v>
      </c>
      <c r="F333" t="e">
        <f>"_"&amp;INDEX(Tabelle132[Geräte/Gewerke],MATCH(Tabelle7[[#This Row],[Gesamtcode]],Tabelle132[Gesamtcode],0))</f>
        <v>#N/A</v>
      </c>
      <c r="G333" t="e">
        <f>INDEX(Tabelle13[Gewerknr.],MATCH(Tabelle7[[#This Row],[Gewerke]],Tabelle13[Hauptgruppe],0))</f>
        <v>#N/A</v>
      </c>
      <c r="H333" t="s">
        <v>280</v>
      </c>
      <c r="I333" t="e">
        <f ca="1">INDEX(Tabelle134[Funktionsbereichsnr.],MATCH(Tabelle7[[#This Row],[Funktionsbereiche]],INDIRECT("Tabelle134["&amp;Tabelle7[[#This Row],[Gewerke]]&amp;"]"),0))</f>
        <v>#N/A</v>
      </c>
      <c r="J333" t="e">
        <f>Tabelle7[[#This Row],[Gesamtcode]]&amp;"_"&amp;Tabelle7[[#This Row],[Zone]]&amp;"_"&amp;Tabelle7[[#This Row],[Raum]]&amp;"_"&amp;Tabelle7[[#This Row],[Bezeichnung]]</f>
        <v>#N/A</v>
      </c>
      <c r="K333">
        <v>3</v>
      </c>
      <c r="L333" t="e">
        <f>Tabelle7[[#This Row],[Hauptgruppe]]&amp;"/-/-"</f>
        <v>#N/A</v>
      </c>
      <c r="M333" t="e">
        <f ca="1">Tabelle7[[#This Row],[Hauptgruppe]]&amp;"/"&amp;Tabelle7[[#This Row],[Mittelgruppe]]&amp;"/-"</f>
        <v>#N/A</v>
      </c>
      <c r="N333" t="e">
        <f ca="1">Tabelle7[[#This Row],[Hauptgruppe]]&amp;"/"&amp;Tabelle7[[#This Row],[Mittelgruppe]]&amp;"/"&amp;Tabelle7[[#This Row],[Untergruppe]]</f>
        <v>#N/A</v>
      </c>
      <c r="O333" t="e">
        <f>INDEX(Tabelle6[Aktor],MATCH(Tabelle7[[#This Row],[Gesamtcode]],Tabelle6[Gesamtcode],0))&amp;" "&amp;INDEX(Tabelle6[Aktorkanal],MATCH(Tabelle7[[#This Row],[Gesamtcode]],Tabelle6[Gesamtcode],0))</f>
        <v>#N/A</v>
      </c>
    </row>
    <row r="334" spans="2:15" x14ac:dyDescent="0.25">
      <c r="B334" t="s">
        <v>298</v>
      </c>
      <c r="C334" t="e">
        <f>INDEX(Tabelle132[Zone],MATCH(Tabelle7[[#This Row],[Gesamtcode]],Tabelle132[Gesamtcode],0))</f>
        <v>#N/A</v>
      </c>
      <c r="D334" t="e">
        <f>INDEX(Tabelle132[Raum],MATCH(Tabelle7[[#This Row],[Gesamtcode]],Tabelle132[Gesamtcode],0))</f>
        <v>#N/A</v>
      </c>
      <c r="E334" t="e">
        <f>INDEX(Tabelle132[Bezeichnung],MATCH(Tabelle7[[#This Row],[Gesamtcode]],Tabelle132[Gesamtcode],0))</f>
        <v>#N/A</v>
      </c>
      <c r="F334" t="e">
        <f>"_"&amp;INDEX(Tabelle132[Geräte/Gewerke],MATCH(Tabelle7[[#This Row],[Gesamtcode]],Tabelle132[Gesamtcode],0))</f>
        <v>#N/A</v>
      </c>
      <c r="G334" t="e">
        <f>INDEX(Tabelle13[Gewerknr.],MATCH(Tabelle7[[#This Row],[Gewerke]],Tabelle13[Hauptgruppe],0))</f>
        <v>#N/A</v>
      </c>
      <c r="H334" t="s">
        <v>280</v>
      </c>
      <c r="I334" t="e">
        <f ca="1">INDEX(Tabelle134[Funktionsbereichsnr.],MATCH(Tabelle7[[#This Row],[Funktionsbereiche]],INDIRECT("Tabelle134["&amp;Tabelle7[[#This Row],[Gewerke]]&amp;"]"),0))</f>
        <v>#N/A</v>
      </c>
      <c r="J334" t="e">
        <f>Tabelle7[[#This Row],[Gesamtcode]]&amp;"_"&amp;Tabelle7[[#This Row],[Zone]]&amp;"_"&amp;Tabelle7[[#This Row],[Raum]]&amp;"_"&amp;Tabelle7[[#This Row],[Bezeichnung]]</f>
        <v>#N/A</v>
      </c>
      <c r="K334">
        <v>4</v>
      </c>
      <c r="L334" t="e">
        <f>Tabelle7[[#This Row],[Hauptgruppe]]&amp;"/-/-"</f>
        <v>#N/A</v>
      </c>
      <c r="M334" t="e">
        <f ca="1">Tabelle7[[#This Row],[Hauptgruppe]]&amp;"/"&amp;Tabelle7[[#This Row],[Mittelgruppe]]&amp;"/-"</f>
        <v>#N/A</v>
      </c>
      <c r="N334" t="e">
        <f ca="1">Tabelle7[[#This Row],[Hauptgruppe]]&amp;"/"&amp;Tabelle7[[#This Row],[Mittelgruppe]]&amp;"/"&amp;Tabelle7[[#This Row],[Untergruppe]]</f>
        <v>#N/A</v>
      </c>
      <c r="O334" t="e">
        <f>INDEX(Tabelle6[Aktor],MATCH(Tabelle7[[#This Row],[Gesamtcode]],Tabelle6[Gesamtcode],0))&amp;" "&amp;INDEX(Tabelle6[Aktorkanal],MATCH(Tabelle7[[#This Row],[Gesamtcode]],Tabelle6[Gesamtcode],0))</f>
        <v>#N/A</v>
      </c>
    </row>
    <row r="335" spans="2:15" x14ac:dyDescent="0.25">
      <c r="B335" t="s">
        <v>299</v>
      </c>
      <c r="C335" t="e">
        <f>INDEX(Tabelle132[Zone],MATCH(Tabelle7[[#This Row],[Gesamtcode]],Tabelle132[Gesamtcode],0))</f>
        <v>#N/A</v>
      </c>
      <c r="D335" t="e">
        <f>INDEX(Tabelle132[Raum],MATCH(Tabelle7[[#This Row],[Gesamtcode]],Tabelle132[Gesamtcode],0))</f>
        <v>#N/A</v>
      </c>
      <c r="E335" t="e">
        <f>INDEX(Tabelle132[Bezeichnung],MATCH(Tabelle7[[#This Row],[Gesamtcode]],Tabelle132[Gesamtcode],0))</f>
        <v>#N/A</v>
      </c>
      <c r="F335" t="e">
        <f>"_"&amp;INDEX(Tabelle132[Geräte/Gewerke],MATCH(Tabelle7[[#This Row],[Gesamtcode]],Tabelle132[Gesamtcode],0))</f>
        <v>#N/A</v>
      </c>
      <c r="G335" t="e">
        <f>INDEX(Tabelle13[Gewerknr.],MATCH(Tabelle7[[#This Row],[Gewerke]],Tabelle13[Hauptgruppe],0))</f>
        <v>#N/A</v>
      </c>
      <c r="H335" t="s">
        <v>280</v>
      </c>
      <c r="I335" t="e">
        <f ca="1">INDEX(Tabelle134[Funktionsbereichsnr.],MATCH(Tabelle7[[#This Row],[Funktionsbereiche]],INDIRECT("Tabelle134["&amp;Tabelle7[[#This Row],[Gewerke]]&amp;"]"),0))</f>
        <v>#N/A</v>
      </c>
      <c r="J335" t="e">
        <f>Tabelle7[[#This Row],[Gesamtcode]]&amp;"_"&amp;Tabelle7[[#This Row],[Zone]]&amp;"_"&amp;Tabelle7[[#This Row],[Raum]]&amp;"_"&amp;Tabelle7[[#This Row],[Bezeichnung]]</f>
        <v>#N/A</v>
      </c>
      <c r="K335">
        <v>5</v>
      </c>
      <c r="L335" t="e">
        <f>Tabelle7[[#This Row],[Hauptgruppe]]&amp;"/-/-"</f>
        <v>#N/A</v>
      </c>
      <c r="M335" t="e">
        <f ca="1">Tabelle7[[#This Row],[Hauptgruppe]]&amp;"/"&amp;Tabelle7[[#This Row],[Mittelgruppe]]&amp;"/-"</f>
        <v>#N/A</v>
      </c>
      <c r="N335" t="e">
        <f ca="1">Tabelle7[[#This Row],[Hauptgruppe]]&amp;"/"&amp;Tabelle7[[#This Row],[Mittelgruppe]]&amp;"/"&amp;Tabelle7[[#This Row],[Untergruppe]]</f>
        <v>#N/A</v>
      </c>
      <c r="O335" t="e">
        <f>INDEX(Tabelle6[Aktor],MATCH(Tabelle7[[#This Row],[Gesamtcode]],Tabelle6[Gesamtcode],0))&amp;" "&amp;INDEX(Tabelle6[Aktorkanal],MATCH(Tabelle7[[#This Row],[Gesamtcode]],Tabelle6[Gesamtcode],0))</f>
        <v>#N/A</v>
      </c>
    </row>
    <row r="336" spans="2:15" x14ac:dyDescent="0.25">
      <c r="B336" t="s">
        <v>300</v>
      </c>
      <c r="C336" t="e">
        <f>INDEX(Tabelle132[Zone],MATCH(Tabelle7[[#This Row],[Gesamtcode]],Tabelle132[Gesamtcode],0))</f>
        <v>#N/A</v>
      </c>
      <c r="D336" t="e">
        <f>INDEX(Tabelle132[Raum],MATCH(Tabelle7[[#This Row],[Gesamtcode]],Tabelle132[Gesamtcode],0))</f>
        <v>#N/A</v>
      </c>
      <c r="E336" t="e">
        <f>INDEX(Tabelle132[Bezeichnung],MATCH(Tabelle7[[#This Row],[Gesamtcode]],Tabelle132[Gesamtcode],0))</f>
        <v>#N/A</v>
      </c>
      <c r="F336" t="e">
        <f>"_"&amp;INDEX(Tabelle132[Geräte/Gewerke],MATCH(Tabelle7[[#This Row],[Gesamtcode]],Tabelle132[Gesamtcode],0))</f>
        <v>#N/A</v>
      </c>
      <c r="G336" t="e">
        <f>INDEX(Tabelle13[Gewerknr.],MATCH(Tabelle7[[#This Row],[Gewerke]],Tabelle13[Hauptgruppe],0))</f>
        <v>#N/A</v>
      </c>
      <c r="H336" t="s">
        <v>280</v>
      </c>
      <c r="I336" t="e">
        <f ca="1">INDEX(Tabelle134[Funktionsbereichsnr.],MATCH(Tabelle7[[#This Row],[Funktionsbereiche]],INDIRECT("Tabelle134["&amp;Tabelle7[[#This Row],[Gewerke]]&amp;"]"),0))</f>
        <v>#N/A</v>
      </c>
      <c r="J336" t="e">
        <f>Tabelle7[[#This Row],[Gesamtcode]]&amp;"_"&amp;Tabelle7[[#This Row],[Zone]]&amp;"_"&amp;Tabelle7[[#This Row],[Raum]]&amp;"_"&amp;Tabelle7[[#This Row],[Bezeichnung]]</f>
        <v>#N/A</v>
      </c>
      <c r="K336">
        <v>6</v>
      </c>
      <c r="L336" t="e">
        <f>Tabelle7[[#This Row],[Hauptgruppe]]&amp;"/-/-"</f>
        <v>#N/A</v>
      </c>
      <c r="M336" t="e">
        <f ca="1">Tabelle7[[#This Row],[Hauptgruppe]]&amp;"/"&amp;Tabelle7[[#This Row],[Mittelgruppe]]&amp;"/-"</f>
        <v>#N/A</v>
      </c>
      <c r="N336" t="e">
        <f ca="1">Tabelle7[[#This Row],[Hauptgruppe]]&amp;"/"&amp;Tabelle7[[#This Row],[Mittelgruppe]]&amp;"/"&amp;Tabelle7[[#This Row],[Untergruppe]]</f>
        <v>#N/A</v>
      </c>
      <c r="O336" t="e">
        <f>INDEX(Tabelle6[Aktor],MATCH(Tabelle7[[#This Row],[Gesamtcode]],Tabelle6[Gesamtcode],0))&amp;" "&amp;INDEX(Tabelle6[Aktorkanal],MATCH(Tabelle7[[#This Row],[Gesamtcode]],Tabelle6[Gesamtcode],0))</f>
        <v>#N/A</v>
      </c>
    </row>
    <row r="337" spans="2:15" x14ac:dyDescent="0.25">
      <c r="B337" t="s">
        <v>301</v>
      </c>
      <c r="C337" t="e">
        <f>INDEX(Tabelle132[Zone],MATCH(Tabelle7[[#This Row],[Gesamtcode]],Tabelle132[Gesamtcode],0))</f>
        <v>#N/A</v>
      </c>
      <c r="D337" t="e">
        <f>INDEX(Tabelle132[Raum],MATCH(Tabelle7[[#This Row],[Gesamtcode]],Tabelle132[Gesamtcode],0))</f>
        <v>#N/A</v>
      </c>
      <c r="E337" t="e">
        <f>INDEX(Tabelle132[Bezeichnung],MATCH(Tabelle7[[#This Row],[Gesamtcode]],Tabelle132[Gesamtcode],0))</f>
        <v>#N/A</v>
      </c>
      <c r="F337" t="e">
        <f>"_"&amp;INDEX(Tabelle132[Geräte/Gewerke],MATCH(Tabelle7[[#This Row],[Gesamtcode]],Tabelle132[Gesamtcode],0))</f>
        <v>#N/A</v>
      </c>
      <c r="G337" t="e">
        <f>INDEX(Tabelle13[Gewerknr.],MATCH(Tabelle7[[#This Row],[Gewerke]],Tabelle13[Hauptgruppe],0))</f>
        <v>#N/A</v>
      </c>
      <c r="H337" t="s">
        <v>280</v>
      </c>
      <c r="I337" t="e">
        <f ca="1">INDEX(Tabelle134[Funktionsbereichsnr.],MATCH(Tabelle7[[#This Row],[Funktionsbereiche]],INDIRECT("Tabelle134["&amp;Tabelle7[[#This Row],[Gewerke]]&amp;"]"),0))</f>
        <v>#N/A</v>
      </c>
      <c r="J337" t="e">
        <f>Tabelle7[[#This Row],[Gesamtcode]]&amp;"_"&amp;Tabelle7[[#This Row],[Zone]]&amp;"_"&amp;Tabelle7[[#This Row],[Raum]]&amp;"_"&amp;Tabelle7[[#This Row],[Bezeichnung]]</f>
        <v>#N/A</v>
      </c>
      <c r="K337">
        <v>7</v>
      </c>
      <c r="L337" t="e">
        <f>Tabelle7[[#This Row],[Hauptgruppe]]&amp;"/-/-"</f>
        <v>#N/A</v>
      </c>
      <c r="M337" t="e">
        <f ca="1">Tabelle7[[#This Row],[Hauptgruppe]]&amp;"/"&amp;Tabelle7[[#This Row],[Mittelgruppe]]&amp;"/-"</f>
        <v>#N/A</v>
      </c>
      <c r="N337" t="e">
        <f ca="1">Tabelle7[[#This Row],[Hauptgruppe]]&amp;"/"&amp;Tabelle7[[#This Row],[Mittelgruppe]]&amp;"/"&amp;Tabelle7[[#This Row],[Untergruppe]]</f>
        <v>#N/A</v>
      </c>
      <c r="O337" t="e">
        <f>INDEX(Tabelle6[Aktor],MATCH(Tabelle7[[#This Row],[Gesamtcode]],Tabelle6[Gesamtcode],0))&amp;" "&amp;INDEX(Tabelle6[Aktorkanal],MATCH(Tabelle7[[#This Row],[Gesamtcode]],Tabelle6[Gesamtcode],0))</f>
        <v>#N/A</v>
      </c>
    </row>
    <row r="338" spans="2:15" x14ac:dyDescent="0.25">
      <c r="B338" t="s">
        <v>302</v>
      </c>
      <c r="C338" t="e">
        <f>INDEX(Tabelle132[Zone],MATCH(Tabelle7[[#This Row],[Gesamtcode]],Tabelle132[Gesamtcode],0))</f>
        <v>#N/A</v>
      </c>
      <c r="D338" t="e">
        <f>INDEX(Tabelle132[Raum],MATCH(Tabelle7[[#This Row],[Gesamtcode]],Tabelle132[Gesamtcode],0))</f>
        <v>#N/A</v>
      </c>
      <c r="E338" t="e">
        <f>INDEX(Tabelle132[Bezeichnung],MATCH(Tabelle7[[#This Row],[Gesamtcode]],Tabelle132[Gesamtcode],0))</f>
        <v>#N/A</v>
      </c>
      <c r="F338" t="e">
        <f>"_"&amp;INDEX(Tabelle132[Geräte/Gewerke],MATCH(Tabelle7[[#This Row],[Gesamtcode]],Tabelle132[Gesamtcode],0))</f>
        <v>#N/A</v>
      </c>
      <c r="G338" t="e">
        <f>INDEX(Tabelle13[Gewerknr.],MATCH(Tabelle7[[#This Row],[Gewerke]],Tabelle13[Hauptgruppe],0))</f>
        <v>#N/A</v>
      </c>
      <c r="H338" t="s">
        <v>280</v>
      </c>
      <c r="I338" t="e">
        <f ca="1">INDEX(Tabelle134[Funktionsbereichsnr.],MATCH(Tabelle7[[#This Row],[Funktionsbereiche]],INDIRECT("Tabelle134["&amp;Tabelle7[[#This Row],[Gewerke]]&amp;"]"),0))</f>
        <v>#N/A</v>
      </c>
      <c r="J338" t="e">
        <f>Tabelle7[[#This Row],[Gesamtcode]]&amp;"_"&amp;Tabelle7[[#This Row],[Zone]]&amp;"_"&amp;Tabelle7[[#This Row],[Raum]]&amp;"_"&amp;Tabelle7[[#This Row],[Bezeichnung]]</f>
        <v>#N/A</v>
      </c>
      <c r="K338">
        <v>8</v>
      </c>
      <c r="L338" t="e">
        <f>Tabelle7[[#This Row],[Hauptgruppe]]&amp;"/-/-"</f>
        <v>#N/A</v>
      </c>
      <c r="M338" t="e">
        <f ca="1">Tabelle7[[#This Row],[Hauptgruppe]]&amp;"/"&amp;Tabelle7[[#This Row],[Mittelgruppe]]&amp;"/-"</f>
        <v>#N/A</v>
      </c>
      <c r="N338" t="e">
        <f ca="1">Tabelle7[[#This Row],[Hauptgruppe]]&amp;"/"&amp;Tabelle7[[#This Row],[Mittelgruppe]]&amp;"/"&amp;Tabelle7[[#This Row],[Untergruppe]]</f>
        <v>#N/A</v>
      </c>
      <c r="O338" t="e">
        <f>INDEX(Tabelle6[Aktor],MATCH(Tabelle7[[#This Row],[Gesamtcode]],Tabelle6[Gesamtcode],0))&amp;" "&amp;INDEX(Tabelle6[Aktorkanal],MATCH(Tabelle7[[#This Row],[Gesamtcode]],Tabelle6[Gesamtcode],0))</f>
        <v>#N/A</v>
      </c>
    </row>
    <row r="339" spans="2:15" x14ac:dyDescent="0.25">
      <c r="B339" t="s">
        <v>303</v>
      </c>
      <c r="C339" t="e">
        <f>INDEX(Tabelle132[Zone],MATCH(Tabelle7[[#This Row],[Gesamtcode]],Tabelle132[Gesamtcode],0))</f>
        <v>#N/A</v>
      </c>
      <c r="D339" t="e">
        <f>INDEX(Tabelle132[Raum],MATCH(Tabelle7[[#This Row],[Gesamtcode]],Tabelle132[Gesamtcode],0))</f>
        <v>#N/A</v>
      </c>
      <c r="E339" t="e">
        <f>INDEX(Tabelle132[Bezeichnung],MATCH(Tabelle7[[#This Row],[Gesamtcode]],Tabelle132[Gesamtcode],0))</f>
        <v>#N/A</v>
      </c>
      <c r="F339" t="e">
        <f>"_"&amp;INDEX(Tabelle132[Geräte/Gewerke],MATCH(Tabelle7[[#This Row],[Gesamtcode]],Tabelle132[Gesamtcode],0))</f>
        <v>#N/A</v>
      </c>
      <c r="G339" t="e">
        <f>INDEX(Tabelle13[Gewerknr.],MATCH(Tabelle7[[#This Row],[Gewerke]],Tabelle13[Hauptgruppe],0))</f>
        <v>#N/A</v>
      </c>
      <c r="H339" t="s">
        <v>280</v>
      </c>
      <c r="I339" t="e">
        <f ca="1">INDEX(Tabelle134[Funktionsbereichsnr.],MATCH(Tabelle7[[#This Row],[Funktionsbereiche]],INDIRECT("Tabelle134["&amp;Tabelle7[[#This Row],[Gewerke]]&amp;"]"),0))</f>
        <v>#N/A</v>
      </c>
      <c r="J339" t="e">
        <f>Tabelle7[[#This Row],[Gesamtcode]]&amp;"_"&amp;Tabelle7[[#This Row],[Zone]]&amp;"_"&amp;Tabelle7[[#This Row],[Raum]]&amp;"_"&amp;Tabelle7[[#This Row],[Bezeichnung]]</f>
        <v>#N/A</v>
      </c>
      <c r="K339">
        <v>9</v>
      </c>
      <c r="L339" t="e">
        <f>Tabelle7[[#This Row],[Hauptgruppe]]&amp;"/-/-"</f>
        <v>#N/A</v>
      </c>
      <c r="M339" t="e">
        <f ca="1">Tabelle7[[#This Row],[Hauptgruppe]]&amp;"/"&amp;Tabelle7[[#This Row],[Mittelgruppe]]&amp;"/-"</f>
        <v>#N/A</v>
      </c>
      <c r="N339" t="e">
        <f ca="1">Tabelle7[[#This Row],[Hauptgruppe]]&amp;"/"&amp;Tabelle7[[#This Row],[Mittelgruppe]]&amp;"/"&amp;Tabelle7[[#This Row],[Untergruppe]]</f>
        <v>#N/A</v>
      </c>
      <c r="O339" t="e">
        <f>INDEX(Tabelle6[Aktor],MATCH(Tabelle7[[#This Row],[Gesamtcode]],Tabelle6[Gesamtcode],0))&amp;" "&amp;INDEX(Tabelle6[Aktorkanal],MATCH(Tabelle7[[#This Row],[Gesamtcode]],Tabelle6[Gesamtcode],0))</f>
        <v>#N/A</v>
      </c>
    </row>
    <row r="340" spans="2:15" x14ac:dyDescent="0.25">
      <c r="B340" t="s">
        <v>310</v>
      </c>
      <c r="C340" t="e">
        <f>INDEX(Tabelle132[Zone],MATCH(Tabelle7[[#This Row],[Gesamtcode]],Tabelle132[Gesamtcode],0))</f>
        <v>#N/A</v>
      </c>
      <c r="D340" t="e">
        <f>INDEX(Tabelle132[Raum],MATCH(Tabelle7[[#This Row],[Gesamtcode]],Tabelle132[Gesamtcode],0))</f>
        <v>#N/A</v>
      </c>
      <c r="E340" t="e">
        <f>INDEX(Tabelle132[Bezeichnung],MATCH(Tabelle7[[#This Row],[Gesamtcode]],Tabelle132[Gesamtcode],0))</f>
        <v>#N/A</v>
      </c>
      <c r="F340" t="e">
        <f>"_"&amp;INDEX(Tabelle132[Geräte/Gewerke],MATCH(Tabelle7[[#This Row],[Gesamtcode]],Tabelle132[Gesamtcode],0))</f>
        <v>#N/A</v>
      </c>
      <c r="G340" t="e">
        <f>INDEX(Tabelle13[Gewerknr.],MATCH(Tabelle7[[#This Row],[Gewerke]],Tabelle13[Hauptgruppe],0))</f>
        <v>#N/A</v>
      </c>
      <c r="H340" t="s">
        <v>274</v>
      </c>
      <c r="I340" t="e">
        <f ca="1">INDEX(Tabelle134[Funktionsbereichsnr.],MATCH(Tabelle7[[#This Row],[Funktionsbereiche]],INDIRECT("Tabelle134["&amp;Tabelle7[[#This Row],[Gewerke]]&amp;"]"),0))</f>
        <v>#N/A</v>
      </c>
      <c r="J340" t="e">
        <f>Tabelle7[[#This Row],[Gesamtcode]]&amp;"_"&amp;Tabelle7[[#This Row],[Zone]]&amp;"_"&amp;Tabelle7[[#This Row],[Raum]]&amp;"_"&amp;Tabelle7[[#This Row],[Bezeichnung]]</f>
        <v>#N/A</v>
      </c>
      <c r="K340">
        <v>0</v>
      </c>
      <c r="L340" t="e">
        <f>Tabelle7[[#This Row],[Hauptgruppe]]&amp;"/-/-"</f>
        <v>#N/A</v>
      </c>
      <c r="M340" t="e">
        <f ca="1">Tabelle7[[#This Row],[Hauptgruppe]]&amp;"/"&amp;Tabelle7[[#This Row],[Mittelgruppe]]&amp;"/-"</f>
        <v>#N/A</v>
      </c>
      <c r="N340" t="e">
        <f ca="1">Tabelle7[[#This Row],[Hauptgruppe]]&amp;"/"&amp;Tabelle7[[#This Row],[Mittelgruppe]]&amp;"/"&amp;Tabelle7[[#This Row],[Untergruppe]]</f>
        <v>#N/A</v>
      </c>
      <c r="O340" t="e">
        <f>INDEX(Tabelle6[Aktor],MATCH(Tabelle7[[#This Row],[Gesamtcode]],Tabelle6[Gesamtcode],0))&amp;" "&amp;INDEX(Tabelle6[Aktorkanal],MATCH(Tabelle7[[#This Row],[Gesamtcode]],Tabelle6[Gesamtcode],0))</f>
        <v>#N/A</v>
      </c>
    </row>
    <row r="341" spans="2:15" x14ac:dyDescent="0.25">
      <c r="B341" t="s">
        <v>311</v>
      </c>
      <c r="C341" t="e">
        <f>INDEX(Tabelle132[Zone],MATCH(Tabelle7[[#This Row],[Gesamtcode]],Tabelle132[Gesamtcode],0))</f>
        <v>#N/A</v>
      </c>
      <c r="D341" t="e">
        <f>INDEX(Tabelle132[Raum],MATCH(Tabelle7[[#This Row],[Gesamtcode]],Tabelle132[Gesamtcode],0))</f>
        <v>#N/A</v>
      </c>
      <c r="E341" t="e">
        <f>INDEX(Tabelle132[Bezeichnung],MATCH(Tabelle7[[#This Row],[Gesamtcode]],Tabelle132[Gesamtcode],0))</f>
        <v>#N/A</v>
      </c>
      <c r="F341" t="e">
        <f>"_"&amp;INDEX(Tabelle132[Geräte/Gewerke],MATCH(Tabelle7[[#This Row],[Gesamtcode]],Tabelle132[Gesamtcode],0))</f>
        <v>#N/A</v>
      </c>
      <c r="G341" t="e">
        <f>INDEX(Tabelle13[Gewerknr.],MATCH(Tabelle7[[#This Row],[Gewerke]],Tabelle13[Hauptgruppe],0))</f>
        <v>#N/A</v>
      </c>
      <c r="H341" t="s">
        <v>274</v>
      </c>
      <c r="I341" t="e">
        <f ca="1">INDEX(Tabelle134[Funktionsbereichsnr.],MATCH(Tabelle7[[#This Row],[Funktionsbereiche]],INDIRECT("Tabelle134["&amp;Tabelle7[[#This Row],[Gewerke]]&amp;"]"),0))</f>
        <v>#N/A</v>
      </c>
      <c r="J341" t="e">
        <f>Tabelle7[[#This Row],[Gesamtcode]]&amp;"_"&amp;Tabelle7[[#This Row],[Zone]]&amp;"_"&amp;Tabelle7[[#This Row],[Raum]]&amp;"_"&amp;Tabelle7[[#This Row],[Bezeichnung]]</f>
        <v>#N/A</v>
      </c>
      <c r="K341">
        <v>1</v>
      </c>
      <c r="L341" t="e">
        <f>Tabelle7[[#This Row],[Hauptgruppe]]&amp;"/-/-"</f>
        <v>#N/A</v>
      </c>
      <c r="M341" t="e">
        <f ca="1">Tabelle7[[#This Row],[Hauptgruppe]]&amp;"/"&amp;Tabelle7[[#This Row],[Mittelgruppe]]&amp;"/-"</f>
        <v>#N/A</v>
      </c>
      <c r="N341" t="e">
        <f ca="1">Tabelle7[[#This Row],[Hauptgruppe]]&amp;"/"&amp;Tabelle7[[#This Row],[Mittelgruppe]]&amp;"/"&amp;Tabelle7[[#This Row],[Untergruppe]]</f>
        <v>#N/A</v>
      </c>
      <c r="O341" t="e">
        <f>INDEX(Tabelle6[Aktor],MATCH(Tabelle7[[#This Row],[Gesamtcode]],Tabelle6[Gesamtcode],0))&amp;" "&amp;INDEX(Tabelle6[Aktorkanal],MATCH(Tabelle7[[#This Row],[Gesamtcode]],Tabelle6[Gesamtcode],0))</f>
        <v>#N/A</v>
      </c>
    </row>
    <row r="342" spans="2:15" x14ac:dyDescent="0.25">
      <c r="B342" t="s">
        <v>312</v>
      </c>
      <c r="C342" t="e">
        <f>INDEX(Tabelle132[Zone],MATCH(Tabelle7[[#This Row],[Gesamtcode]],Tabelle132[Gesamtcode],0))</f>
        <v>#N/A</v>
      </c>
      <c r="D342" t="e">
        <f>INDEX(Tabelle132[Raum],MATCH(Tabelle7[[#This Row],[Gesamtcode]],Tabelle132[Gesamtcode],0))</f>
        <v>#N/A</v>
      </c>
      <c r="E342" t="e">
        <f>INDEX(Tabelle132[Bezeichnung],MATCH(Tabelle7[[#This Row],[Gesamtcode]],Tabelle132[Gesamtcode],0))</f>
        <v>#N/A</v>
      </c>
      <c r="F342" t="e">
        <f>"_"&amp;INDEX(Tabelle132[Geräte/Gewerke],MATCH(Tabelle7[[#This Row],[Gesamtcode]],Tabelle132[Gesamtcode],0))</f>
        <v>#N/A</v>
      </c>
      <c r="G342" t="e">
        <f>INDEX(Tabelle13[Gewerknr.],MATCH(Tabelle7[[#This Row],[Gewerke]],Tabelle13[Hauptgruppe],0))</f>
        <v>#N/A</v>
      </c>
      <c r="H342" t="s">
        <v>274</v>
      </c>
      <c r="I342" t="e">
        <f ca="1">INDEX(Tabelle134[Funktionsbereichsnr.],MATCH(Tabelle7[[#This Row],[Funktionsbereiche]],INDIRECT("Tabelle134["&amp;Tabelle7[[#This Row],[Gewerke]]&amp;"]"),0))</f>
        <v>#N/A</v>
      </c>
      <c r="J342" t="e">
        <f>Tabelle7[[#This Row],[Gesamtcode]]&amp;"_"&amp;Tabelle7[[#This Row],[Zone]]&amp;"_"&amp;Tabelle7[[#This Row],[Raum]]&amp;"_"&amp;Tabelle7[[#This Row],[Bezeichnung]]</f>
        <v>#N/A</v>
      </c>
      <c r="K342">
        <v>10</v>
      </c>
      <c r="L342" t="e">
        <f>Tabelle7[[#This Row],[Hauptgruppe]]&amp;"/-/-"</f>
        <v>#N/A</v>
      </c>
      <c r="M342" t="e">
        <f ca="1">Tabelle7[[#This Row],[Hauptgruppe]]&amp;"/"&amp;Tabelle7[[#This Row],[Mittelgruppe]]&amp;"/-"</f>
        <v>#N/A</v>
      </c>
      <c r="N342" t="e">
        <f ca="1">Tabelle7[[#This Row],[Hauptgruppe]]&amp;"/"&amp;Tabelle7[[#This Row],[Mittelgruppe]]&amp;"/"&amp;Tabelle7[[#This Row],[Untergruppe]]</f>
        <v>#N/A</v>
      </c>
      <c r="O342" t="e">
        <f>INDEX(Tabelle6[Aktor],MATCH(Tabelle7[[#This Row],[Gesamtcode]],Tabelle6[Gesamtcode],0))&amp;" "&amp;INDEX(Tabelle6[Aktorkanal],MATCH(Tabelle7[[#This Row],[Gesamtcode]],Tabelle6[Gesamtcode],0))</f>
        <v>#N/A</v>
      </c>
    </row>
    <row r="343" spans="2:15" x14ac:dyDescent="0.25">
      <c r="B343" t="s">
        <v>313</v>
      </c>
      <c r="C343" t="e">
        <f>INDEX(Tabelle132[Zone],MATCH(Tabelle7[[#This Row],[Gesamtcode]],Tabelle132[Gesamtcode],0))</f>
        <v>#N/A</v>
      </c>
      <c r="D343" t="e">
        <f>INDEX(Tabelle132[Raum],MATCH(Tabelle7[[#This Row],[Gesamtcode]],Tabelle132[Gesamtcode],0))</f>
        <v>#N/A</v>
      </c>
      <c r="E343" t="e">
        <f>INDEX(Tabelle132[Bezeichnung],MATCH(Tabelle7[[#This Row],[Gesamtcode]],Tabelle132[Gesamtcode],0))</f>
        <v>#N/A</v>
      </c>
      <c r="F343" t="e">
        <f>"_"&amp;INDEX(Tabelle132[Geräte/Gewerke],MATCH(Tabelle7[[#This Row],[Gesamtcode]],Tabelle132[Gesamtcode],0))</f>
        <v>#N/A</v>
      </c>
      <c r="G343" t="e">
        <f>INDEX(Tabelle13[Gewerknr.],MATCH(Tabelle7[[#This Row],[Gewerke]],Tabelle13[Hauptgruppe],0))</f>
        <v>#N/A</v>
      </c>
      <c r="H343" t="s">
        <v>274</v>
      </c>
      <c r="I343" t="e">
        <f ca="1">INDEX(Tabelle134[Funktionsbereichsnr.],MATCH(Tabelle7[[#This Row],[Funktionsbereiche]],INDIRECT("Tabelle134["&amp;Tabelle7[[#This Row],[Gewerke]]&amp;"]"),0))</f>
        <v>#N/A</v>
      </c>
      <c r="J343" t="e">
        <f>Tabelle7[[#This Row],[Gesamtcode]]&amp;"_"&amp;Tabelle7[[#This Row],[Zone]]&amp;"_"&amp;Tabelle7[[#This Row],[Raum]]&amp;"_"&amp;Tabelle7[[#This Row],[Bezeichnung]]</f>
        <v>#N/A</v>
      </c>
      <c r="K343">
        <v>11</v>
      </c>
      <c r="L343" t="e">
        <f>Tabelle7[[#This Row],[Hauptgruppe]]&amp;"/-/-"</f>
        <v>#N/A</v>
      </c>
      <c r="M343" t="e">
        <f ca="1">Tabelle7[[#This Row],[Hauptgruppe]]&amp;"/"&amp;Tabelle7[[#This Row],[Mittelgruppe]]&amp;"/-"</f>
        <v>#N/A</v>
      </c>
      <c r="N343" t="e">
        <f ca="1">Tabelle7[[#This Row],[Hauptgruppe]]&amp;"/"&amp;Tabelle7[[#This Row],[Mittelgruppe]]&amp;"/"&amp;Tabelle7[[#This Row],[Untergruppe]]</f>
        <v>#N/A</v>
      </c>
      <c r="O343" t="e">
        <f>INDEX(Tabelle6[Aktor],MATCH(Tabelle7[[#This Row],[Gesamtcode]],Tabelle6[Gesamtcode],0))&amp;" "&amp;INDEX(Tabelle6[Aktorkanal],MATCH(Tabelle7[[#This Row],[Gesamtcode]],Tabelle6[Gesamtcode],0))</f>
        <v>#N/A</v>
      </c>
    </row>
    <row r="344" spans="2:15" x14ac:dyDescent="0.25">
      <c r="B344" t="s">
        <v>314</v>
      </c>
      <c r="C344" t="e">
        <f>INDEX(Tabelle132[Zone],MATCH(Tabelle7[[#This Row],[Gesamtcode]],Tabelle132[Gesamtcode],0))</f>
        <v>#N/A</v>
      </c>
      <c r="D344" t="e">
        <f>INDEX(Tabelle132[Raum],MATCH(Tabelle7[[#This Row],[Gesamtcode]],Tabelle132[Gesamtcode],0))</f>
        <v>#N/A</v>
      </c>
      <c r="E344" t="e">
        <f>INDEX(Tabelle132[Bezeichnung],MATCH(Tabelle7[[#This Row],[Gesamtcode]],Tabelle132[Gesamtcode],0))</f>
        <v>#N/A</v>
      </c>
      <c r="F344" t="e">
        <f>"_"&amp;INDEX(Tabelle132[Geräte/Gewerke],MATCH(Tabelle7[[#This Row],[Gesamtcode]],Tabelle132[Gesamtcode],0))</f>
        <v>#N/A</v>
      </c>
      <c r="G344" t="e">
        <f>INDEX(Tabelle13[Gewerknr.],MATCH(Tabelle7[[#This Row],[Gewerke]],Tabelle13[Hauptgruppe],0))</f>
        <v>#N/A</v>
      </c>
      <c r="H344" t="s">
        <v>274</v>
      </c>
      <c r="I344" t="e">
        <f ca="1">INDEX(Tabelle134[Funktionsbereichsnr.],MATCH(Tabelle7[[#This Row],[Funktionsbereiche]],INDIRECT("Tabelle134["&amp;Tabelle7[[#This Row],[Gewerke]]&amp;"]"),0))</f>
        <v>#N/A</v>
      </c>
      <c r="J344" t="e">
        <f>Tabelle7[[#This Row],[Gesamtcode]]&amp;"_"&amp;Tabelle7[[#This Row],[Zone]]&amp;"_"&amp;Tabelle7[[#This Row],[Raum]]&amp;"_"&amp;Tabelle7[[#This Row],[Bezeichnung]]</f>
        <v>#N/A</v>
      </c>
      <c r="K344">
        <v>12</v>
      </c>
      <c r="L344" t="e">
        <f>Tabelle7[[#This Row],[Hauptgruppe]]&amp;"/-/-"</f>
        <v>#N/A</v>
      </c>
      <c r="M344" t="e">
        <f ca="1">Tabelle7[[#This Row],[Hauptgruppe]]&amp;"/"&amp;Tabelle7[[#This Row],[Mittelgruppe]]&amp;"/-"</f>
        <v>#N/A</v>
      </c>
      <c r="N344" t="e">
        <f ca="1">Tabelle7[[#This Row],[Hauptgruppe]]&amp;"/"&amp;Tabelle7[[#This Row],[Mittelgruppe]]&amp;"/"&amp;Tabelle7[[#This Row],[Untergruppe]]</f>
        <v>#N/A</v>
      </c>
      <c r="O344" t="e">
        <f>INDEX(Tabelle6[Aktor],MATCH(Tabelle7[[#This Row],[Gesamtcode]],Tabelle6[Gesamtcode],0))&amp;" "&amp;INDEX(Tabelle6[Aktorkanal],MATCH(Tabelle7[[#This Row],[Gesamtcode]],Tabelle6[Gesamtcode],0))</f>
        <v>#N/A</v>
      </c>
    </row>
    <row r="345" spans="2:15" x14ac:dyDescent="0.25">
      <c r="B345" t="s">
        <v>315</v>
      </c>
      <c r="C345" t="e">
        <f>INDEX(Tabelle132[Zone],MATCH(Tabelle7[[#This Row],[Gesamtcode]],Tabelle132[Gesamtcode],0))</f>
        <v>#N/A</v>
      </c>
      <c r="D345" t="e">
        <f>INDEX(Tabelle132[Raum],MATCH(Tabelle7[[#This Row],[Gesamtcode]],Tabelle132[Gesamtcode],0))</f>
        <v>#N/A</v>
      </c>
      <c r="E345" t="e">
        <f>INDEX(Tabelle132[Bezeichnung],MATCH(Tabelle7[[#This Row],[Gesamtcode]],Tabelle132[Gesamtcode],0))</f>
        <v>#N/A</v>
      </c>
      <c r="F345" t="e">
        <f>"_"&amp;INDEX(Tabelle132[Geräte/Gewerke],MATCH(Tabelle7[[#This Row],[Gesamtcode]],Tabelle132[Gesamtcode],0))</f>
        <v>#N/A</v>
      </c>
      <c r="G345" t="e">
        <f>INDEX(Tabelle13[Gewerknr.],MATCH(Tabelle7[[#This Row],[Gewerke]],Tabelle13[Hauptgruppe],0))</f>
        <v>#N/A</v>
      </c>
      <c r="H345" t="s">
        <v>274</v>
      </c>
      <c r="I345" t="e">
        <f ca="1">INDEX(Tabelle134[Funktionsbereichsnr.],MATCH(Tabelle7[[#This Row],[Funktionsbereiche]],INDIRECT("Tabelle134["&amp;Tabelle7[[#This Row],[Gewerke]]&amp;"]"),0))</f>
        <v>#N/A</v>
      </c>
      <c r="J345" t="e">
        <f>Tabelle7[[#This Row],[Gesamtcode]]&amp;"_"&amp;Tabelle7[[#This Row],[Zone]]&amp;"_"&amp;Tabelle7[[#This Row],[Raum]]&amp;"_"&amp;Tabelle7[[#This Row],[Bezeichnung]]</f>
        <v>#N/A</v>
      </c>
      <c r="K345">
        <v>13</v>
      </c>
      <c r="L345" t="e">
        <f>Tabelle7[[#This Row],[Hauptgruppe]]&amp;"/-/-"</f>
        <v>#N/A</v>
      </c>
      <c r="M345" t="e">
        <f ca="1">Tabelle7[[#This Row],[Hauptgruppe]]&amp;"/"&amp;Tabelle7[[#This Row],[Mittelgruppe]]&amp;"/-"</f>
        <v>#N/A</v>
      </c>
      <c r="N345" t="e">
        <f ca="1">Tabelle7[[#This Row],[Hauptgruppe]]&amp;"/"&amp;Tabelle7[[#This Row],[Mittelgruppe]]&amp;"/"&amp;Tabelle7[[#This Row],[Untergruppe]]</f>
        <v>#N/A</v>
      </c>
      <c r="O345" t="e">
        <f>INDEX(Tabelle6[Aktor],MATCH(Tabelle7[[#This Row],[Gesamtcode]],Tabelle6[Gesamtcode],0))&amp;" "&amp;INDEX(Tabelle6[Aktorkanal],MATCH(Tabelle7[[#This Row],[Gesamtcode]],Tabelle6[Gesamtcode],0))</f>
        <v>#N/A</v>
      </c>
    </row>
    <row r="346" spans="2:15" x14ac:dyDescent="0.25">
      <c r="B346" t="s">
        <v>316</v>
      </c>
      <c r="C346" t="e">
        <f>INDEX(Tabelle132[Zone],MATCH(Tabelle7[[#This Row],[Gesamtcode]],Tabelle132[Gesamtcode],0))</f>
        <v>#N/A</v>
      </c>
      <c r="D346" t="e">
        <f>INDEX(Tabelle132[Raum],MATCH(Tabelle7[[#This Row],[Gesamtcode]],Tabelle132[Gesamtcode],0))</f>
        <v>#N/A</v>
      </c>
      <c r="E346" t="e">
        <f>INDEX(Tabelle132[Bezeichnung],MATCH(Tabelle7[[#This Row],[Gesamtcode]],Tabelle132[Gesamtcode],0))</f>
        <v>#N/A</v>
      </c>
      <c r="F346" t="e">
        <f>"_"&amp;INDEX(Tabelle132[Geräte/Gewerke],MATCH(Tabelle7[[#This Row],[Gesamtcode]],Tabelle132[Gesamtcode],0))</f>
        <v>#N/A</v>
      </c>
      <c r="G346" t="e">
        <f>INDEX(Tabelle13[Gewerknr.],MATCH(Tabelle7[[#This Row],[Gewerke]],Tabelle13[Hauptgruppe],0))</f>
        <v>#N/A</v>
      </c>
      <c r="H346" t="s">
        <v>274</v>
      </c>
      <c r="I346" t="e">
        <f ca="1">INDEX(Tabelle134[Funktionsbereichsnr.],MATCH(Tabelle7[[#This Row],[Funktionsbereiche]],INDIRECT("Tabelle134["&amp;Tabelle7[[#This Row],[Gewerke]]&amp;"]"),0))</f>
        <v>#N/A</v>
      </c>
      <c r="J346" t="e">
        <f>Tabelle7[[#This Row],[Gesamtcode]]&amp;"_"&amp;Tabelle7[[#This Row],[Zone]]&amp;"_"&amp;Tabelle7[[#This Row],[Raum]]&amp;"_"&amp;Tabelle7[[#This Row],[Bezeichnung]]</f>
        <v>#N/A</v>
      </c>
      <c r="K346">
        <v>14</v>
      </c>
      <c r="L346" t="e">
        <f>Tabelle7[[#This Row],[Hauptgruppe]]&amp;"/-/-"</f>
        <v>#N/A</v>
      </c>
      <c r="M346" t="e">
        <f ca="1">Tabelle7[[#This Row],[Hauptgruppe]]&amp;"/"&amp;Tabelle7[[#This Row],[Mittelgruppe]]&amp;"/-"</f>
        <v>#N/A</v>
      </c>
      <c r="N346" t="e">
        <f ca="1">Tabelle7[[#This Row],[Hauptgruppe]]&amp;"/"&amp;Tabelle7[[#This Row],[Mittelgruppe]]&amp;"/"&amp;Tabelle7[[#This Row],[Untergruppe]]</f>
        <v>#N/A</v>
      </c>
      <c r="O346" t="e">
        <f>INDEX(Tabelle6[Aktor],MATCH(Tabelle7[[#This Row],[Gesamtcode]],Tabelle6[Gesamtcode],0))&amp;" "&amp;INDEX(Tabelle6[Aktorkanal],MATCH(Tabelle7[[#This Row],[Gesamtcode]],Tabelle6[Gesamtcode],0))</f>
        <v>#N/A</v>
      </c>
    </row>
    <row r="347" spans="2:15" x14ac:dyDescent="0.25">
      <c r="B347" t="s">
        <v>317</v>
      </c>
      <c r="C347" t="e">
        <f>INDEX(Tabelle132[Zone],MATCH(Tabelle7[[#This Row],[Gesamtcode]],Tabelle132[Gesamtcode],0))</f>
        <v>#N/A</v>
      </c>
      <c r="D347" t="e">
        <f>INDEX(Tabelle132[Raum],MATCH(Tabelle7[[#This Row],[Gesamtcode]],Tabelle132[Gesamtcode],0))</f>
        <v>#N/A</v>
      </c>
      <c r="E347" t="e">
        <f>INDEX(Tabelle132[Bezeichnung],MATCH(Tabelle7[[#This Row],[Gesamtcode]],Tabelle132[Gesamtcode],0))</f>
        <v>#N/A</v>
      </c>
      <c r="F347" t="e">
        <f>"_"&amp;INDEX(Tabelle132[Geräte/Gewerke],MATCH(Tabelle7[[#This Row],[Gesamtcode]],Tabelle132[Gesamtcode],0))</f>
        <v>#N/A</v>
      </c>
      <c r="G347" t="e">
        <f>INDEX(Tabelle13[Gewerknr.],MATCH(Tabelle7[[#This Row],[Gewerke]],Tabelle13[Hauptgruppe],0))</f>
        <v>#N/A</v>
      </c>
      <c r="H347" t="s">
        <v>274</v>
      </c>
      <c r="I347" t="e">
        <f ca="1">INDEX(Tabelle134[Funktionsbereichsnr.],MATCH(Tabelle7[[#This Row],[Funktionsbereiche]],INDIRECT("Tabelle134["&amp;Tabelle7[[#This Row],[Gewerke]]&amp;"]"),0))</f>
        <v>#N/A</v>
      </c>
      <c r="J347" t="e">
        <f>Tabelle7[[#This Row],[Gesamtcode]]&amp;"_"&amp;Tabelle7[[#This Row],[Zone]]&amp;"_"&amp;Tabelle7[[#This Row],[Raum]]&amp;"_"&amp;Tabelle7[[#This Row],[Bezeichnung]]</f>
        <v>#N/A</v>
      </c>
      <c r="K347">
        <v>15</v>
      </c>
      <c r="L347" t="e">
        <f>Tabelle7[[#This Row],[Hauptgruppe]]&amp;"/-/-"</f>
        <v>#N/A</v>
      </c>
      <c r="M347" t="e">
        <f ca="1">Tabelle7[[#This Row],[Hauptgruppe]]&amp;"/"&amp;Tabelle7[[#This Row],[Mittelgruppe]]&amp;"/-"</f>
        <v>#N/A</v>
      </c>
      <c r="N347" t="e">
        <f ca="1">Tabelle7[[#This Row],[Hauptgruppe]]&amp;"/"&amp;Tabelle7[[#This Row],[Mittelgruppe]]&amp;"/"&amp;Tabelle7[[#This Row],[Untergruppe]]</f>
        <v>#N/A</v>
      </c>
      <c r="O347" t="e">
        <f>INDEX(Tabelle6[Aktor],MATCH(Tabelle7[[#This Row],[Gesamtcode]],Tabelle6[Gesamtcode],0))&amp;" "&amp;INDEX(Tabelle6[Aktorkanal],MATCH(Tabelle7[[#This Row],[Gesamtcode]],Tabelle6[Gesamtcode],0))</f>
        <v>#N/A</v>
      </c>
    </row>
    <row r="348" spans="2:15" x14ac:dyDescent="0.25">
      <c r="B348" t="s">
        <v>318</v>
      </c>
      <c r="C348" t="e">
        <f>INDEX(Tabelle132[Zone],MATCH(Tabelle7[[#This Row],[Gesamtcode]],Tabelle132[Gesamtcode],0))</f>
        <v>#N/A</v>
      </c>
      <c r="D348" t="e">
        <f>INDEX(Tabelle132[Raum],MATCH(Tabelle7[[#This Row],[Gesamtcode]],Tabelle132[Gesamtcode],0))</f>
        <v>#N/A</v>
      </c>
      <c r="E348" t="e">
        <f>INDEX(Tabelle132[Bezeichnung],MATCH(Tabelle7[[#This Row],[Gesamtcode]],Tabelle132[Gesamtcode],0))</f>
        <v>#N/A</v>
      </c>
      <c r="F348" t="e">
        <f>"_"&amp;INDEX(Tabelle132[Geräte/Gewerke],MATCH(Tabelle7[[#This Row],[Gesamtcode]],Tabelle132[Gesamtcode],0))</f>
        <v>#N/A</v>
      </c>
      <c r="G348" t="e">
        <f>INDEX(Tabelle13[Gewerknr.],MATCH(Tabelle7[[#This Row],[Gewerke]],Tabelle13[Hauptgruppe],0))</f>
        <v>#N/A</v>
      </c>
      <c r="H348" t="s">
        <v>274</v>
      </c>
      <c r="I348" t="e">
        <f ca="1">INDEX(Tabelle134[Funktionsbereichsnr.],MATCH(Tabelle7[[#This Row],[Funktionsbereiche]],INDIRECT("Tabelle134["&amp;Tabelle7[[#This Row],[Gewerke]]&amp;"]"),0))</f>
        <v>#N/A</v>
      </c>
      <c r="J348" t="e">
        <f>Tabelle7[[#This Row],[Gesamtcode]]&amp;"_"&amp;Tabelle7[[#This Row],[Zone]]&amp;"_"&amp;Tabelle7[[#This Row],[Raum]]&amp;"_"&amp;Tabelle7[[#This Row],[Bezeichnung]]</f>
        <v>#N/A</v>
      </c>
      <c r="K348">
        <v>16</v>
      </c>
      <c r="L348" t="e">
        <f>Tabelle7[[#This Row],[Hauptgruppe]]&amp;"/-/-"</f>
        <v>#N/A</v>
      </c>
      <c r="M348" t="e">
        <f ca="1">Tabelle7[[#This Row],[Hauptgruppe]]&amp;"/"&amp;Tabelle7[[#This Row],[Mittelgruppe]]&amp;"/-"</f>
        <v>#N/A</v>
      </c>
      <c r="N348" t="e">
        <f ca="1">Tabelle7[[#This Row],[Hauptgruppe]]&amp;"/"&amp;Tabelle7[[#This Row],[Mittelgruppe]]&amp;"/"&amp;Tabelle7[[#This Row],[Untergruppe]]</f>
        <v>#N/A</v>
      </c>
      <c r="O348" t="e">
        <f>INDEX(Tabelle6[Aktor],MATCH(Tabelle7[[#This Row],[Gesamtcode]],Tabelle6[Gesamtcode],0))&amp;" "&amp;INDEX(Tabelle6[Aktorkanal],MATCH(Tabelle7[[#This Row],[Gesamtcode]],Tabelle6[Gesamtcode],0))</f>
        <v>#N/A</v>
      </c>
    </row>
    <row r="349" spans="2:15" x14ac:dyDescent="0.25">
      <c r="B349" t="s">
        <v>319</v>
      </c>
      <c r="C349" t="e">
        <f>INDEX(Tabelle132[Zone],MATCH(Tabelle7[[#This Row],[Gesamtcode]],Tabelle132[Gesamtcode],0))</f>
        <v>#N/A</v>
      </c>
      <c r="D349" t="e">
        <f>INDEX(Tabelle132[Raum],MATCH(Tabelle7[[#This Row],[Gesamtcode]],Tabelle132[Gesamtcode],0))</f>
        <v>#N/A</v>
      </c>
      <c r="E349" t="e">
        <f>INDEX(Tabelle132[Bezeichnung],MATCH(Tabelle7[[#This Row],[Gesamtcode]],Tabelle132[Gesamtcode],0))</f>
        <v>#N/A</v>
      </c>
      <c r="F349" t="e">
        <f>"_"&amp;INDEX(Tabelle132[Geräte/Gewerke],MATCH(Tabelle7[[#This Row],[Gesamtcode]],Tabelle132[Gesamtcode],0))</f>
        <v>#N/A</v>
      </c>
      <c r="G349" t="e">
        <f>INDEX(Tabelle13[Gewerknr.],MATCH(Tabelle7[[#This Row],[Gewerke]],Tabelle13[Hauptgruppe],0))</f>
        <v>#N/A</v>
      </c>
      <c r="H349" t="s">
        <v>274</v>
      </c>
      <c r="I349" t="e">
        <f ca="1">INDEX(Tabelle134[Funktionsbereichsnr.],MATCH(Tabelle7[[#This Row],[Funktionsbereiche]],INDIRECT("Tabelle134["&amp;Tabelle7[[#This Row],[Gewerke]]&amp;"]"),0))</f>
        <v>#N/A</v>
      </c>
      <c r="J349" t="e">
        <f>Tabelle7[[#This Row],[Gesamtcode]]&amp;"_"&amp;Tabelle7[[#This Row],[Zone]]&amp;"_"&amp;Tabelle7[[#This Row],[Raum]]&amp;"_"&amp;Tabelle7[[#This Row],[Bezeichnung]]</f>
        <v>#N/A</v>
      </c>
      <c r="K349">
        <v>17</v>
      </c>
      <c r="L349" t="e">
        <f>Tabelle7[[#This Row],[Hauptgruppe]]&amp;"/-/-"</f>
        <v>#N/A</v>
      </c>
      <c r="M349" t="e">
        <f ca="1">Tabelle7[[#This Row],[Hauptgruppe]]&amp;"/"&amp;Tabelle7[[#This Row],[Mittelgruppe]]&amp;"/-"</f>
        <v>#N/A</v>
      </c>
      <c r="N349" t="e">
        <f ca="1">Tabelle7[[#This Row],[Hauptgruppe]]&amp;"/"&amp;Tabelle7[[#This Row],[Mittelgruppe]]&amp;"/"&amp;Tabelle7[[#This Row],[Untergruppe]]</f>
        <v>#N/A</v>
      </c>
      <c r="O349" t="e">
        <f>INDEX(Tabelle6[Aktor],MATCH(Tabelle7[[#This Row],[Gesamtcode]],Tabelle6[Gesamtcode],0))&amp;" "&amp;INDEX(Tabelle6[Aktorkanal],MATCH(Tabelle7[[#This Row],[Gesamtcode]],Tabelle6[Gesamtcode],0))</f>
        <v>#N/A</v>
      </c>
    </row>
    <row r="350" spans="2:15" x14ac:dyDescent="0.25">
      <c r="B350" t="s">
        <v>320</v>
      </c>
      <c r="C350" t="e">
        <f>INDEX(Tabelle132[Zone],MATCH(Tabelle7[[#This Row],[Gesamtcode]],Tabelle132[Gesamtcode],0))</f>
        <v>#N/A</v>
      </c>
      <c r="D350" t="e">
        <f>INDEX(Tabelle132[Raum],MATCH(Tabelle7[[#This Row],[Gesamtcode]],Tabelle132[Gesamtcode],0))</f>
        <v>#N/A</v>
      </c>
      <c r="E350" t="e">
        <f>INDEX(Tabelle132[Bezeichnung],MATCH(Tabelle7[[#This Row],[Gesamtcode]],Tabelle132[Gesamtcode],0))</f>
        <v>#N/A</v>
      </c>
      <c r="F350" t="e">
        <f>"_"&amp;INDEX(Tabelle132[Geräte/Gewerke],MATCH(Tabelle7[[#This Row],[Gesamtcode]],Tabelle132[Gesamtcode],0))</f>
        <v>#N/A</v>
      </c>
      <c r="G350" t="e">
        <f>INDEX(Tabelle13[Gewerknr.],MATCH(Tabelle7[[#This Row],[Gewerke]],Tabelle13[Hauptgruppe],0))</f>
        <v>#N/A</v>
      </c>
      <c r="H350" t="s">
        <v>274</v>
      </c>
      <c r="I350" t="e">
        <f ca="1">INDEX(Tabelle134[Funktionsbereichsnr.],MATCH(Tabelle7[[#This Row],[Funktionsbereiche]],INDIRECT("Tabelle134["&amp;Tabelle7[[#This Row],[Gewerke]]&amp;"]"),0))</f>
        <v>#N/A</v>
      </c>
      <c r="J350" t="e">
        <f>Tabelle7[[#This Row],[Gesamtcode]]&amp;"_"&amp;Tabelle7[[#This Row],[Zone]]&amp;"_"&amp;Tabelle7[[#This Row],[Raum]]&amp;"_"&amp;Tabelle7[[#This Row],[Bezeichnung]]</f>
        <v>#N/A</v>
      </c>
      <c r="K350">
        <v>18</v>
      </c>
      <c r="L350" t="e">
        <f>Tabelle7[[#This Row],[Hauptgruppe]]&amp;"/-/-"</f>
        <v>#N/A</v>
      </c>
      <c r="M350" t="e">
        <f ca="1">Tabelle7[[#This Row],[Hauptgruppe]]&amp;"/"&amp;Tabelle7[[#This Row],[Mittelgruppe]]&amp;"/-"</f>
        <v>#N/A</v>
      </c>
      <c r="N350" t="e">
        <f ca="1">Tabelle7[[#This Row],[Hauptgruppe]]&amp;"/"&amp;Tabelle7[[#This Row],[Mittelgruppe]]&amp;"/"&amp;Tabelle7[[#This Row],[Untergruppe]]</f>
        <v>#N/A</v>
      </c>
      <c r="O350" t="e">
        <f>INDEX(Tabelle6[Aktor],MATCH(Tabelle7[[#This Row],[Gesamtcode]],Tabelle6[Gesamtcode],0))&amp;" "&amp;INDEX(Tabelle6[Aktorkanal],MATCH(Tabelle7[[#This Row],[Gesamtcode]],Tabelle6[Gesamtcode],0))</f>
        <v>#N/A</v>
      </c>
    </row>
    <row r="351" spans="2:15" x14ac:dyDescent="0.25">
      <c r="B351" t="s">
        <v>321</v>
      </c>
      <c r="C351" t="e">
        <f>INDEX(Tabelle132[Zone],MATCH(Tabelle7[[#This Row],[Gesamtcode]],Tabelle132[Gesamtcode],0))</f>
        <v>#N/A</v>
      </c>
      <c r="D351" t="e">
        <f>INDEX(Tabelle132[Raum],MATCH(Tabelle7[[#This Row],[Gesamtcode]],Tabelle132[Gesamtcode],0))</f>
        <v>#N/A</v>
      </c>
      <c r="E351" t="e">
        <f>INDEX(Tabelle132[Bezeichnung],MATCH(Tabelle7[[#This Row],[Gesamtcode]],Tabelle132[Gesamtcode],0))</f>
        <v>#N/A</v>
      </c>
      <c r="F351" t="e">
        <f>"_"&amp;INDEX(Tabelle132[Geräte/Gewerke],MATCH(Tabelle7[[#This Row],[Gesamtcode]],Tabelle132[Gesamtcode],0))</f>
        <v>#N/A</v>
      </c>
      <c r="G351" t="e">
        <f>INDEX(Tabelle13[Gewerknr.],MATCH(Tabelle7[[#This Row],[Gewerke]],Tabelle13[Hauptgruppe],0))</f>
        <v>#N/A</v>
      </c>
      <c r="H351" t="s">
        <v>274</v>
      </c>
      <c r="I351" t="e">
        <f ca="1">INDEX(Tabelle134[Funktionsbereichsnr.],MATCH(Tabelle7[[#This Row],[Funktionsbereiche]],INDIRECT("Tabelle134["&amp;Tabelle7[[#This Row],[Gewerke]]&amp;"]"),0))</f>
        <v>#N/A</v>
      </c>
      <c r="J351" t="e">
        <f>Tabelle7[[#This Row],[Gesamtcode]]&amp;"_"&amp;Tabelle7[[#This Row],[Zone]]&amp;"_"&amp;Tabelle7[[#This Row],[Raum]]&amp;"_"&amp;Tabelle7[[#This Row],[Bezeichnung]]</f>
        <v>#N/A</v>
      </c>
      <c r="K351">
        <v>19</v>
      </c>
      <c r="L351" t="e">
        <f>Tabelle7[[#This Row],[Hauptgruppe]]&amp;"/-/-"</f>
        <v>#N/A</v>
      </c>
      <c r="M351" t="e">
        <f ca="1">Tabelle7[[#This Row],[Hauptgruppe]]&amp;"/"&amp;Tabelle7[[#This Row],[Mittelgruppe]]&amp;"/-"</f>
        <v>#N/A</v>
      </c>
      <c r="N351" t="e">
        <f ca="1">Tabelle7[[#This Row],[Hauptgruppe]]&amp;"/"&amp;Tabelle7[[#This Row],[Mittelgruppe]]&amp;"/"&amp;Tabelle7[[#This Row],[Untergruppe]]</f>
        <v>#N/A</v>
      </c>
      <c r="O351" t="e">
        <f>INDEX(Tabelle6[Aktor],MATCH(Tabelle7[[#This Row],[Gesamtcode]],Tabelle6[Gesamtcode],0))&amp;" "&amp;INDEX(Tabelle6[Aktorkanal],MATCH(Tabelle7[[#This Row],[Gesamtcode]],Tabelle6[Gesamtcode],0))</f>
        <v>#N/A</v>
      </c>
    </row>
    <row r="352" spans="2:15" x14ac:dyDescent="0.25">
      <c r="B352" t="s">
        <v>322</v>
      </c>
      <c r="C352" t="e">
        <f>INDEX(Tabelle132[Zone],MATCH(Tabelle7[[#This Row],[Gesamtcode]],Tabelle132[Gesamtcode],0))</f>
        <v>#N/A</v>
      </c>
      <c r="D352" t="e">
        <f>INDEX(Tabelle132[Raum],MATCH(Tabelle7[[#This Row],[Gesamtcode]],Tabelle132[Gesamtcode],0))</f>
        <v>#N/A</v>
      </c>
      <c r="E352" t="e">
        <f>INDEX(Tabelle132[Bezeichnung],MATCH(Tabelle7[[#This Row],[Gesamtcode]],Tabelle132[Gesamtcode],0))</f>
        <v>#N/A</v>
      </c>
      <c r="F352" t="e">
        <f>"_"&amp;INDEX(Tabelle132[Geräte/Gewerke],MATCH(Tabelle7[[#This Row],[Gesamtcode]],Tabelle132[Gesamtcode],0))</f>
        <v>#N/A</v>
      </c>
      <c r="G352" t="e">
        <f>INDEX(Tabelle13[Gewerknr.],MATCH(Tabelle7[[#This Row],[Gewerke]],Tabelle13[Hauptgruppe],0))</f>
        <v>#N/A</v>
      </c>
      <c r="H352" t="s">
        <v>274</v>
      </c>
      <c r="I352" t="e">
        <f ca="1">INDEX(Tabelle134[Funktionsbereichsnr.],MATCH(Tabelle7[[#This Row],[Funktionsbereiche]],INDIRECT("Tabelle134["&amp;Tabelle7[[#This Row],[Gewerke]]&amp;"]"),0))</f>
        <v>#N/A</v>
      </c>
      <c r="J352" t="e">
        <f>Tabelle7[[#This Row],[Gesamtcode]]&amp;"_"&amp;Tabelle7[[#This Row],[Zone]]&amp;"_"&amp;Tabelle7[[#This Row],[Raum]]&amp;"_"&amp;Tabelle7[[#This Row],[Bezeichnung]]</f>
        <v>#N/A</v>
      </c>
      <c r="K352">
        <v>2</v>
      </c>
      <c r="L352" t="e">
        <f>Tabelle7[[#This Row],[Hauptgruppe]]&amp;"/-/-"</f>
        <v>#N/A</v>
      </c>
      <c r="M352" t="e">
        <f ca="1">Tabelle7[[#This Row],[Hauptgruppe]]&amp;"/"&amp;Tabelle7[[#This Row],[Mittelgruppe]]&amp;"/-"</f>
        <v>#N/A</v>
      </c>
      <c r="N352" t="e">
        <f ca="1">Tabelle7[[#This Row],[Hauptgruppe]]&amp;"/"&amp;Tabelle7[[#This Row],[Mittelgruppe]]&amp;"/"&amp;Tabelle7[[#This Row],[Untergruppe]]</f>
        <v>#N/A</v>
      </c>
      <c r="O352" t="e">
        <f>INDEX(Tabelle6[Aktor],MATCH(Tabelle7[[#This Row],[Gesamtcode]],Tabelle6[Gesamtcode],0))&amp;" "&amp;INDEX(Tabelle6[Aktorkanal],MATCH(Tabelle7[[#This Row],[Gesamtcode]],Tabelle6[Gesamtcode],0))</f>
        <v>#N/A</v>
      </c>
    </row>
    <row r="353" spans="2:15" x14ac:dyDescent="0.25">
      <c r="B353" t="s">
        <v>323</v>
      </c>
      <c r="C353" t="e">
        <f>INDEX(Tabelle132[Zone],MATCH(Tabelle7[[#This Row],[Gesamtcode]],Tabelle132[Gesamtcode],0))</f>
        <v>#N/A</v>
      </c>
      <c r="D353" t="e">
        <f>INDEX(Tabelle132[Raum],MATCH(Tabelle7[[#This Row],[Gesamtcode]],Tabelle132[Gesamtcode],0))</f>
        <v>#N/A</v>
      </c>
      <c r="E353" t="e">
        <f>INDEX(Tabelle132[Bezeichnung],MATCH(Tabelle7[[#This Row],[Gesamtcode]],Tabelle132[Gesamtcode],0))</f>
        <v>#N/A</v>
      </c>
      <c r="F353" t="e">
        <f>"_"&amp;INDEX(Tabelle132[Geräte/Gewerke],MATCH(Tabelle7[[#This Row],[Gesamtcode]],Tabelle132[Gesamtcode],0))</f>
        <v>#N/A</v>
      </c>
      <c r="G353" t="e">
        <f>INDEX(Tabelle13[Gewerknr.],MATCH(Tabelle7[[#This Row],[Gewerke]],Tabelle13[Hauptgruppe],0))</f>
        <v>#N/A</v>
      </c>
      <c r="H353" t="s">
        <v>274</v>
      </c>
      <c r="I353" t="e">
        <f ca="1">INDEX(Tabelle134[Funktionsbereichsnr.],MATCH(Tabelle7[[#This Row],[Funktionsbereiche]],INDIRECT("Tabelle134["&amp;Tabelle7[[#This Row],[Gewerke]]&amp;"]"),0))</f>
        <v>#N/A</v>
      </c>
      <c r="J353" t="e">
        <f>Tabelle7[[#This Row],[Gesamtcode]]&amp;"_"&amp;Tabelle7[[#This Row],[Zone]]&amp;"_"&amp;Tabelle7[[#This Row],[Raum]]&amp;"_"&amp;Tabelle7[[#This Row],[Bezeichnung]]</f>
        <v>#N/A</v>
      </c>
      <c r="K353">
        <v>20</v>
      </c>
      <c r="L353" t="e">
        <f>Tabelle7[[#This Row],[Hauptgruppe]]&amp;"/-/-"</f>
        <v>#N/A</v>
      </c>
      <c r="M353" t="e">
        <f ca="1">Tabelle7[[#This Row],[Hauptgruppe]]&amp;"/"&amp;Tabelle7[[#This Row],[Mittelgruppe]]&amp;"/-"</f>
        <v>#N/A</v>
      </c>
      <c r="N353" t="e">
        <f ca="1">Tabelle7[[#This Row],[Hauptgruppe]]&amp;"/"&amp;Tabelle7[[#This Row],[Mittelgruppe]]&amp;"/"&amp;Tabelle7[[#This Row],[Untergruppe]]</f>
        <v>#N/A</v>
      </c>
      <c r="O353" t="e">
        <f>INDEX(Tabelle6[Aktor],MATCH(Tabelle7[[#This Row],[Gesamtcode]],Tabelle6[Gesamtcode],0))&amp;" "&amp;INDEX(Tabelle6[Aktorkanal],MATCH(Tabelle7[[#This Row],[Gesamtcode]],Tabelle6[Gesamtcode],0))</f>
        <v>#N/A</v>
      </c>
    </row>
    <row r="354" spans="2:15" x14ac:dyDescent="0.25">
      <c r="B354" t="s">
        <v>324</v>
      </c>
      <c r="C354" t="e">
        <f>INDEX(Tabelle132[Zone],MATCH(Tabelle7[[#This Row],[Gesamtcode]],Tabelle132[Gesamtcode],0))</f>
        <v>#N/A</v>
      </c>
      <c r="D354" t="e">
        <f>INDEX(Tabelle132[Raum],MATCH(Tabelle7[[#This Row],[Gesamtcode]],Tabelle132[Gesamtcode],0))</f>
        <v>#N/A</v>
      </c>
      <c r="E354" t="e">
        <f>INDEX(Tabelle132[Bezeichnung],MATCH(Tabelle7[[#This Row],[Gesamtcode]],Tabelle132[Gesamtcode],0))</f>
        <v>#N/A</v>
      </c>
      <c r="F354" t="e">
        <f>"_"&amp;INDEX(Tabelle132[Geräte/Gewerke],MATCH(Tabelle7[[#This Row],[Gesamtcode]],Tabelle132[Gesamtcode],0))</f>
        <v>#N/A</v>
      </c>
      <c r="G354" t="e">
        <f>INDEX(Tabelle13[Gewerknr.],MATCH(Tabelle7[[#This Row],[Gewerke]],Tabelle13[Hauptgruppe],0))</f>
        <v>#N/A</v>
      </c>
      <c r="H354" t="s">
        <v>274</v>
      </c>
      <c r="I354" t="e">
        <f ca="1">INDEX(Tabelle134[Funktionsbereichsnr.],MATCH(Tabelle7[[#This Row],[Funktionsbereiche]],INDIRECT("Tabelle134["&amp;Tabelle7[[#This Row],[Gewerke]]&amp;"]"),0))</f>
        <v>#N/A</v>
      </c>
      <c r="J354" t="e">
        <f>Tabelle7[[#This Row],[Gesamtcode]]&amp;"_"&amp;Tabelle7[[#This Row],[Zone]]&amp;"_"&amp;Tabelle7[[#This Row],[Raum]]&amp;"_"&amp;Tabelle7[[#This Row],[Bezeichnung]]</f>
        <v>#N/A</v>
      </c>
      <c r="K354">
        <v>21</v>
      </c>
      <c r="L354" t="e">
        <f>Tabelle7[[#This Row],[Hauptgruppe]]&amp;"/-/-"</f>
        <v>#N/A</v>
      </c>
      <c r="M354" t="e">
        <f ca="1">Tabelle7[[#This Row],[Hauptgruppe]]&amp;"/"&amp;Tabelle7[[#This Row],[Mittelgruppe]]&amp;"/-"</f>
        <v>#N/A</v>
      </c>
      <c r="N354" t="e">
        <f ca="1">Tabelle7[[#This Row],[Hauptgruppe]]&amp;"/"&amp;Tabelle7[[#This Row],[Mittelgruppe]]&amp;"/"&amp;Tabelle7[[#This Row],[Untergruppe]]</f>
        <v>#N/A</v>
      </c>
      <c r="O354" t="e">
        <f>INDEX(Tabelle6[Aktor],MATCH(Tabelle7[[#This Row],[Gesamtcode]],Tabelle6[Gesamtcode],0))&amp;" "&amp;INDEX(Tabelle6[Aktorkanal],MATCH(Tabelle7[[#This Row],[Gesamtcode]],Tabelle6[Gesamtcode],0))</f>
        <v>#N/A</v>
      </c>
    </row>
    <row r="355" spans="2:15" x14ac:dyDescent="0.25">
      <c r="B355" t="s">
        <v>325</v>
      </c>
      <c r="C355" t="e">
        <f>INDEX(Tabelle132[Zone],MATCH(Tabelle7[[#This Row],[Gesamtcode]],Tabelle132[Gesamtcode],0))</f>
        <v>#N/A</v>
      </c>
      <c r="D355" t="e">
        <f>INDEX(Tabelle132[Raum],MATCH(Tabelle7[[#This Row],[Gesamtcode]],Tabelle132[Gesamtcode],0))</f>
        <v>#N/A</v>
      </c>
      <c r="E355" t="e">
        <f>INDEX(Tabelle132[Bezeichnung],MATCH(Tabelle7[[#This Row],[Gesamtcode]],Tabelle132[Gesamtcode],0))</f>
        <v>#N/A</v>
      </c>
      <c r="F355" t="e">
        <f>"_"&amp;INDEX(Tabelle132[Geräte/Gewerke],MATCH(Tabelle7[[#This Row],[Gesamtcode]],Tabelle132[Gesamtcode],0))</f>
        <v>#N/A</v>
      </c>
      <c r="G355" t="e">
        <f>INDEX(Tabelle13[Gewerknr.],MATCH(Tabelle7[[#This Row],[Gewerke]],Tabelle13[Hauptgruppe],0))</f>
        <v>#N/A</v>
      </c>
      <c r="H355" t="s">
        <v>274</v>
      </c>
      <c r="I355" t="e">
        <f ca="1">INDEX(Tabelle134[Funktionsbereichsnr.],MATCH(Tabelle7[[#This Row],[Funktionsbereiche]],INDIRECT("Tabelle134["&amp;Tabelle7[[#This Row],[Gewerke]]&amp;"]"),0))</f>
        <v>#N/A</v>
      </c>
      <c r="J355" t="e">
        <f>Tabelle7[[#This Row],[Gesamtcode]]&amp;"_"&amp;Tabelle7[[#This Row],[Zone]]&amp;"_"&amp;Tabelle7[[#This Row],[Raum]]&amp;"_"&amp;Tabelle7[[#This Row],[Bezeichnung]]</f>
        <v>#N/A</v>
      </c>
      <c r="K355">
        <v>22</v>
      </c>
      <c r="L355" t="e">
        <f>Tabelle7[[#This Row],[Hauptgruppe]]&amp;"/-/-"</f>
        <v>#N/A</v>
      </c>
      <c r="M355" t="e">
        <f ca="1">Tabelle7[[#This Row],[Hauptgruppe]]&amp;"/"&amp;Tabelle7[[#This Row],[Mittelgruppe]]&amp;"/-"</f>
        <v>#N/A</v>
      </c>
      <c r="N355" t="e">
        <f ca="1">Tabelle7[[#This Row],[Hauptgruppe]]&amp;"/"&amp;Tabelle7[[#This Row],[Mittelgruppe]]&amp;"/"&amp;Tabelle7[[#This Row],[Untergruppe]]</f>
        <v>#N/A</v>
      </c>
      <c r="O355" t="e">
        <f>INDEX(Tabelle6[Aktor],MATCH(Tabelle7[[#This Row],[Gesamtcode]],Tabelle6[Gesamtcode],0))&amp;" "&amp;INDEX(Tabelle6[Aktorkanal],MATCH(Tabelle7[[#This Row],[Gesamtcode]],Tabelle6[Gesamtcode],0))</f>
        <v>#N/A</v>
      </c>
    </row>
    <row r="356" spans="2:15" x14ac:dyDescent="0.25">
      <c r="B356" t="s">
        <v>326</v>
      </c>
      <c r="C356" t="e">
        <f>INDEX(Tabelle132[Zone],MATCH(Tabelle7[[#This Row],[Gesamtcode]],Tabelle132[Gesamtcode],0))</f>
        <v>#N/A</v>
      </c>
      <c r="D356" t="e">
        <f>INDEX(Tabelle132[Raum],MATCH(Tabelle7[[#This Row],[Gesamtcode]],Tabelle132[Gesamtcode],0))</f>
        <v>#N/A</v>
      </c>
      <c r="E356" t="e">
        <f>INDEX(Tabelle132[Bezeichnung],MATCH(Tabelle7[[#This Row],[Gesamtcode]],Tabelle132[Gesamtcode],0))</f>
        <v>#N/A</v>
      </c>
      <c r="F356" t="e">
        <f>"_"&amp;INDEX(Tabelle132[Geräte/Gewerke],MATCH(Tabelle7[[#This Row],[Gesamtcode]],Tabelle132[Gesamtcode],0))</f>
        <v>#N/A</v>
      </c>
      <c r="G356" t="e">
        <f>INDEX(Tabelle13[Gewerknr.],MATCH(Tabelle7[[#This Row],[Gewerke]],Tabelle13[Hauptgruppe],0))</f>
        <v>#N/A</v>
      </c>
      <c r="H356" t="s">
        <v>274</v>
      </c>
      <c r="I356" t="e">
        <f ca="1">INDEX(Tabelle134[Funktionsbereichsnr.],MATCH(Tabelle7[[#This Row],[Funktionsbereiche]],INDIRECT("Tabelle134["&amp;Tabelle7[[#This Row],[Gewerke]]&amp;"]"),0))</f>
        <v>#N/A</v>
      </c>
      <c r="J356" t="e">
        <f>Tabelle7[[#This Row],[Gesamtcode]]&amp;"_"&amp;Tabelle7[[#This Row],[Zone]]&amp;"_"&amp;Tabelle7[[#This Row],[Raum]]&amp;"_"&amp;Tabelle7[[#This Row],[Bezeichnung]]</f>
        <v>#N/A</v>
      </c>
      <c r="K356">
        <v>23</v>
      </c>
      <c r="L356" t="e">
        <f>Tabelle7[[#This Row],[Hauptgruppe]]&amp;"/-/-"</f>
        <v>#N/A</v>
      </c>
      <c r="M356" t="e">
        <f ca="1">Tabelle7[[#This Row],[Hauptgruppe]]&amp;"/"&amp;Tabelle7[[#This Row],[Mittelgruppe]]&amp;"/-"</f>
        <v>#N/A</v>
      </c>
      <c r="N356" t="e">
        <f ca="1">Tabelle7[[#This Row],[Hauptgruppe]]&amp;"/"&amp;Tabelle7[[#This Row],[Mittelgruppe]]&amp;"/"&amp;Tabelle7[[#This Row],[Untergruppe]]</f>
        <v>#N/A</v>
      </c>
      <c r="O356" t="e">
        <f>INDEX(Tabelle6[Aktor],MATCH(Tabelle7[[#This Row],[Gesamtcode]],Tabelle6[Gesamtcode],0))&amp;" "&amp;INDEX(Tabelle6[Aktorkanal],MATCH(Tabelle7[[#This Row],[Gesamtcode]],Tabelle6[Gesamtcode],0))</f>
        <v>#N/A</v>
      </c>
    </row>
    <row r="357" spans="2:15" x14ac:dyDescent="0.25">
      <c r="B357" t="s">
        <v>327</v>
      </c>
      <c r="C357" t="e">
        <f>INDEX(Tabelle132[Zone],MATCH(Tabelle7[[#This Row],[Gesamtcode]],Tabelle132[Gesamtcode],0))</f>
        <v>#N/A</v>
      </c>
      <c r="D357" t="e">
        <f>INDEX(Tabelle132[Raum],MATCH(Tabelle7[[#This Row],[Gesamtcode]],Tabelle132[Gesamtcode],0))</f>
        <v>#N/A</v>
      </c>
      <c r="E357" t="e">
        <f>INDEX(Tabelle132[Bezeichnung],MATCH(Tabelle7[[#This Row],[Gesamtcode]],Tabelle132[Gesamtcode],0))</f>
        <v>#N/A</v>
      </c>
      <c r="F357" t="e">
        <f>"_"&amp;INDEX(Tabelle132[Geräte/Gewerke],MATCH(Tabelle7[[#This Row],[Gesamtcode]],Tabelle132[Gesamtcode],0))</f>
        <v>#N/A</v>
      </c>
      <c r="G357" t="e">
        <f>INDEX(Tabelle13[Gewerknr.],MATCH(Tabelle7[[#This Row],[Gewerke]],Tabelle13[Hauptgruppe],0))</f>
        <v>#N/A</v>
      </c>
      <c r="H357" t="s">
        <v>274</v>
      </c>
      <c r="I357" t="e">
        <f ca="1">INDEX(Tabelle134[Funktionsbereichsnr.],MATCH(Tabelle7[[#This Row],[Funktionsbereiche]],INDIRECT("Tabelle134["&amp;Tabelle7[[#This Row],[Gewerke]]&amp;"]"),0))</f>
        <v>#N/A</v>
      </c>
      <c r="J357" t="e">
        <f>Tabelle7[[#This Row],[Gesamtcode]]&amp;"_"&amp;Tabelle7[[#This Row],[Zone]]&amp;"_"&amp;Tabelle7[[#This Row],[Raum]]&amp;"_"&amp;Tabelle7[[#This Row],[Bezeichnung]]</f>
        <v>#N/A</v>
      </c>
      <c r="K357">
        <v>24</v>
      </c>
      <c r="L357" t="e">
        <f>Tabelle7[[#This Row],[Hauptgruppe]]&amp;"/-/-"</f>
        <v>#N/A</v>
      </c>
      <c r="M357" t="e">
        <f ca="1">Tabelle7[[#This Row],[Hauptgruppe]]&amp;"/"&amp;Tabelle7[[#This Row],[Mittelgruppe]]&amp;"/-"</f>
        <v>#N/A</v>
      </c>
      <c r="N357" t="e">
        <f ca="1">Tabelle7[[#This Row],[Hauptgruppe]]&amp;"/"&amp;Tabelle7[[#This Row],[Mittelgruppe]]&amp;"/"&amp;Tabelle7[[#This Row],[Untergruppe]]</f>
        <v>#N/A</v>
      </c>
      <c r="O357" t="e">
        <f>INDEX(Tabelle6[Aktor],MATCH(Tabelle7[[#This Row],[Gesamtcode]],Tabelle6[Gesamtcode],0))&amp;" "&amp;INDEX(Tabelle6[Aktorkanal],MATCH(Tabelle7[[#This Row],[Gesamtcode]],Tabelle6[Gesamtcode],0))</f>
        <v>#N/A</v>
      </c>
    </row>
    <row r="358" spans="2:15" x14ac:dyDescent="0.25">
      <c r="B358" t="s">
        <v>328</v>
      </c>
      <c r="C358" t="e">
        <f>INDEX(Tabelle132[Zone],MATCH(Tabelle7[[#This Row],[Gesamtcode]],Tabelle132[Gesamtcode],0))</f>
        <v>#N/A</v>
      </c>
      <c r="D358" t="e">
        <f>INDEX(Tabelle132[Raum],MATCH(Tabelle7[[#This Row],[Gesamtcode]],Tabelle132[Gesamtcode],0))</f>
        <v>#N/A</v>
      </c>
      <c r="E358" t="e">
        <f>INDEX(Tabelle132[Bezeichnung],MATCH(Tabelle7[[#This Row],[Gesamtcode]],Tabelle132[Gesamtcode],0))</f>
        <v>#N/A</v>
      </c>
      <c r="F358" t="e">
        <f>"_"&amp;INDEX(Tabelle132[Geräte/Gewerke],MATCH(Tabelle7[[#This Row],[Gesamtcode]],Tabelle132[Gesamtcode],0))</f>
        <v>#N/A</v>
      </c>
      <c r="G358" t="e">
        <f>INDEX(Tabelle13[Gewerknr.],MATCH(Tabelle7[[#This Row],[Gewerke]],Tabelle13[Hauptgruppe],0))</f>
        <v>#N/A</v>
      </c>
      <c r="H358" t="s">
        <v>274</v>
      </c>
      <c r="I358" t="e">
        <f ca="1">INDEX(Tabelle134[Funktionsbereichsnr.],MATCH(Tabelle7[[#This Row],[Funktionsbereiche]],INDIRECT("Tabelle134["&amp;Tabelle7[[#This Row],[Gewerke]]&amp;"]"),0))</f>
        <v>#N/A</v>
      </c>
      <c r="J358" t="e">
        <f>Tabelle7[[#This Row],[Gesamtcode]]&amp;"_"&amp;Tabelle7[[#This Row],[Zone]]&amp;"_"&amp;Tabelle7[[#This Row],[Raum]]&amp;"_"&amp;Tabelle7[[#This Row],[Bezeichnung]]</f>
        <v>#N/A</v>
      </c>
      <c r="K358">
        <v>25</v>
      </c>
      <c r="L358" t="e">
        <f>Tabelle7[[#This Row],[Hauptgruppe]]&amp;"/-/-"</f>
        <v>#N/A</v>
      </c>
      <c r="M358" t="e">
        <f ca="1">Tabelle7[[#This Row],[Hauptgruppe]]&amp;"/"&amp;Tabelle7[[#This Row],[Mittelgruppe]]&amp;"/-"</f>
        <v>#N/A</v>
      </c>
      <c r="N358" t="e">
        <f ca="1">Tabelle7[[#This Row],[Hauptgruppe]]&amp;"/"&amp;Tabelle7[[#This Row],[Mittelgruppe]]&amp;"/"&amp;Tabelle7[[#This Row],[Untergruppe]]</f>
        <v>#N/A</v>
      </c>
      <c r="O358" t="e">
        <f>INDEX(Tabelle6[Aktor],MATCH(Tabelle7[[#This Row],[Gesamtcode]],Tabelle6[Gesamtcode],0))&amp;" "&amp;INDEX(Tabelle6[Aktorkanal],MATCH(Tabelle7[[#This Row],[Gesamtcode]],Tabelle6[Gesamtcode],0))</f>
        <v>#N/A</v>
      </c>
    </row>
    <row r="359" spans="2:15" x14ac:dyDescent="0.25">
      <c r="B359" t="s">
        <v>329</v>
      </c>
      <c r="C359" t="e">
        <f>INDEX(Tabelle132[Zone],MATCH(Tabelle7[[#This Row],[Gesamtcode]],Tabelle132[Gesamtcode],0))</f>
        <v>#N/A</v>
      </c>
      <c r="D359" t="e">
        <f>INDEX(Tabelle132[Raum],MATCH(Tabelle7[[#This Row],[Gesamtcode]],Tabelle132[Gesamtcode],0))</f>
        <v>#N/A</v>
      </c>
      <c r="E359" t="e">
        <f>INDEX(Tabelle132[Bezeichnung],MATCH(Tabelle7[[#This Row],[Gesamtcode]],Tabelle132[Gesamtcode],0))</f>
        <v>#N/A</v>
      </c>
      <c r="F359" t="e">
        <f>"_"&amp;INDEX(Tabelle132[Geräte/Gewerke],MATCH(Tabelle7[[#This Row],[Gesamtcode]],Tabelle132[Gesamtcode],0))</f>
        <v>#N/A</v>
      </c>
      <c r="G359" t="e">
        <f>INDEX(Tabelle13[Gewerknr.],MATCH(Tabelle7[[#This Row],[Gewerke]],Tabelle13[Hauptgruppe],0))</f>
        <v>#N/A</v>
      </c>
      <c r="H359" t="s">
        <v>274</v>
      </c>
      <c r="I359" t="e">
        <f ca="1">INDEX(Tabelle134[Funktionsbereichsnr.],MATCH(Tabelle7[[#This Row],[Funktionsbereiche]],INDIRECT("Tabelle134["&amp;Tabelle7[[#This Row],[Gewerke]]&amp;"]"),0))</f>
        <v>#N/A</v>
      </c>
      <c r="J359" t="e">
        <f>Tabelle7[[#This Row],[Gesamtcode]]&amp;"_"&amp;Tabelle7[[#This Row],[Zone]]&amp;"_"&amp;Tabelle7[[#This Row],[Raum]]&amp;"_"&amp;Tabelle7[[#This Row],[Bezeichnung]]</f>
        <v>#N/A</v>
      </c>
      <c r="K359">
        <v>26</v>
      </c>
      <c r="L359" t="e">
        <f>Tabelle7[[#This Row],[Hauptgruppe]]&amp;"/-/-"</f>
        <v>#N/A</v>
      </c>
      <c r="M359" t="e">
        <f ca="1">Tabelle7[[#This Row],[Hauptgruppe]]&amp;"/"&amp;Tabelle7[[#This Row],[Mittelgruppe]]&amp;"/-"</f>
        <v>#N/A</v>
      </c>
      <c r="N359" t="e">
        <f ca="1">Tabelle7[[#This Row],[Hauptgruppe]]&amp;"/"&amp;Tabelle7[[#This Row],[Mittelgruppe]]&amp;"/"&amp;Tabelle7[[#This Row],[Untergruppe]]</f>
        <v>#N/A</v>
      </c>
      <c r="O359" t="e">
        <f>INDEX(Tabelle6[Aktor],MATCH(Tabelle7[[#This Row],[Gesamtcode]],Tabelle6[Gesamtcode],0))&amp;" "&amp;INDEX(Tabelle6[Aktorkanal],MATCH(Tabelle7[[#This Row],[Gesamtcode]],Tabelle6[Gesamtcode],0))</f>
        <v>#N/A</v>
      </c>
    </row>
    <row r="360" spans="2:15" x14ac:dyDescent="0.25">
      <c r="B360" t="s">
        <v>330</v>
      </c>
      <c r="C360" t="e">
        <f>INDEX(Tabelle132[Zone],MATCH(Tabelle7[[#This Row],[Gesamtcode]],Tabelle132[Gesamtcode],0))</f>
        <v>#N/A</v>
      </c>
      <c r="D360" t="e">
        <f>INDEX(Tabelle132[Raum],MATCH(Tabelle7[[#This Row],[Gesamtcode]],Tabelle132[Gesamtcode],0))</f>
        <v>#N/A</v>
      </c>
      <c r="E360" t="e">
        <f>INDEX(Tabelle132[Bezeichnung],MATCH(Tabelle7[[#This Row],[Gesamtcode]],Tabelle132[Gesamtcode],0))</f>
        <v>#N/A</v>
      </c>
      <c r="F360" t="e">
        <f>"_"&amp;INDEX(Tabelle132[Geräte/Gewerke],MATCH(Tabelle7[[#This Row],[Gesamtcode]],Tabelle132[Gesamtcode],0))</f>
        <v>#N/A</v>
      </c>
      <c r="G360" t="e">
        <f>INDEX(Tabelle13[Gewerknr.],MATCH(Tabelle7[[#This Row],[Gewerke]],Tabelle13[Hauptgruppe],0))</f>
        <v>#N/A</v>
      </c>
      <c r="H360" t="s">
        <v>274</v>
      </c>
      <c r="I360" t="e">
        <f ca="1">INDEX(Tabelle134[Funktionsbereichsnr.],MATCH(Tabelle7[[#This Row],[Funktionsbereiche]],INDIRECT("Tabelle134["&amp;Tabelle7[[#This Row],[Gewerke]]&amp;"]"),0))</f>
        <v>#N/A</v>
      </c>
      <c r="J360" t="e">
        <f>Tabelle7[[#This Row],[Gesamtcode]]&amp;"_"&amp;Tabelle7[[#This Row],[Zone]]&amp;"_"&amp;Tabelle7[[#This Row],[Raum]]&amp;"_"&amp;Tabelle7[[#This Row],[Bezeichnung]]</f>
        <v>#N/A</v>
      </c>
      <c r="K360">
        <v>27</v>
      </c>
      <c r="L360" t="e">
        <f>Tabelle7[[#This Row],[Hauptgruppe]]&amp;"/-/-"</f>
        <v>#N/A</v>
      </c>
      <c r="M360" t="e">
        <f ca="1">Tabelle7[[#This Row],[Hauptgruppe]]&amp;"/"&amp;Tabelle7[[#This Row],[Mittelgruppe]]&amp;"/-"</f>
        <v>#N/A</v>
      </c>
      <c r="N360" t="e">
        <f ca="1">Tabelle7[[#This Row],[Hauptgruppe]]&amp;"/"&amp;Tabelle7[[#This Row],[Mittelgruppe]]&amp;"/"&amp;Tabelle7[[#This Row],[Untergruppe]]</f>
        <v>#N/A</v>
      </c>
      <c r="O360" t="e">
        <f>INDEX(Tabelle6[Aktor],MATCH(Tabelle7[[#This Row],[Gesamtcode]],Tabelle6[Gesamtcode],0))&amp;" "&amp;INDEX(Tabelle6[Aktorkanal],MATCH(Tabelle7[[#This Row],[Gesamtcode]],Tabelle6[Gesamtcode],0))</f>
        <v>#N/A</v>
      </c>
    </row>
    <row r="361" spans="2:15" x14ac:dyDescent="0.25">
      <c r="B361" t="s">
        <v>331</v>
      </c>
      <c r="C361" t="e">
        <f>INDEX(Tabelle132[Zone],MATCH(Tabelle7[[#This Row],[Gesamtcode]],Tabelle132[Gesamtcode],0))</f>
        <v>#N/A</v>
      </c>
      <c r="D361" t="e">
        <f>INDEX(Tabelle132[Raum],MATCH(Tabelle7[[#This Row],[Gesamtcode]],Tabelle132[Gesamtcode],0))</f>
        <v>#N/A</v>
      </c>
      <c r="E361" t="e">
        <f>INDEX(Tabelle132[Bezeichnung],MATCH(Tabelle7[[#This Row],[Gesamtcode]],Tabelle132[Gesamtcode],0))</f>
        <v>#N/A</v>
      </c>
      <c r="F361" t="e">
        <f>"_"&amp;INDEX(Tabelle132[Geräte/Gewerke],MATCH(Tabelle7[[#This Row],[Gesamtcode]],Tabelle132[Gesamtcode],0))</f>
        <v>#N/A</v>
      </c>
      <c r="G361" t="e">
        <f>INDEX(Tabelle13[Gewerknr.],MATCH(Tabelle7[[#This Row],[Gewerke]],Tabelle13[Hauptgruppe],0))</f>
        <v>#N/A</v>
      </c>
      <c r="H361" t="s">
        <v>274</v>
      </c>
      <c r="I361" t="e">
        <f ca="1">INDEX(Tabelle134[Funktionsbereichsnr.],MATCH(Tabelle7[[#This Row],[Funktionsbereiche]],INDIRECT("Tabelle134["&amp;Tabelle7[[#This Row],[Gewerke]]&amp;"]"),0))</f>
        <v>#N/A</v>
      </c>
      <c r="J361" t="e">
        <f>Tabelle7[[#This Row],[Gesamtcode]]&amp;"_"&amp;Tabelle7[[#This Row],[Zone]]&amp;"_"&amp;Tabelle7[[#This Row],[Raum]]&amp;"_"&amp;Tabelle7[[#This Row],[Bezeichnung]]</f>
        <v>#N/A</v>
      </c>
      <c r="K361">
        <v>28</v>
      </c>
      <c r="L361" t="e">
        <f>Tabelle7[[#This Row],[Hauptgruppe]]&amp;"/-/-"</f>
        <v>#N/A</v>
      </c>
      <c r="M361" t="e">
        <f ca="1">Tabelle7[[#This Row],[Hauptgruppe]]&amp;"/"&amp;Tabelle7[[#This Row],[Mittelgruppe]]&amp;"/-"</f>
        <v>#N/A</v>
      </c>
      <c r="N361" t="e">
        <f ca="1">Tabelle7[[#This Row],[Hauptgruppe]]&amp;"/"&amp;Tabelle7[[#This Row],[Mittelgruppe]]&amp;"/"&amp;Tabelle7[[#This Row],[Untergruppe]]</f>
        <v>#N/A</v>
      </c>
      <c r="O361" t="e">
        <f>INDEX(Tabelle6[Aktor],MATCH(Tabelle7[[#This Row],[Gesamtcode]],Tabelle6[Gesamtcode],0))&amp;" "&amp;INDEX(Tabelle6[Aktorkanal],MATCH(Tabelle7[[#This Row],[Gesamtcode]],Tabelle6[Gesamtcode],0))</f>
        <v>#N/A</v>
      </c>
    </row>
    <row r="362" spans="2:15" x14ac:dyDescent="0.25">
      <c r="B362" t="s">
        <v>332</v>
      </c>
      <c r="C362" t="e">
        <f>INDEX(Tabelle132[Zone],MATCH(Tabelle7[[#This Row],[Gesamtcode]],Tabelle132[Gesamtcode],0))</f>
        <v>#N/A</v>
      </c>
      <c r="D362" t="e">
        <f>INDEX(Tabelle132[Raum],MATCH(Tabelle7[[#This Row],[Gesamtcode]],Tabelle132[Gesamtcode],0))</f>
        <v>#N/A</v>
      </c>
      <c r="E362" t="e">
        <f>INDEX(Tabelle132[Bezeichnung],MATCH(Tabelle7[[#This Row],[Gesamtcode]],Tabelle132[Gesamtcode],0))</f>
        <v>#N/A</v>
      </c>
      <c r="F362" t="e">
        <f>"_"&amp;INDEX(Tabelle132[Geräte/Gewerke],MATCH(Tabelle7[[#This Row],[Gesamtcode]],Tabelle132[Gesamtcode],0))</f>
        <v>#N/A</v>
      </c>
      <c r="G362" t="e">
        <f>INDEX(Tabelle13[Gewerknr.],MATCH(Tabelle7[[#This Row],[Gewerke]],Tabelle13[Hauptgruppe],0))</f>
        <v>#N/A</v>
      </c>
      <c r="H362" t="s">
        <v>274</v>
      </c>
      <c r="I362" t="e">
        <f ca="1">INDEX(Tabelle134[Funktionsbereichsnr.],MATCH(Tabelle7[[#This Row],[Funktionsbereiche]],INDIRECT("Tabelle134["&amp;Tabelle7[[#This Row],[Gewerke]]&amp;"]"),0))</f>
        <v>#N/A</v>
      </c>
      <c r="J362" t="e">
        <f>Tabelle7[[#This Row],[Gesamtcode]]&amp;"_"&amp;Tabelle7[[#This Row],[Zone]]&amp;"_"&amp;Tabelle7[[#This Row],[Raum]]&amp;"_"&amp;Tabelle7[[#This Row],[Bezeichnung]]</f>
        <v>#N/A</v>
      </c>
      <c r="K362">
        <v>29</v>
      </c>
      <c r="L362" t="e">
        <f>Tabelle7[[#This Row],[Hauptgruppe]]&amp;"/-/-"</f>
        <v>#N/A</v>
      </c>
      <c r="M362" t="e">
        <f ca="1">Tabelle7[[#This Row],[Hauptgruppe]]&amp;"/"&amp;Tabelle7[[#This Row],[Mittelgruppe]]&amp;"/-"</f>
        <v>#N/A</v>
      </c>
      <c r="N362" t="e">
        <f ca="1">Tabelle7[[#This Row],[Hauptgruppe]]&amp;"/"&amp;Tabelle7[[#This Row],[Mittelgruppe]]&amp;"/"&amp;Tabelle7[[#This Row],[Untergruppe]]</f>
        <v>#N/A</v>
      </c>
      <c r="O362" t="e">
        <f>INDEX(Tabelle6[Aktor],MATCH(Tabelle7[[#This Row],[Gesamtcode]],Tabelle6[Gesamtcode],0))&amp;" "&amp;INDEX(Tabelle6[Aktorkanal],MATCH(Tabelle7[[#This Row],[Gesamtcode]],Tabelle6[Gesamtcode],0))</f>
        <v>#N/A</v>
      </c>
    </row>
    <row r="363" spans="2:15" x14ac:dyDescent="0.25">
      <c r="B363" t="s">
        <v>333</v>
      </c>
      <c r="C363" t="e">
        <f>INDEX(Tabelle132[Zone],MATCH(Tabelle7[[#This Row],[Gesamtcode]],Tabelle132[Gesamtcode],0))</f>
        <v>#N/A</v>
      </c>
      <c r="D363" t="e">
        <f>INDEX(Tabelle132[Raum],MATCH(Tabelle7[[#This Row],[Gesamtcode]],Tabelle132[Gesamtcode],0))</f>
        <v>#N/A</v>
      </c>
      <c r="E363" t="e">
        <f>INDEX(Tabelle132[Bezeichnung],MATCH(Tabelle7[[#This Row],[Gesamtcode]],Tabelle132[Gesamtcode],0))</f>
        <v>#N/A</v>
      </c>
      <c r="F363" t="e">
        <f>"_"&amp;INDEX(Tabelle132[Geräte/Gewerke],MATCH(Tabelle7[[#This Row],[Gesamtcode]],Tabelle132[Gesamtcode],0))</f>
        <v>#N/A</v>
      </c>
      <c r="G363" t="e">
        <f>INDEX(Tabelle13[Gewerknr.],MATCH(Tabelle7[[#This Row],[Gewerke]],Tabelle13[Hauptgruppe],0))</f>
        <v>#N/A</v>
      </c>
      <c r="H363" t="s">
        <v>274</v>
      </c>
      <c r="I363" t="e">
        <f ca="1">INDEX(Tabelle134[Funktionsbereichsnr.],MATCH(Tabelle7[[#This Row],[Funktionsbereiche]],INDIRECT("Tabelle134["&amp;Tabelle7[[#This Row],[Gewerke]]&amp;"]"),0))</f>
        <v>#N/A</v>
      </c>
      <c r="J363" t="e">
        <f>Tabelle7[[#This Row],[Gesamtcode]]&amp;"_"&amp;Tabelle7[[#This Row],[Zone]]&amp;"_"&amp;Tabelle7[[#This Row],[Raum]]&amp;"_"&amp;Tabelle7[[#This Row],[Bezeichnung]]</f>
        <v>#N/A</v>
      </c>
      <c r="K363">
        <v>3</v>
      </c>
      <c r="L363" t="e">
        <f>Tabelle7[[#This Row],[Hauptgruppe]]&amp;"/-/-"</f>
        <v>#N/A</v>
      </c>
      <c r="M363" t="e">
        <f ca="1">Tabelle7[[#This Row],[Hauptgruppe]]&amp;"/"&amp;Tabelle7[[#This Row],[Mittelgruppe]]&amp;"/-"</f>
        <v>#N/A</v>
      </c>
      <c r="N363" t="e">
        <f ca="1">Tabelle7[[#This Row],[Hauptgruppe]]&amp;"/"&amp;Tabelle7[[#This Row],[Mittelgruppe]]&amp;"/"&amp;Tabelle7[[#This Row],[Untergruppe]]</f>
        <v>#N/A</v>
      </c>
      <c r="O363" t="e">
        <f>INDEX(Tabelle6[Aktor],MATCH(Tabelle7[[#This Row],[Gesamtcode]],Tabelle6[Gesamtcode],0))&amp;" "&amp;INDEX(Tabelle6[Aktorkanal],MATCH(Tabelle7[[#This Row],[Gesamtcode]],Tabelle6[Gesamtcode],0))</f>
        <v>#N/A</v>
      </c>
    </row>
    <row r="364" spans="2:15" x14ac:dyDescent="0.25">
      <c r="B364" t="s">
        <v>334</v>
      </c>
      <c r="C364" t="e">
        <f>INDEX(Tabelle132[Zone],MATCH(Tabelle7[[#This Row],[Gesamtcode]],Tabelle132[Gesamtcode],0))</f>
        <v>#N/A</v>
      </c>
      <c r="D364" t="e">
        <f>INDEX(Tabelle132[Raum],MATCH(Tabelle7[[#This Row],[Gesamtcode]],Tabelle132[Gesamtcode],0))</f>
        <v>#N/A</v>
      </c>
      <c r="E364" t="e">
        <f>INDEX(Tabelle132[Bezeichnung],MATCH(Tabelle7[[#This Row],[Gesamtcode]],Tabelle132[Gesamtcode],0))</f>
        <v>#N/A</v>
      </c>
      <c r="F364" t="e">
        <f>"_"&amp;INDEX(Tabelle132[Geräte/Gewerke],MATCH(Tabelle7[[#This Row],[Gesamtcode]],Tabelle132[Gesamtcode],0))</f>
        <v>#N/A</v>
      </c>
      <c r="G364" t="e">
        <f>INDEX(Tabelle13[Gewerknr.],MATCH(Tabelle7[[#This Row],[Gewerke]],Tabelle13[Hauptgruppe],0))</f>
        <v>#N/A</v>
      </c>
      <c r="H364" t="s">
        <v>274</v>
      </c>
      <c r="I364" t="e">
        <f ca="1">INDEX(Tabelle134[Funktionsbereichsnr.],MATCH(Tabelle7[[#This Row],[Funktionsbereiche]],INDIRECT("Tabelle134["&amp;Tabelle7[[#This Row],[Gewerke]]&amp;"]"),0))</f>
        <v>#N/A</v>
      </c>
      <c r="J364" t="e">
        <f>Tabelle7[[#This Row],[Gesamtcode]]&amp;"_"&amp;Tabelle7[[#This Row],[Zone]]&amp;"_"&amp;Tabelle7[[#This Row],[Raum]]&amp;"_"&amp;Tabelle7[[#This Row],[Bezeichnung]]</f>
        <v>#N/A</v>
      </c>
      <c r="K364">
        <v>30</v>
      </c>
      <c r="L364" t="e">
        <f>Tabelle7[[#This Row],[Hauptgruppe]]&amp;"/-/-"</f>
        <v>#N/A</v>
      </c>
      <c r="M364" t="e">
        <f ca="1">Tabelle7[[#This Row],[Hauptgruppe]]&amp;"/"&amp;Tabelle7[[#This Row],[Mittelgruppe]]&amp;"/-"</f>
        <v>#N/A</v>
      </c>
      <c r="N364" t="e">
        <f ca="1">Tabelle7[[#This Row],[Hauptgruppe]]&amp;"/"&amp;Tabelle7[[#This Row],[Mittelgruppe]]&amp;"/"&amp;Tabelle7[[#This Row],[Untergruppe]]</f>
        <v>#N/A</v>
      </c>
      <c r="O364" t="e">
        <f>INDEX(Tabelle6[Aktor],MATCH(Tabelle7[[#This Row],[Gesamtcode]],Tabelle6[Gesamtcode],0))&amp;" "&amp;INDEX(Tabelle6[Aktorkanal],MATCH(Tabelle7[[#This Row],[Gesamtcode]],Tabelle6[Gesamtcode],0))</f>
        <v>#N/A</v>
      </c>
    </row>
    <row r="365" spans="2:15" x14ac:dyDescent="0.25">
      <c r="B365" t="s">
        <v>335</v>
      </c>
      <c r="C365" t="e">
        <f>INDEX(Tabelle132[Zone],MATCH(Tabelle7[[#This Row],[Gesamtcode]],Tabelle132[Gesamtcode],0))</f>
        <v>#N/A</v>
      </c>
      <c r="D365" t="e">
        <f>INDEX(Tabelle132[Raum],MATCH(Tabelle7[[#This Row],[Gesamtcode]],Tabelle132[Gesamtcode],0))</f>
        <v>#N/A</v>
      </c>
      <c r="E365" t="e">
        <f>INDEX(Tabelle132[Bezeichnung],MATCH(Tabelle7[[#This Row],[Gesamtcode]],Tabelle132[Gesamtcode],0))</f>
        <v>#N/A</v>
      </c>
      <c r="F365" t="e">
        <f>"_"&amp;INDEX(Tabelle132[Geräte/Gewerke],MATCH(Tabelle7[[#This Row],[Gesamtcode]],Tabelle132[Gesamtcode],0))</f>
        <v>#N/A</v>
      </c>
      <c r="G365" t="e">
        <f>INDEX(Tabelle13[Gewerknr.],MATCH(Tabelle7[[#This Row],[Gewerke]],Tabelle13[Hauptgruppe],0))</f>
        <v>#N/A</v>
      </c>
      <c r="H365" t="s">
        <v>274</v>
      </c>
      <c r="I365" t="e">
        <f ca="1">INDEX(Tabelle134[Funktionsbereichsnr.],MATCH(Tabelle7[[#This Row],[Funktionsbereiche]],INDIRECT("Tabelle134["&amp;Tabelle7[[#This Row],[Gewerke]]&amp;"]"),0))</f>
        <v>#N/A</v>
      </c>
      <c r="J365" t="e">
        <f>Tabelle7[[#This Row],[Gesamtcode]]&amp;"_"&amp;Tabelle7[[#This Row],[Zone]]&amp;"_"&amp;Tabelle7[[#This Row],[Raum]]&amp;"_"&amp;Tabelle7[[#This Row],[Bezeichnung]]</f>
        <v>#N/A</v>
      </c>
      <c r="K365">
        <v>31</v>
      </c>
      <c r="L365" t="e">
        <f>Tabelle7[[#This Row],[Hauptgruppe]]&amp;"/-/-"</f>
        <v>#N/A</v>
      </c>
      <c r="M365" t="e">
        <f ca="1">Tabelle7[[#This Row],[Hauptgruppe]]&amp;"/"&amp;Tabelle7[[#This Row],[Mittelgruppe]]&amp;"/-"</f>
        <v>#N/A</v>
      </c>
      <c r="N365" t="e">
        <f ca="1">Tabelle7[[#This Row],[Hauptgruppe]]&amp;"/"&amp;Tabelle7[[#This Row],[Mittelgruppe]]&amp;"/"&amp;Tabelle7[[#This Row],[Untergruppe]]</f>
        <v>#N/A</v>
      </c>
      <c r="O365" t="e">
        <f>INDEX(Tabelle6[Aktor],MATCH(Tabelle7[[#This Row],[Gesamtcode]],Tabelle6[Gesamtcode],0))&amp;" "&amp;INDEX(Tabelle6[Aktorkanal],MATCH(Tabelle7[[#This Row],[Gesamtcode]],Tabelle6[Gesamtcode],0))</f>
        <v>#N/A</v>
      </c>
    </row>
    <row r="366" spans="2:15" x14ac:dyDescent="0.25">
      <c r="B366" t="s">
        <v>336</v>
      </c>
      <c r="C366" t="e">
        <f>INDEX(Tabelle132[Zone],MATCH(Tabelle7[[#This Row],[Gesamtcode]],Tabelle132[Gesamtcode],0))</f>
        <v>#N/A</v>
      </c>
      <c r="D366" t="e">
        <f>INDEX(Tabelle132[Raum],MATCH(Tabelle7[[#This Row],[Gesamtcode]],Tabelle132[Gesamtcode],0))</f>
        <v>#N/A</v>
      </c>
      <c r="E366" t="e">
        <f>INDEX(Tabelle132[Bezeichnung],MATCH(Tabelle7[[#This Row],[Gesamtcode]],Tabelle132[Gesamtcode],0))</f>
        <v>#N/A</v>
      </c>
      <c r="F366" t="e">
        <f>"_"&amp;INDEX(Tabelle132[Geräte/Gewerke],MATCH(Tabelle7[[#This Row],[Gesamtcode]],Tabelle132[Gesamtcode],0))</f>
        <v>#N/A</v>
      </c>
      <c r="G366" t="e">
        <f>INDEX(Tabelle13[Gewerknr.],MATCH(Tabelle7[[#This Row],[Gewerke]],Tabelle13[Hauptgruppe],0))</f>
        <v>#N/A</v>
      </c>
      <c r="H366" t="s">
        <v>274</v>
      </c>
      <c r="I366" t="e">
        <f ca="1">INDEX(Tabelle134[Funktionsbereichsnr.],MATCH(Tabelle7[[#This Row],[Funktionsbereiche]],INDIRECT("Tabelle134["&amp;Tabelle7[[#This Row],[Gewerke]]&amp;"]"),0))</f>
        <v>#N/A</v>
      </c>
      <c r="J366" t="e">
        <f>Tabelle7[[#This Row],[Gesamtcode]]&amp;"_"&amp;Tabelle7[[#This Row],[Zone]]&amp;"_"&amp;Tabelle7[[#This Row],[Raum]]&amp;"_"&amp;Tabelle7[[#This Row],[Bezeichnung]]</f>
        <v>#N/A</v>
      </c>
      <c r="K366">
        <v>32</v>
      </c>
      <c r="L366" t="e">
        <f>Tabelle7[[#This Row],[Hauptgruppe]]&amp;"/-/-"</f>
        <v>#N/A</v>
      </c>
      <c r="M366" t="e">
        <f ca="1">Tabelle7[[#This Row],[Hauptgruppe]]&amp;"/"&amp;Tabelle7[[#This Row],[Mittelgruppe]]&amp;"/-"</f>
        <v>#N/A</v>
      </c>
      <c r="N366" t="e">
        <f ca="1">Tabelle7[[#This Row],[Hauptgruppe]]&amp;"/"&amp;Tabelle7[[#This Row],[Mittelgruppe]]&amp;"/"&amp;Tabelle7[[#This Row],[Untergruppe]]</f>
        <v>#N/A</v>
      </c>
      <c r="O366" t="e">
        <f>INDEX(Tabelle6[Aktor],MATCH(Tabelle7[[#This Row],[Gesamtcode]],Tabelle6[Gesamtcode],0))&amp;" "&amp;INDEX(Tabelle6[Aktorkanal],MATCH(Tabelle7[[#This Row],[Gesamtcode]],Tabelle6[Gesamtcode],0))</f>
        <v>#N/A</v>
      </c>
    </row>
    <row r="367" spans="2:15" x14ac:dyDescent="0.25">
      <c r="B367" t="s">
        <v>337</v>
      </c>
      <c r="C367" t="e">
        <f>INDEX(Tabelle132[Zone],MATCH(Tabelle7[[#This Row],[Gesamtcode]],Tabelle132[Gesamtcode],0))</f>
        <v>#N/A</v>
      </c>
      <c r="D367" t="e">
        <f>INDEX(Tabelle132[Raum],MATCH(Tabelle7[[#This Row],[Gesamtcode]],Tabelle132[Gesamtcode],0))</f>
        <v>#N/A</v>
      </c>
      <c r="E367" t="e">
        <f>INDEX(Tabelle132[Bezeichnung],MATCH(Tabelle7[[#This Row],[Gesamtcode]],Tabelle132[Gesamtcode],0))</f>
        <v>#N/A</v>
      </c>
      <c r="F367" t="e">
        <f>"_"&amp;INDEX(Tabelle132[Geräte/Gewerke],MATCH(Tabelle7[[#This Row],[Gesamtcode]],Tabelle132[Gesamtcode],0))</f>
        <v>#N/A</v>
      </c>
      <c r="G367" t="e">
        <f>INDEX(Tabelle13[Gewerknr.],MATCH(Tabelle7[[#This Row],[Gewerke]],Tabelle13[Hauptgruppe],0))</f>
        <v>#N/A</v>
      </c>
      <c r="H367" t="s">
        <v>274</v>
      </c>
      <c r="I367" t="e">
        <f ca="1">INDEX(Tabelle134[Funktionsbereichsnr.],MATCH(Tabelle7[[#This Row],[Funktionsbereiche]],INDIRECT("Tabelle134["&amp;Tabelle7[[#This Row],[Gewerke]]&amp;"]"),0))</f>
        <v>#N/A</v>
      </c>
      <c r="J367" t="e">
        <f>Tabelle7[[#This Row],[Gesamtcode]]&amp;"_"&amp;Tabelle7[[#This Row],[Zone]]&amp;"_"&amp;Tabelle7[[#This Row],[Raum]]&amp;"_"&amp;Tabelle7[[#This Row],[Bezeichnung]]</f>
        <v>#N/A</v>
      </c>
      <c r="K367">
        <v>33</v>
      </c>
      <c r="L367" t="e">
        <f>Tabelle7[[#This Row],[Hauptgruppe]]&amp;"/-/-"</f>
        <v>#N/A</v>
      </c>
      <c r="M367" t="e">
        <f ca="1">Tabelle7[[#This Row],[Hauptgruppe]]&amp;"/"&amp;Tabelle7[[#This Row],[Mittelgruppe]]&amp;"/-"</f>
        <v>#N/A</v>
      </c>
      <c r="N367" t="e">
        <f ca="1">Tabelle7[[#This Row],[Hauptgruppe]]&amp;"/"&amp;Tabelle7[[#This Row],[Mittelgruppe]]&amp;"/"&amp;Tabelle7[[#This Row],[Untergruppe]]</f>
        <v>#N/A</v>
      </c>
      <c r="O367" t="e">
        <f>INDEX(Tabelle6[Aktor],MATCH(Tabelle7[[#This Row],[Gesamtcode]],Tabelle6[Gesamtcode],0))&amp;" "&amp;INDEX(Tabelle6[Aktorkanal],MATCH(Tabelle7[[#This Row],[Gesamtcode]],Tabelle6[Gesamtcode],0))</f>
        <v>#N/A</v>
      </c>
    </row>
    <row r="368" spans="2:15" x14ac:dyDescent="0.25">
      <c r="B368" t="s">
        <v>338</v>
      </c>
      <c r="C368" t="e">
        <f>INDEX(Tabelle132[Zone],MATCH(Tabelle7[[#This Row],[Gesamtcode]],Tabelle132[Gesamtcode],0))</f>
        <v>#N/A</v>
      </c>
      <c r="D368" t="e">
        <f>INDEX(Tabelle132[Raum],MATCH(Tabelle7[[#This Row],[Gesamtcode]],Tabelle132[Gesamtcode],0))</f>
        <v>#N/A</v>
      </c>
      <c r="E368" t="e">
        <f>INDEX(Tabelle132[Bezeichnung],MATCH(Tabelle7[[#This Row],[Gesamtcode]],Tabelle132[Gesamtcode],0))</f>
        <v>#N/A</v>
      </c>
      <c r="F368" t="e">
        <f>"_"&amp;INDEX(Tabelle132[Geräte/Gewerke],MATCH(Tabelle7[[#This Row],[Gesamtcode]],Tabelle132[Gesamtcode],0))</f>
        <v>#N/A</v>
      </c>
      <c r="G368" t="e">
        <f>INDEX(Tabelle13[Gewerknr.],MATCH(Tabelle7[[#This Row],[Gewerke]],Tabelle13[Hauptgruppe],0))</f>
        <v>#N/A</v>
      </c>
      <c r="H368" t="s">
        <v>274</v>
      </c>
      <c r="I368" t="e">
        <f ca="1">INDEX(Tabelle134[Funktionsbereichsnr.],MATCH(Tabelle7[[#This Row],[Funktionsbereiche]],INDIRECT("Tabelle134["&amp;Tabelle7[[#This Row],[Gewerke]]&amp;"]"),0))</f>
        <v>#N/A</v>
      </c>
      <c r="J368" t="e">
        <f>Tabelle7[[#This Row],[Gesamtcode]]&amp;"_"&amp;Tabelle7[[#This Row],[Zone]]&amp;"_"&amp;Tabelle7[[#This Row],[Raum]]&amp;"_"&amp;Tabelle7[[#This Row],[Bezeichnung]]</f>
        <v>#N/A</v>
      </c>
      <c r="K368">
        <v>4</v>
      </c>
      <c r="L368" t="e">
        <f>Tabelle7[[#This Row],[Hauptgruppe]]&amp;"/-/-"</f>
        <v>#N/A</v>
      </c>
      <c r="M368" t="e">
        <f ca="1">Tabelle7[[#This Row],[Hauptgruppe]]&amp;"/"&amp;Tabelle7[[#This Row],[Mittelgruppe]]&amp;"/-"</f>
        <v>#N/A</v>
      </c>
      <c r="N368" t="e">
        <f ca="1">Tabelle7[[#This Row],[Hauptgruppe]]&amp;"/"&amp;Tabelle7[[#This Row],[Mittelgruppe]]&amp;"/"&amp;Tabelle7[[#This Row],[Untergruppe]]</f>
        <v>#N/A</v>
      </c>
      <c r="O368" t="e">
        <f>INDEX(Tabelle6[Aktor],MATCH(Tabelle7[[#This Row],[Gesamtcode]],Tabelle6[Gesamtcode],0))&amp;" "&amp;INDEX(Tabelle6[Aktorkanal],MATCH(Tabelle7[[#This Row],[Gesamtcode]],Tabelle6[Gesamtcode],0))</f>
        <v>#N/A</v>
      </c>
    </row>
    <row r="369" spans="2:15" x14ac:dyDescent="0.25">
      <c r="B369" t="s">
        <v>339</v>
      </c>
      <c r="C369" t="e">
        <f>INDEX(Tabelle132[Zone],MATCH(Tabelle7[[#This Row],[Gesamtcode]],Tabelle132[Gesamtcode],0))</f>
        <v>#N/A</v>
      </c>
      <c r="D369" t="e">
        <f>INDEX(Tabelle132[Raum],MATCH(Tabelle7[[#This Row],[Gesamtcode]],Tabelle132[Gesamtcode],0))</f>
        <v>#N/A</v>
      </c>
      <c r="E369" t="e">
        <f>INDEX(Tabelle132[Bezeichnung],MATCH(Tabelle7[[#This Row],[Gesamtcode]],Tabelle132[Gesamtcode],0))</f>
        <v>#N/A</v>
      </c>
      <c r="F369" t="e">
        <f>"_"&amp;INDEX(Tabelle132[Geräte/Gewerke],MATCH(Tabelle7[[#This Row],[Gesamtcode]],Tabelle132[Gesamtcode],0))</f>
        <v>#N/A</v>
      </c>
      <c r="G369" t="e">
        <f>INDEX(Tabelle13[Gewerknr.],MATCH(Tabelle7[[#This Row],[Gewerke]],Tabelle13[Hauptgruppe],0))</f>
        <v>#N/A</v>
      </c>
      <c r="H369" t="s">
        <v>274</v>
      </c>
      <c r="I369" t="e">
        <f ca="1">INDEX(Tabelle134[Funktionsbereichsnr.],MATCH(Tabelle7[[#This Row],[Funktionsbereiche]],INDIRECT("Tabelle134["&amp;Tabelle7[[#This Row],[Gewerke]]&amp;"]"),0))</f>
        <v>#N/A</v>
      </c>
      <c r="J369" t="e">
        <f>Tabelle7[[#This Row],[Gesamtcode]]&amp;"_"&amp;Tabelle7[[#This Row],[Zone]]&amp;"_"&amp;Tabelle7[[#This Row],[Raum]]&amp;"_"&amp;Tabelle7[[#This Row],[Bezeichnung]]</f>
        <v>#N/A</v>
      </c>
      <c r="K369">
        <v>5</v>
      </c>
      <c r="L369" t="e">
        <f>Tabelle7[[#This Row],[Hauptgruppe]]&amp;"/-/-"</f>
        <v>#N/A</v>
      </c>
      <c r="M369" t="e">
        <f ca="1">Tabelle7[[#This Row],[Hauptgruppe]]&amp;"/"&amp;Tabelle7[[#This Row],[Mittelgruppe]]&amp;"/-"</f>
        <v>#N/A</v>
      </c>
      <c r="N369" t="e">
        <f ca="1">Tabelle7[[#This Row],[Hauptgruppe]]&amp;"/"&amp;Tabelle7[[#This Row],[Mittelgruppe]]&amp;"/"&amp;Tabelle7[[#This Row],[Untergruppe]]</f>
        <v>#N/A</v>
      </c>
      <c r="O369" t="e">
        <f>INDEX(Tabelle6[Aktor],MATCH(Tabelle7[[#This Row],[Gesamtcode]],Tabelle6[Gesamtcode],0))&amp;" "&amp;INDEX(Tabelle6[Aktorkanal],MATCH(Tabelle7[[#This Row],[Gesamtcode]],Tabelle6[Gesamtcode],0))</f>
        <v>#N/A</v>
      </c>
    </row>
    <row r="370" spans="2:15" x14ac:dyDescent="0.25">
      <c r="B370" t="s">
        <v>340</v>
      </c>
      <c r="C370" t="e">
        <f>INDEX(Tabelle132[Zone],MATCH(Tabelle7[[#This Row],[Gesamtcode]],Tabelle132[Gesamtcode],0))</f>
        <v>#N/A</v>
      </c>
      <c r="D370" t="e">
        <f>INDEX(Tabelle132[Raum],MATCH(Tabelle7[[#This Row],[Gesamtcode]],Tabelle132[Gesamtcode],0))</f>
        <v>#N/A</v>
      </c>
      <c r="E370" t="e">
        <f>INDEX(Tabelle132[Bezeichnung],MATCH(Tabelle7[[#This Row],[Gesamtcode]],Tabelle132[Gesamtcode],0))</f>
        <v>#N/A</v>
      </c>
      <c r="F370" t="e">
        <f>"_"&amp;INDEX(Tabelle132[Geräte/Gewerke],MATCH(Tabelle7[[#This Row],[Gesamtcode]],Tabelle132[Gesamtcode],0))</f>
        <v>#N/A</v>
      </c>
      <c r="G370" t="e">
        <f>INDEX(Tabelle13[Gewerknr.],MATCH(Tabelle7[[#This Row],[Gewerke]],Tabelle13[Hauptgruppe],0))</f>
        <v>#N/A</v>
      </c>
      <c r="H370" t="s">
        <v>274</v>
      </c>
      <c r="I370" t="e">
        <f ca="1">INDEX(Tabelle134[Funktionsbereichsnr.],MATCH(Tabelle7[[#This Row],[Funktionsbereiche]],INDIRECT("Tabelle134["&amp;Tabelle7[[#This Row],[Gewerke]]&amp;"]"),0))</f>
        <v>#N/A</v>
      </c>
      <c r="J370" t="e">
        <f>Tabelle7[[#This Row],[Gesamtcode]]&amp;"_"&amp;Tabelle7[[#This Row],[Zone]]&amp;"_"&amp;Tabelle7[[#This Row],[Raum]]&amp;"_"&amp;Tabelle7[[#This Row],[Bezeichnung]]</f>
        <v>#N/A</v>
      </c>
      <c r="K370">
        <v>6</v>
      </c>
      <c r="L370" t="e">
        <f>Tabelle7[[#This Row],[Hauptgruppe]]&amp;"/-/-"</f>
        <v>#N/A</v>
      </c>
      <c r="M370" t="e">
        <f ca="1">Tabelle7[[#This Row],[Hauptgruppe]]&amp;"/"&amp;Tabelle7[[#This Row],[Mittelgruppe]]&amp;"/-"</f>
        <v>#N/A</v>
      </c>
      <c r="N370" t="e">
        <f ca="1">Tabelle7[[#This Row],[Hauptgruppe]]&amp;"/"&amp;Tabelle7[[#This Row],[Mittelgruppe]]&amp;"/"&amp;Tabelle7[[#This Row],[Untergruppe]]</f>
        <v>#N/A</v>
      </c>
      <c r="O370" t="e">
        <f>INDEX(Tabelle6[Aktor],MATCH(Tabelle7[[#This Row],[Gesamtcode]],Tabelle6[Gesamtcode],0))&amp;" "&amp;INDEX(Tabelle6[Aktorkanal],MATCH(Tabelle7[[#This Row],[Gesamtcode]],Tabelle6[Gesamtcode],0))</f>
        <v>#N/A</v>
      </c>
    </row>
    <row r="371" spans="2:15" x14ac:dyDescent="0.25">
      <c r="B371" t="s">
        <v>341</v>
      </c>
      <c r="C371" t="e">
        <f>INDEX(Tabelle132[Zone],MATCH(Tabelle7[[#This Row],[Gesamtcode]],Tabelle132[Gesamtcode],0))</f>
        <v>#N/A</v>
      </c>
      <c r="D371" t="e">
        <f>INDEX(Tabelle132[Raum],MATCH(Tabelle7[[#This Row],[Gesamtcode]],Tabelle132[Gesamtcode],0))</f>
        <v>#N/A</v>
      </c>
      <c r="E371" t="e">
        <f>INDEX(Tabelle132[Bezeichnung],MATCH(Tabelle7[[#This Row],[Gesamtcode]],Tabelle132[Gesamtcode],0))</f>
        <v>#N/A</v>
      </c>
      <c r="F371" t="e">
        <f>"_"&amp;INDEX(Tabelle132[Geräte/Gewerke],MATCH(Tabelle7[[#This Row],[Gesamtcode]],Tabelle132[Gesamtcode],0))</f>
        <v>#N/A</v>
      </c>
      <c r="G371" t="e">
        <f>INDEX(Tabelle13[Gewerknr.],MATCH(Tabelle7[[#This Row],[Gewerke]],Tabelle13[Hauptgruppe],0))</f>
        <v>#N/A</v>
      </c>
      <c r="H371" t="s">
        <v>274</v>
      </c>
      <c r="I371" t="e">
        <f ca="1">INDEX(Tabelle134[Funktionsbereichsnr.],MATCH(Tabelle7[[#This Row],[Funktionsbereiche]],INDIRECT("Tabelle134["&amp;Tabelle7[[#This Row],[Gewerke]]&amp;"]"),0))</f>
        <v>#N/A</v>
      </c>
      <c r="J371" t="e">
        <f>Tabelle7[[#This Row],[Gesamtcode]]&amp;"_"&amp;Tabelle7[[#This Row],[Zone]]&amp;"_"&amp;Tabelle7[[#This Row],[Raum]]&amp;"_"&amp;Tabelle7[[#This Row],[Bezeichnung]]</f>
        <v>#N/A</v>
      </c>
      <c r="K371">
        <v>7</v>
      </c>
      <c r="L371" t="e">
        <f>Tabelle7[[#This Row],[Hauptgruppe]]&amp;"/-/-"</f>
        <v>#N/A</v>
      </c>
      <c r="M371" t="e">
        <f ca="1">Tabelle7[[#This Row],[Hauptgruppe]]&amp;"/"&amp;Tabelle7[[#This Row],[Mittelgruppe]]&amp;"/-"</f>
        <v>#N/A</v>
      </c>
      <c r="N371" t="e">
        <f ca="1">Tabelle7[[#This Row],[Hauptgruppe]]&amp;"/"&amp;Tabelle7[[#This Row],[Mittelgruppe]]&amp;"/"&amp;Tabelle7[[#This Row],[Untergruppe]]</f>
        <v>#N/A</v>
      </c>
      <c r="O371" t="e">
        <f>INDEX(Tabelle6[Aktor],MATCH(Tabelle7[[#This Row],[Gesamtcode]],Tabelle6[Gesamtcode],0))&amp;" "&amp;INDEX(Tabelle6[Aktorkanal],MATCH(Tabelle7[[#This Row],[Gesamtcode]],Tabelle6[Gesamtcode],0))</f>
        <v>#N/A</v>
      </c>
    </row>
    <row r="372" spans="2:15" x14ac:dyDescent="0.25">
      <c r="B372" t="s">
        <v>342</v>
      </c>
      <c r="C372" t="e">
        <f>INDEX(Tabelle132[Zone],MATCH(Tabelle7[[#This Row],[Gesamtcode]],Tabelle132[Gesamtcode],0))</f>
        <v>#N/A</v>
      </c>
      <c r="D372" t="e">
        <f>INDEX(Tabelle132[Raum],MATCH(Tabelle7[[#This Row],[Gesamtcode]],Tabelle132[Gesamtcode],0))</f>
        <v>#N/A</v>
      </c>
      <c r="E372" t="e">
        <f>INDEX(Tabelle132[Bezeichnung],MATCH(Tabelle7[[#This Row],[Gesamtcode]],Tabelle132[Gesamtcode],0))</f>
        <v>#N/A</v>
      </c>
      <c r="F372" t="e">
        <f>"_"&amp;INDEX(Tabelle132[Geräte/Gewerke],MATCH(Tabelle7[[#This Row],[Gesamtcode]],Tabelle132[Gesamtcode],0))</f>
        <v>#N/A</v>
      </c>
      <c r="G372" t="e">
        <f>INDEX(Tabelle13[Gewerknr.],MATCH(Tabelle7[[#This Row],[Gewerke]],Tabelle13[Hauptgruppe],0))</f>
        <v>#N/A</v>
      </c>
      <c r="H372" t="s">
        <v>274</v>
      </c>
      <c r="I372" t="e">
        <f ca="1">INDEX(Tabelle134[Funktionsbereichsnr.],MATCH(Tabelle7[[#This Row],[Funktionsbereiche]],INDIRECT("Tabelle134["&amp;Tabelle7[[#This Row],[Gewerke]]&amp;"]"),0))</f>
        <v>#N/A</v>
      </c>
      <c r="J372" t="e">
        <f>Tabelle7[[#This Row],[Gesamtcode]]&amp;"_"&amp;Tabelle7[[#This Row],[Zone]]&amp;"_"&amp;Tabelle7[[#This Row],[Raum]]&amp;"_"&amp;Tabelle7[[#This Row],[Bezeichnung]]</f>
        <v>#N/A</v>
      </c>
      <c r="K372">
        <v>8</v>
      </c>
      <c r="L372" t="e">
        <f>Tabelle7[[#This Row],[Hauptgruppe]]&amp;"/-/-"</f>
        <v>#N/A</v>
      </c>
      <c r="M372" t="e">
        <f ca="1">Tabelle7[[#This Row],[Hauptgruppe]]&amp;"/"&amp;Tabelle7[[#This Row],[Mittelgruppe]]&amp;"/-"</f>
        <v>#N/A</v>
      </c>
      <c r="N372" t="e">
        <f ca="1">Tabelle7[[#This Row],[Hauptgruppe]]&amp;"/"&amp;Tabelle7[[#This Row],[Mittelgruppe]]&amp;"/"&amp;Tabelle7[[#This Row],[Untergruppe]]</f>
        <v>#N/A</v>
      </c>
      <c r="O372" t="e">
        <f>INDEX(Tabelle6[Aktor],MATCH(Tabelle7[[#This Row],[Gesamtcode]],Tabelle6[Gesamtcode],0))&amp;" "&amp;INDEX(Tabelle6[Aktorkanal],MATCH(Tabelle7[[#This Row],[Gesamtcode]],Tabelle6[Gesamtcode],0))</f>
        <v>#N/A</v>
      </c>
    </row>
    <row r="373" spans="2:15" x14ac:dyDescent="0.25">
      <c r="B373" t="s">
        <v>343</v>
      </c>
      <c r="C373" t="e">
        <f>INDEX(Tabelle132[Zone],MATCH(Tabelle7[[#This Row],[Gesamtcode]],Tabelle132[Gesamtcode],0))</f>
        <v>#N/A</v>
      </c>
      <c r="D373" t="e">
        <f>INDEX(Tabelle132[Raum],MATCH(Tabelle7[[#This Row],[Gesamtcode]],Tabelle132[Gesamtcode],0))</f>
        <v>#N/A</v>
      </c>
      <c r="E373" t="e">
        <f>INDEX(Tabelle132[Bezeichnung],MATCH(Tabelle7[[#This Row],[Gesamtcode]],Tabelle132[Gesamtcode],0))</f>
        <v>#N/A</v>
      </c>
      <c r="F373" t="e">
        <f>"_"&amp;INDEX(Tabelle132[Geräte/Gewerke],MATCH(Tabelle7[[#This Row],[Gesamtcode]],Tabelle132[Gesamtcode],0))</f>
        <v>#N/A</v>
      </c>
      <c r="G373" t="e">
        <f>INDEX(Tabelle13[Gewerknr.],MATCH(Tabelle7[[#This Row],[Gewerke]],Tabelle13[Hauptgruppe],0))</f>
        <v>#N/A</v>
      </c>
      <c r="H373" t="s">
        <v>274</v>
      </c>
      <c r="I373" t="e">
        <f ca="1">INDEX(Tabelle134[Funktionsbereichsnr.],MATCH(Tabelle7[[#This Row],[Funktionsbereiche]],INDIRECT("Tabelle134["&amp;Tabelle7[[#This Row],[Gewerke]]&amp;"]"),0))</f>
        <v>#N/A</v>
      </c>
      <c r="J373" t="e">
        <f>Tabelle7[[#This Row],[Gesamtcode]]&amp;"_"&amp;Tabelle7[[#This Row],[Zone]]&amp;"_"&amp;Tabelle7[[#This Row],[Raum]]&amp;"_"&amp;Tabelle7[[#This Row],[Bezeichnung]]</f>
        <v>#N/A</v>
      </c>
      <c r="K373">
        <v>9</v>
      </c>
      <c r="L373" t="e">
        <f>Tabelle7[[#This Row],[Hauptgruppe]]&amp;"/-/-"</f>
        <v>#N/A</v>
      </c>
      <c r="M373" t="e">
        <f ca="1">Tabelle7[[#This Row],[Hauptgruppe]]&amp;"/"&amp;Tabelle7[[#This Row],[Mittelgruppe]]&amp;"/-"</f>
        <v>#N/A</v>
      </c>
      <c r="N373" t="e">
        <f ca="1">Tabelle7[[#This Row],[Hauptgruppe]]&amp;"/"&amp;Tabelle7[[#This Row],[Mittelgruppe]]&amp;"/"&amp;Tabelle7[[#This Row],[Untergruppe]]</f>
        <v>#N/A</v>
      </c>
      <c r="O373" t="e">
        <f>INDEX(Tabelle6[Aktor],MATCH(Tabelle7[[#This Row],[Gesamtcode]],Tabelle6[Gesamtcode],0))&amp;" "&amp;INDEX(Tabelle6[Aktorkanal],MATCH(Tabelle7[[#This Row],[Gesamtcode]],Tabelle6[Gesamtcode],0))</f>
        <v>#N/A</v>
      </c>
    </row>
    <row r="374" spans="2:15" x14ac:dyDescent="0.25">
      <c r="B374" t="s">
        <v>332</v>
      </c>
      <c r="C374" t="e">
        <f>INDEX(Tabelle132[Zone],MATCH(Tabelle7[[#This Row],[Gesamtcode]],Tabelle132[Gesamtcode],0))</f>
        <v>#N/A</v>
      </c>
      <c r="D374" t="e">
        <f>INDEX(Tabelle132[Raum],MATCH(Tabelle7[[#This Row],[Gesamtcode]],Tabelle132[Gesamtcode],0))</f>
        <v>#N/A</v>
      </c>
      <c r="E374" t="e">
        <f>INDEX(Tabelle132[Bezeichnung],MATCH(Tabelle7[[#This Row],[Gesamtcode]],Tabelle132[Gesamtcode],0))</f>
        <v>#N/A</v>
      </c>
      <c r="F374" t="e">
        <f>"_"&amp;INDEX(Tabelle132[Geräte/Gewerke],MATCH(Tabelle7[[#This Row],[Gesamtcode]],Tabelle132[Gesamtcode],0))</f>
        <v>#N/A</v>
      </c>
      <c r="G374" t="e">
        <f>INDEX(Tabelle13[Gewerknr.],MATCH(Tabelle7[[#This Row],[Gewerke]],Tabelle13[Hauptgruppe],0))</f>
        <v>#N/A</v>
      </c>
      <c r="H374" t="s">
        <v>344</v>
      </c>
      <c r="I374" t="e">
        <f ca="1">INDEX(Tabelle134[Funktionsbereichsnr.],MATCH(Tabelle7[[#This Row],[Funktionsbereiche]],INDIRECT("Tabelle134["&amp;Tabelle7[[#This Row],[Gewerke]]&amp;"]"),0))</f>
        <v>#N/A</v>
      </c>
      <c r="J374" t="e">
        <f>Tabelle7[[#This Row],[Gesamtcode]]&amp;"_"&amp;Tabelle7[[#This Row],[Zone]]&amp;"_"&amp;Tabelle7[[#This Row],[Raum]]&amp;"_"&amp;Tabelle7[[#This Row],[Bezeichnung]]</f>
        <v>#N/A</v>
      </c>
      <c r="K374">
        <v>0</v>
      </c>
      <c r="L374" t="e">
        <f>Tabelle7[[#This Row],[Hauptgruppe]]&amp;"/-/-"</f>
        <v>#N/A</v>
      </c>
      <c r="M374" t="e">
        <f ca="1">Tabelle7[[#This Row],[Hauptgruppe]]&amp;"/"&amp;Tabelle7[[#This Row],[Mittelgruppe]]&amp;"/-"</f>
        <v>#N/A</v>
      </c>
      <c r="N374" t="e">
        <f ca="1">Tabelle7[[#This Row],[Hauptgruppe]]&amp;"/"&amp;Tabelle7[[#This Row],[Mittelgruppe]]&amp;"/"&amp;Tabelle7[[#This Row],[Untergruppe]]</f>
        <v>#N/A</v>
      </c>
      <c r="O374" t="e">
        <f>INDEX(Tabelle6[Aktor],MATCH(Tabelle7[[#This Row],[Gesamtcode]],Tabelle6[Gesamtcode],0))&amp;" "&amp;INDEX(Tabelle6[Aktorkanal],MATCH(Tabelle7[[#This Row],[Gesamtcode]],Tabelle6[Gesamtcode],0))</f>
        <v>#N/A</v>
      </c>
    </row>
    <row r="375" spans="2:15" x14ac:dyDescent="0.25">
      <c r="B375" t="s">
        <v>334</v>
      </c>
      <c r="C375" t="e">
        <f>INDEX(Tabelle132[Zone],MATCH(Tabelle7[[#This Row],[Gesamtcode]],Tabelle132[Gesamtcode],0))</f>
        <v>#N/A</v>
      </c>
      <c r="D375" t="e">
        <f>INDEX(Tabelle132[Raum],MATCH(Tabelle7[[#This Row],[Gesamtcode]],Tabelle132[Gesamtcode],0))</f>
        <v>#N/A</v>
      </c>
      <c r="E375" t="e">
        <f>INDEX(Tabelle132[Bezeichnung],MATCH(Tabelle7[[#This Row],[Gesamtcode]],Tabelle132[Gesamtcode],0))</f>
        <v>#N/A</v>
      </c>
      <c r="F375" t="e">
        <f>"_"&amp;INDEX(Tabelle132[Geräte/Gewerke],MATCH(Tabelle7[[#This Row],[Gesamtcode]],Tabelle132[Gesamtcode],0))</f>
        <v>#N/A</v>
      </c>
      <c r="G375" t="e">
        <f>INDEX(Tabelle13[Gewerknr.],MATCH(Tabelle7[[#This Row],[Gewerke]],Tabelle13[Hauptgruppe],0))</f>
        <v>#N/A</v>
      </c>
      <c r="H375" t="s">
        <v>344</v>
      </c>
      <c r="I375" t="e">
        <f ca="1">INDEX(Tabelle134[Funktionsbereichsnr.],MATCH(Tabelle7[[#This Row],[Funktionsbereiche]],INDIRECT("Tabelle134["&amp;Tabelle7[[#This Row],[Gewerke]]&amp;"]"),0))</f>
        <v>#N/A</v>
      </c>
      <c r="J375" t="e">
        <f>Tabelle7[[#This Row],[Gesamtcode]]&amp;"_"&amp;Tabelle7[[#This Row],[Zone]]&amp;"_"&amp;Tabelle7[[#This Row],[Raum]]&amp;"_"&amp;Tabelle7[[#This Row],[Bezeichnung]]</f>
        <v>#N/A</v>
      </c>
      <c r="K375">
        <v>1</v>
      </c>
      <c r="L375" t="e">
        <f>Tabelle7[[#This Row],[Hauptgruppe]]&amp;"/-/-"</f>
        <v>#N/A</v>
      </c>
      <c r="M375" t="e">
        <f ca="1">Tabelle7[[#This Row],[Hauptgruppe]]&amp;"/"&amp;Tabelle7[[#This Row],[Mittelgruppe]]&amp;"/-"</f>
        <v>#N/A</v>
      </c>
      <c r="N375" t="e">
        <f ca="1">Tabelle7[[#This Row],[Hauptgruppe]]&amp;"/"&amp;Tabelle7[[#This Row],[Mittelgruppe]]&amp;"/"&amp;Tabelle7[[#This Row],[Untergruppe]]</f>
        <v>#N/A</v>
      </c>
      <c r="O375" t="e">
        <f>INDEX(Tabelle6[Aktor],MATCH(Tabelle7[[#This Row],[Gesamtcode]],Tabelle6[Gesamtcode],0))&amp;" "&amp;INDEX(Tabelle6[Aktorkanal],MATCH(Tabelle7[[#This Row],[Gesamtcode]],Tabelle6[Gesamtcode],0))</f>
        <v>#N/A</v>
      </c>
    </row>
    <row r="376" spans="2:15" x14ac:dyDescent="0.25">
      <c r="B376" t="s">
        <v>335</v>
      </c>
      <c r="C376" t="e">
        <f>INDEX(Tabelle132[Zone],MATCH(Tabelle7[[#This Row],[Gesamtcode]],Tabelle132[Gesamtcode],0))</f>
        <v>#N/A</v>
      </c>
      <c r="D376" t="e">
        <f>INDEX(Tabelle132[Raum],MATCH(Tabelle7[[#This Row],[Gesamtcode]],Tabelle132[Gesamtcode],0))</f>
        <v>#N/A</v>
      </c>
      <c r="E376" t="e">
        <f>INDEX(Tabelle132[Bezeichnung],MATCH(Tabelle7[[#This Row],[Gesamtcode]],Tabelle132[Gesamtcode],0))</f>
        <v>#N/A</v>
      </c>
      <c r="F376" t="e">
        <f>"_"&amp;INDEX(Tabelle132[Geräte/Gewerke],MATCH(Tabelle7[[#This Row],[Gesamtcode]],Tabelle132[Gesamtcode],0))</f>
        <v>#N/A</v>
      </c>
      <c r="G376" t="e">
        <f>INDEX(Tabelle13[Gewerknr.],MATCH(Tabelle7[[#This Row],[Gewerke]],Tabelle13[Hauptgruppe],0))</f>
        <v>#N/A</v>
      </c>
      <c r="H376" t="s">
        <v>344</v>
      </c>
      <c r="I376" t="e">
        <f ca="1">INDEX(Tabelle134[Funktionsbereichsnr.],MATCH(Tabelle7[[#This Row],[Funktionsbereiche]],INDIRECT("Tabelle134["&amp;Tabelle7[[#This Row],[Gewerke]]&amp;"]"),0))</f>
        <v>#N/A</v>
      </c>
      <c r="J376" t="e">
        <f>Tabelle7[[#This Row],[Gesamtcode]]&amp;"_"&amp;Tabelle7[[#This Row],[Zone]]&amp;"_"&amp;Tabelle7[[#This Row],[Raum]]&amp;"_"&amp;Tabelle7[[#This Row],[Bezeichnung]]</f>
        <v>#N/A</v>
      </c>
      <c r="K376">
        <v>2</v>
      </c>
      <c r="L376" t="e">
        <f>Tabelle7[[#This Row],[Hauptgruppe]]&amp;"/-/-"</f>
        <v>#N/A</v>
      </c>
      <c r="M376" t="e">
        <f ca="1">Tabelle7[[#This Row],[Hauptgruppe]]&amp;"/"&amp;Tabelle7[[#This Row],[Mittelgruppe]]&amp;"/-"</f>
        <v>#N/A</v>
      </c>
      <c r="N376" t="e">
        <f ca="1">Tabelle7[[#This Row],[Hauptgruppe]]&amp;"/"&amp;Tabelle7[[#This Row],[Mittelgruppe]]&amp;"/"&amp;Tabelle7[[#This Row],[Untergruppe]]</f>
        <v>#N/A</v>
      </c>
      <c r="O376" t="e">
        <f>INDEX(Tabelle6[Aktor],MATCH(Tabelle7[[#This Row],[Gesamtcode]],Tabelle6[Gesamtcode],0))&amp;" "&amp;INDEX(Tabelle6[Aktorkanal],MATCH(Tabelle7[[#This Row],[Gesamtcode]],Tabelle6[Gesamtcode],0))</f>
        <v>#N/A</v>
      </c>
    </row>
    <row r="377" spans="2:15" x14ac:dyDescent="0.25">
      <c r="B377" t="s">
        <v>336</v>
      </c>
      <c r="C377" t="e">
        <f>INDEX(Tabelle132[Zone],MATCH(Tabelle7[[#This Row],[Gesamtcode]],Tabelle132[Gesamtcode],0))</f>
        <v>#N/A</v>
      </c>
      <c r="D377" t="e">
        <f>INDEX(Tabelle132[Raum],MATCH(Tabelle7[[#This Row],[Gesamtcode]],Tabelle132[Gesamtcode],0))</f>
        <v>#N/A</v>
      </c>
      <c r="E377" t="e">
        <f>INDEX(Tabelle132[Bezeichnung],MATCH(Tabelle7[[#This Row],[Gesamtcode]],Tabelle132[Gesamtcode],0))</f>
        <v>#N/A</v>
      </c>
      <c r="F377" t="e">
        <f>"_"&amp;INDEX(Tabelle132[Geräte/Gewerke],MATCH(Tabelle7[[#This Row],[Gesamtcode]],Tabelle132[Gesamtcode],0))</f>
        <v>#N/A</v>
      </c>
      <c r="G377" t="e">
        <f>INDEX(Tabelle13[Gewerknr.],MATCH(Tabelle7[[#This Row],[Gewerke]],Tabelle13[Hauptgruppe],0))</f>
        <v>#N/A</v>
      </c>
      <c r="H377" t="s">
        <v>344</v>
      </c>
      <c r="I377" t="e">
        <f ca="1">INDEX(Tabelle134[Funktionsbereichsnr.],MATCH(Tabelle7[[#This Row],[Funktionsbereiche]],INDIRECT("Tabelle134["&amp;Tabelle7[[#This Row],[Gewerke]]&amp;"]"),0))</f>
        <v>#N/A</v>
      </c>
      <c r="J377" t="e">
        <f>Tabelle7[[#This Row],[Gesamtcode]]&amp;"_"&amp;Tabelle7[[#This Row],[Zone]]&amp;"_"&amp;Tabelle7[[#This Row],[Raum]]&amp;"_"&amp;Tabelle7[[#This Row],[Bezeichnung]]</f>
        <v>#N/A</v>
      </c>
      <c r="K377">
        <v>3</v>
      </c>
      <c r="L377" t="e">
        <f>Tabelle7[[#This Row],[Hauptgruppe]]&amp;"/-/-"</f>
        <v>#N/A</v>
      </c>
      <c r="M377" t="e">
        <f ca="1">Tabelle7[[#This Row],[Hauptgruppe]]&amp;"/"&amp;Tabelle7[[#This Row],[Mittelgruppe]]&amp;"/-"</f>
        <v>#N/A</v>
      </c>
      <c r="N377" t="e">
        <f ca="1">Tabelle7[[#This Row],[Hauptgruppe]]&amp;"/"&amp;Tabelle7[[#This Row],[Mittelgruppe]]&amp;"/"&amp;Tabelle7[[#This Row],[Untergruppe]]</f>
        <v>#N/A</v>
      </c>
      <c r="O377" t="e">
        <f>INDEX(Tabelle6[Aktor],MATCH(Tabelle7[[#This Row],[Gesamtcode]],Tabelle6[Gesamtcode],0))&amp;" "&amp;INDEX(Tabelle6[Aktorkanal],MATCH(Tabelle7[[#This Row],[Gesamtcode]],Tabelle6[Gesamtcode],0))</f>
        <v>#N/A</v>
      </c>
    </row>
    <row r="378" spans="2:15" x14ac:dyDescent="0.25">
      <c r="B378" t="s">
        <v>332</v>
      </c>
      <c r="C378" t="e">
        <f>INDEX(Tabelle132[Zone],MATCH(Tabelle7[[#This Row],[Gesamtcode]],Tabelle132[Gesamtcode],0))</f>
        <v>#N/A</v>
      </c>
      <c r="D378" t="e">
        <f>INDEX(Tabelle132[Raum],MATCH(Tabelle7[[#This Row],[Gesamtcode]],Tabelle132[Gesamtcode],0))</f>
        <v>#N/A</v>
      </c>
      <c r="E378" t="e">
        <f>INDEX(Tabelle132[Bezeichnung],MATCH(Tabelle7[[#This Row],[Gesamtcode]],Tabelle132[Gesamtcode],0))</f>
        <v>#N/A</v>
      </c>
      <c r="F378" t="e">
        <f>"_"&amp;INDEX(Tabelle132[Geräte/Gewerke],MATCH(Tabelle7[[#This Row],[Gesamtcode]],Tabelle132[Gesamtcode],0))</f>
        <v>#N/A</v>
      </c>
      <c r="G378" t="e">
        <f>INDEX(Tabelle13[Gewerknr.],MATCH(Tabelle7[[#This Row],[Gewerke]],Tabelle13[Hauptgruppe],0))</f>
        <v>#N/A</v>
      </c>
      <c r="H378" t="s">
        <v>345</v>
      </c>
      <c r="I378" t="e">
        <f ca="1">INDEX(Tabelle134[Funktionsbereichsnr.],MATCH(Tabelle7[[#This Row],[Funktionsbereiche]],INDIRECT("Tabelle134["&amp;Tabelle7[[#This Row],[Gewerke]]&amp;"]"),0))</f>
        <v>#N/A</v>
      </c>
      <c r="J378" t="e">
        <f>Tabelle7[[#This Row],[Gesamtcode]]&amp;"_"&amp;Tabelle7[[#This Row],[Zone]]&amp;"_"&amp;Tabelle7[[#This Row],[Raum]]&amp;"_"&amp;Tabelle7[[#This Row],[Bezeichnung]]</f>
        <v>#N/A</v>
      </c>
      <c r="K378">
        <v>0</v>
      </c>
      <c r="L378" t="e">
        <f>Tabelle7[[#This Row],[Hauptgruppe]]&amp;"/-/-"</f>
        <v>#N/A</v>
      </c>
      <c r="M378" t="e">
        <f ca="1">Tabelle7[[#This Row],[Hauptgruppe]]&amp;"/"&amp;Tabelle7[[#This Row],[Mittelgruppe]]&amp;"/-"</f>
        <v>#N/A</v>
      </c>
      <c r="N378" t="e">
        <f ca="1">Tabelle7[[#This Row],[Hauptgruppe]]&amp;"/"&amp;Tabelle7[[#This Row],[Mittelgruppe]]&amp;"/"&amp;Tabelle7[[#This Row],[Untergruppe]]</f>
        <v>#N/A</v>
      </c>
      <c r="O378" t="e">
        <f>INDEX(Tabelle6[Aktor],MATCH(Tabelle7[[#This Row],[Gesamtcode]],Tabelle6[Gesamtcode],0))&amp;" "&amp;INDEX(Tabelle6[Aktorkanal],MATCH(Tabelle7[[#This Row],[Gesamtcode]],Tabelle6[Gesamtcode],0))</f>
        <v>#N/A</v>
      </c>
    </row>
    <row r="379" spans="2:15" x14ac:dyDescent="0.25">
      <c r="B379" t="s">
        <v>334</v>
      </c>
      <c r="C379" t="e">
        <f>INDEX(Tabelle132[Zone],MATCH(Tabelle7[[#This Row],[Gesamtcode]],Tabelle132[Gesamtcode],0))</f>
        <v>#N/A</v>
      </c>
      <c r="D379" t="e">
        <f>INDEX(Tabelle132[Raum],MATCH(Tabelle7[[#This Row],[Gesamtcode]],Tabelle132[Gesamtcode],0))</f>
        <v>#N/A</v>
      </c>
      <c r="E379" t="e">
        <f>INDEX(Tabelle132[Bezeichnung],MATCH(Tabelle7[[#This Row],[Gesamtcode]],Tabelle132[Gesamtcode],0))</f>
        <v>#N/A</v>
      </c>
      <c r="F379" t="e">
        <f>"_"&amp;INDEX(Tabelle132[Geräte/Gewerke],MATCH(Tabelle7[[#This Row],[Gesamtcode]],Tabelle132[Gesamtcode],0))</f>
        <v>#N/A</v>
      </c>
      <c r="G379" t="e">
        <f>INDEX(Tabelle13[Gewerknr.],MATCH(Tabelle7[[#This Row],[Gewerke]],Tabelle13[Hauptgruppe],0))</f>
        <v>#N/A</v>
      </c>
      <c r="H379" t="s">
        <v>345</v>
      </c>
      <c r="I379" t="e">
        <f ca="1">INDEX(Tabelle134[Funktionsbereichsnr.],MATCH(Tabelle7[[#This Row],[Funktionsbereiche]],INDIRECT("Tabelle134["&amp;Tabelle7[[#This Row],[Gewerke]]&amp;"]"),0))</f>
        <v>#N/A</v>
      </c>
      <c r="J379" t="e">
        <f>Tabelle7[[#This Row],[Gesamtcode]]&amp;"_"&amp;Tabelle7[[#This Row],[Zone]]&amp;"_"&amp;Tabelle7[[#This Row],[Raum]]&amp;"_"&amp;Tabelle7[[#This Row],[Bezeichnung]]</f>
        <v>#N/A</v>
      </c>
      <c r="K379">
        <v>1</v>
      </c>
      <c r="L379" t="e">
        <f>Tabelle7[[#This Row],[Hauptgruppe]]&amp;"/-/-"</f>
        <v>#N/A</v>
      </c>
      <c r="M379" t="e">
        <f ca="1">Tabelle7[[#This Row],[Hauptgruppe]]&amp;"/"&amp;Tabelle7[[#This Row],[Mittelgruppe]]&amp;"/-"</f>
        <v>#N/A</v>
      </c>
      <c r="N379" t="e">
        <f ca="1">Tabelle7[[#This Row],[Hauptgruppe]]&amp;"/"&amp;Tabelle7[[#This Row],[Mittelgruppe]]&amp;"/"&amp;Tabelle7[[#This Row],[Untergruppe]]</f>
        <v>#N/A</v>
      </c>
      <c r="O379" t="e">
        <f>INDEX(Tabelle6[Aktor],MATCH(Tabelle7[[#This Row],[Gesamtcode]],Tabelle6[Gesamtcode],0))&amp;" "&amp;INDEX(Tabelle6[Aktorkanal],MATCH(Tabelle7[[#This Row],[Gesamtcode]],Tabelle6[Gesamtcode],0))</f>
        <v>#N/A</v>
      </c>
    </row>
    <row r="380" spans="2:15" x14ac:dyDescent="0.25">
      <c r="B380" t="s">
        <v>335</v>
      </c>
      <c r="C380" t="e">
        <f>INDEX(Tabelle132[Zone],MATCH(Tabelle7[[#This Row],[Gesamtcode]],Tabelle132[Gesamtcode],0))</f>
        <v>#N/A</v>
      </c>
      <c r="D380" t="e">
        <f>INDEX(Tabelle132[Raum],MATCH(Tabelle7[[#This Row],[Gesamtcode]],Tabelle132[Gesamtcode],0))</f>
        <v>#N/A</v>
      </c>
      <c r="E380" t="e">
        <f>INDEX(Tabelle132[Bezeichnung],MATCH(Tabelle7[[#This Row],[Gesamtcode]],Tabelle132[Gesamtcode],0))</f>
        <v>#N/A</v>
      </c>
      <c r="F380" t="e">
        <f>"_"&amp;INDEX(Tabelle132[Geräte/Gewerke],MATCH(Tabelle7[[#This Row],[Gesamtcode]],Tabelle132[Gesamtcode],0))</f>
        <v>#N/A</v>
      </c>
      <c r="G380" t="e">
        <f>INDEX(Tabelle13[Gewerknr.],MATCH(Tabelle7[[#This Row],[Gewerke]],Tabelle13[Hauptgruppe],0))</f>
        <v>#N/A</v>
      </c>
      <c r="H380" t="s">
        <v>345</v>
      </c>
      <c r="I380" t="e">
        <f ca="1">INDEX(Tabelle134[Funktionsbereichsnr.],MATCH(Tabelle7[[#This Row],[Funktionsbereiche]],INDIRECT("Tabelle134["&amp;Tabelle7[[#This Row],[Gewerke]]&amp;"]"),0))</f>
        <v>#N/A</v>
      </c>
      <c r="J380" t="e">
        <f>Tabelle7[[#This Row],[Gesamtcode]]&amp;"_"&amp;Tabelle7[[#This Row],[Zone]]&amp;"_"&amp;Tabelle7[[#This Row],[Raum]]&amp;"_"&amp;Tabelle7[[#This Row],[Bezeichnung]]</f>
        <v>#N/A</v>
      </c>
      <c r="K380">
        <v>2</v>
      </c>
      <c r="L380" t="e">
        <f>Tabelle7[[#This Row],[Hauptgruppe]]&amp;"/-/-"</f>
        <v>#N/A</v>
      </c>
      <c r="M380" t="e">
        <f ca="1">Tabelle7[[#This Row],[Hauptgruppe]]&amp;"/"&amp;Tabelle7[[#This Row],[Mittelgruppe]]&amp;"/-"</f>
        <v>#N/A</v>
      </c>
      <c r="N380" t="e">
        <f ca="1">Tabelle7[[#This Row],[Hauptgruppe]]&amp;"/"&amp;Tabelle7[[#This Row],[Mittelgruppe]]&amp;"/"&amp;Tabelle7[[#This Row],[Untergruppe]]</f>
        <v>#N/A</v>
      </c>
      <c r="O380" t="e">
        <f>INDEX(Tabelle6[Aktor],MATCH(Tabelle7[[#This Row],[Gesamtcode]],Tabelle6[Gesamtcode],0))&amp;" "&amp;INDEX(Tabelle6[Aktorkanal],MATCH(Tabelle7[[#This Row],[Gesamtcode]],Tabelle6[Gesamtcode],0))</f>
        <v>#N/A</v>
      </c>
    </row>
    <row r="381" spans="2:15" x14ac:dyDescent="0.25">
      <c r="B381" t="s">
        <v>336</v>
      </c>
      <c r="C381" t="e">
        <f>INDEX(Tabelle132[Zone],MATCH(Tabelle7[[#This Row],[Gesamtcode]],Tabelle132[Gesamtcode],0))</f>
        <v>#N/A</v>
      </c>
      <c r="D381" t="e">
        <f>INDEX(Tabelle132[Raum],MATCH(Tabelle7[[#This Row],[Gesamtcode]],Tabelle132[Gesamtcode],0))</f>
        <v>#N/A</v>
      </c>
      <c r="E381" t="e">
        <f>INDEX(Tabelle132[Bezeichnung],MATCH(Tabelle7[[#This Row],[Gesamtcode]],Tabelle132[Gesamtcode],0))</f>
        <v>#N/A</v>
      </c>
      <c r="F381" t="e">
        <f>"_"&amp;INDEX(Tabelle132[Geräte/Gewerke],MATCH(Tabelle7[[#This Row],[Gesamtcode]],Tabelle132[Gesamtcode],0))</f>
        <v>#N/A</v>
      </c>
      <c r="G381" t="e">
        <f>INDEX(Tabelle13[Gewerknr.],MATCH(Tabelle7[[#This Row],[Gewerke]],Tabelle13[Hauptgruppe],0))</f>
        <v>#N/A</v>
      </c>
      <c r="H381" t="s">
        <v>345</v>
      </c>
      <c r="I381" t="e">
        <f ca="1">INDEX(Tabelle134[Funktionsbereichsnr.],MATCH(Tabelle7[[#This Row],[Funktionsbereiche]],INDIRECT("Tabelle134["&amp;Tabelle7[[#This Row],[Gewerke]]&amp;"]"),0))</f>
        <v>#N/A</v>
      </c>
      <c r="J381" t="e">
        <f>Tabelle7[[#This Row],[Gesamtcode]]&amp;"_"&amp;Tabelle7[[#This Row],[Zone]]&amp;"_"&amp;Tabelle7[[#This Row],[Raum]]&amp;"_"&amp;Tabelle7[[#This Row],[Bezeichnung]]</f>
        <v>#N/A</v>
      </c>
      <c r="K381">
        <v>3</v>
      </c>
      <c r="L381" t="e">
        <f>Tabelle7[[#This Row],[Hauptgruppe]]&amp;"/-/-"</f>
        <v>#N/A</v>
      </c>
      <c r="M381" t="e">
        <f ca="1">Tabelle7[[#This Row],[Hauptgruppe]]&amp;"/"&amp;Tabelle7[[#This Row],[Mittelgruppe]]&amp;"/-"</f>
        <v>#N/A</v>
      </c>
      <c r="N381" t="e">
        <f ca="1">Tabelle7[[#This Row],[Hauptgruppe]]&amp;"/"&amp;Tabelle7[[#This Row],[Mittelgruppe]]&amp;"/"&amp;Tabelle7[[#This Row],[Untergruppe]]</f>
        <v>#N/A</v>
      </c>
      <c r="O381" t="e">
        <f>INDEX(Tabelle6[Aktor],MATCH(Tabelle7[[#This Row],[Gesamtcode]],Tabelle6[Gesamtcode],0))&amp;" "&amp;INDEX(Tabelle6[Aktorkanal],MATCH(Tabelle7[[#This Row],[Gesamtcode]],Tabelle6[Gesamtcode],0))</f>
        <v>#N/A</v>
      </c>
    </row>
    <row r="382" spans="2:15" x14ac:dyDescent="0.25">
      <c r="B382" t="s">
        <v>332</v>
      </c>
      <c r="C382" t="e">
        <f>INDEX(Tabelle132[Zone],MATCH(Tabelle7[[#This Row],[Gesamtcode]],Tabelle132[Gesamtcode],0))</f>
        <v>#N/A</v>
      </c>
      <c r="D382" t="e">
        <f>INDEX(Tabelle132[Raum],MATCH(Tabelle7[[#This Row],[Gesamtcode]],Tabelle132[Gesamtcode],0))</f>
        <v>#N/A</v>
      </c>
      <c r="E382" t="e">
        <f>INDEX(Tabelle132[Bezeichnung],MATCH(Tabelle7[[#This Row],[Gesamtcode]],Tabelle132[Gesamtcode],0))</f>
        <v>#N/A</v>
      </c>
      <c r="F382" t="e">
        <f>"_"&amp;INDEX(Tabelle132[Geräte/Gewerke],MATCH(Tabelle7[[#This Row],[Gesamtcode]],Tabelle132[Gesamtcode],0))</f>
        <v>#N/A</v>
      </c>
      <c r="G382" t="e">
        <f>INDEX(Tabelle13[Gewerknr.],MATCH(Tabelle7[[#This Row],[Gewerke]],Tabelle13[Hauptgruppe],0))</f>
        <v>#N/A</v>
      </c>
      <c r="H382" t="s">
        <v>346</v>
      </c>
      <c r="I382" t="e">
        <f ca="1">INDEX(Tabelle134[Funktionsbereichsnr.],MATCH(Tabelle7[[#This Row],[Funktionsbereiche]],INDIRECT("Tabelle134["&amp;Tabelle7[[#This Row],[Gewerke]]&amp;"]"),0))</f>
        <v>#N/A</v>
      </c>
      <c r="J382" t="e">
        <f>Tabelle7[[#This Row],[Gesamtcode]]&amp;"_"&amp;Tabelle7[[#This Row],[Zone]]&amp;"_"&amp;Tabelle7[[#This Row],[Raum]]&amp;"_"&amp;Tabelle7[[#This Row],[Bezeichnung]]</f>
        <v>#N/A</v>
      </c>
      <c r="K382">
        <v>0</v>
      </c>
      <c r="L382" t="e">
        <f>Tabelle7[[#This Row],[Hauptgruppe]]&amp;"/-/-"</f>
        <v>#N/A</v>
      </c>
      <c r="M382" t="e">
        <f ca="1">Tabelle7[[#This Row],[Hauptgruppe]]&amp;"/"&amp;Tabelle7[[#This Row],[Mittelgruppe]]&amp;"/-"</f>
        <v>#N/A</v>
      </c>
      <c r="N382" t="e">
        <f ca="1">Tabelle7[[#This Row],[Hauptgruppe]]&amp;"/"&amp;Tabelle7[[#This Row],[Mittelgruppe]]&amp;"/"&amp;Tabelle7[[#This Row],[Untergruppe]]</f>
        <v>#N/A</v>
      </c>
      <c r="O382" t="e">
        <f>INDEX(Tabelle6[Aktor],MATCH(Tabelle7[[#This Row],[Gesamtcode]],Tabelle6[Gesamtcode],0))&amp;" "&amp;INDEX(Tabelle6[Aktorkanal],MATCH(Tabelle7[[#This Row],[Gesamtcode]],Tabelle6[Gesamtcode],0))</f>
        <v>#N/A</v>
      </c>
    </row>
    <row r="383" spans="2:15" x14ac:dyDescent="0.25">
      <c r="B383" t="s">
        <v>334</v>
      </c>
      <c r="C383" t="e">
        <f>INDEX(Tabelle132[Zone],MATCH(Tabelle7[[#This Row],[Gesamtcode]],Tabelle132[Gesamtcode],0))</f>
        <v>#N/A</v>
      </c>
      <c r="D383" t="e">
        <f>INDEX(Tabelle132[Raum],MATCH(Tabelle7[[#This Row],[Gesamtcode]],Tabelle132[Gesamtcode],0))</f>
        <v>#N/A</v>
      </c>
      <c r="E383" t="e">
        <f>INDEX(Tabelle132[Bezeichnung],MATCH(Tabelle7[[#This Row],[Gesamtcode]],Tabelle132[Gesamtcode],0))</f>
        <v>#N/A</v>
      </c>
      <c r="F383" t="e">
        <f>"_"&amp;INDEX(Tabelle132[Geräte/Gewerke],MATCH(Tabelle7[[#This Row],[Gesamtcode]],Tabelle132[Gesamtcode],0))</f>
        <v>#N/A</v>
      </c>
      <c r="G383" t="e">
        <f>INDEX(Tabelle13[Gewerknr.],MATCH(Tabelle7[[#This Row],[Gewerke]],Tabelle13[Hauptgruppe],0))</f>
        <v>#N/A</v>
      </c>
      <c r="H383" t="s">
        <v>346</v>
      </c>
      <c r="I383" t="e">
        <f ca="1">INDEX(Tabelle134[Funktionsbereichsnr.],MATCH(Tabelle7[[#This Row],[Funktionsbereiche]],INDIRECT("Tabelle134["&amp;Tabelle7[[#This Row],[Gewerke]]&amp;"]"),0))</f>
        <v>#N/A</v>
      </c>
      <c r="J383" t="e">
        <f>Tabelle7[[#This Row],[Gesamtcode]]&amp;"_"&amp;Tabelle7[[#This Row],[Zone]]&amp;"_"&amp;Tabelle7[[#This Row],[Raum]]&amp;"_"&amp;Tabelle7[[#This Row],[Bezeichnung]]</f>
        <v>#N/A</v>
      </c>
      <c r="K383">
        <v>1</v>
      </c>
      <c r="L383" t="e">
        <f>Tabelle7[[#This Row],[Hauptgruppe]]&amp;"/-/-"</f>
        <v>#N/A</v>
      </c>
      <c r="M383" t="e">
        <f ca="1">Tabelle7[[#This Row],[Hauptgruppe]]&amp;"/"&amp;Tabelle7[[#This Row],[Mittelgruppe]]&amp;"/-"</f>
        <v>#N/A</v>
      </c>
      <c r="N383" t="e">
        <f ca="1">Tabelle7[[#This Row],[Hauptgruppe]]&amp;"/"&amp;Tabelle7[[#This Row],[Mittelgruppe]]&amp;"/"&amp;Tabelle7[[#This Row],[Untergruppe]]</f>
        <v>#N/A</v>
      </c>
      <c r="O383" t="e">
        <f>INDEX(Tabelle6[Aktor],MATCH(Tabelle7[[#This Row],[Gesamtcode]],Tabelle6[Gesamtcode],0))&amp;" "&amp;INDEX(Tabelle6[Aktorkanal],MATCH(Tabelle7[[#This Row],[Gesamtcode]],Tabelle6[Gesamtcode],0))</f>
        <v>#N/A</v>
      </c>
    </row>
    <row r="384" spans="2:15" x14ac:dyDescent="0.25">
      <c r="B384" t="s">
        <v>335</v>
      </c>
      <c r="C384" t="e">
        <f>INDEX(Tabelle132[Zone],MATCH(Tabelle7[[#This Row],[Gesamtcode]],Tabelle132[Gesamtcode],0))</f>
        <v>#N/A</v>
      </c>
      <c r="D384" t="e">
        <f>INDEX(Tabelle132[Raum],MATCH(Tabelle7[[#This Row],[Gesamtcode]],Tabelle132[Gesamtcode],0))</f>
        <v>#N/A</v>
      </c>
      <c r="E384" t="e">
        <f>INDEX(Tabelle132[Bezeichnung],MATCH(Tabelle7[[#This Row],[Gesamtcode]],Tabelle132[Gesamtcode],0))</f>
        <v>#N/A</v>
      </c>
      <c r="F384" t="e">
        <f>"_"&amp;INDEX(Tabelle132[Geräte/Gewerke],MATCH(Tabelle7[[#This Row],[Gesamtcode]],Tabelle132[Gesamtcode],0))</f>
        <v>#N/A</v>
      </c>
      <c r="G384" t="e">
        <f>INDEX(Tabelle13[Gewerknr.],MATCH(Tabelle7[[#This Row],[Gewerke]],Tabelle13[Hauptgruppe],0))</f>
        <v>#N/A</v>
      </c>
      <c r="H384" t="s">
        <v>346</v>
      </c>
      <c r="I384" t="e">
        <f ca="1">INDEX(Tabelle134[Funktionsbereichsnr.],MATCH(Tabelle7[[#This Row],[Funktionsbereiche]],INDIRECT("Tabelle134["&amp;Tabelle7[[#This Row],[Gewerke]]&amp;"]"),0))</f>
        <v>#N/A</v>
      </c>
      <c r="J384" t="e">
        <f>Tabelle7[[#This Row],[Gesamtcode]]&amp;"_"&amp;Tabelle7[[#This Row],[Zone]]&amp;"_"&amp;Tabelle7[[#This Row],[Raum]]&amp;"_"&amp;Tabelle7[[#This Row],[Bezeichnung]]</f>
        <v>#N/A</v>
      </c>
      <c r="K384">
        <v>2</v>
      </c>
      <c r="L384" t="e">
        <f>Tabelle7[[#This Row],[Hauptgruppe]]&amp;"/-/-"</f>
        <v>#N/A</v>
      </c>
      <c r="M384" t="e">
        <f ca="1">Tabelle7[[#This Row],[Hauptgruppe]]&amp;"/"&amp;Tabelle7[[#This Row],[Mittelgruppe]]&amp;"/-"</f>
        <v>#N/A</v>
      </c>
      <c r="N384" t="e">
        <f ca="1">Tabelle7[[#This Row],[Hauptgruppe]]&amp;"/"&amp;Tabelle7[[#This Row],[Mittelgruppe]]&amp;"/"&amp;Tabelle7[[#This Row],[Untergruppe]]</f>
        <v>#N/A</v>
      </c>
      <c r="O384" t="e">
        <f>INDEX(Tabelle6[Aktor],MATCH(Tabelle7[[#This Row],[Gesamtcode]],Tabelle6[Gesamtcode],0))&amp;" "&amp;INDEX(Tabelle6[Aktorkanal],MATCH(Tabelle7[[#This Row],[Gesamtcode]],Tabelle6[Gesamtcode],0))</f>
        <v>#N/A</v>
      </c>
    </row>
    <row r="385" spans="2:15" x14ac:dyDescent="0.25">
      <c r="B385" t="s">
        <v>336</v>
      </c>
      <c r="C385" t="e">
        <f>INDEX(Tabelle132[Zone],MATCH(Tabelle7[[#This Row],[Gesamtcode]],Tabelle132[Gesamtcode],0))</f>
        <v>#N/A</v>
      </c>
      <c r="D385" t="e">
        <f>INDEX(Tabelle132[Raum],MATCH(Tabelle7[[#This Row],[Gesamtcode]],Tabelle132[Gesamtcode],0))</f>
        <v>#N/A</v>
      </c>
      <c r="E385" t="e">
        <f>INDEX(Tabelle132[Bezeichnung],MATCH(Tabelle7[[#This Row],[Gesamtcode]],Tabelle132[Gesamtcode],0))</f>
        <v>#N/A</v>
      </c>
      <c r="F385" t="e">
        <f>"_"&amp;INDEX(Tabelle132[Geräte/Gewerke],MATCH(Tabelle7[[#This Row],[Gesamtcode]],Tabelle132[Gesamtcode],0))</f>
        <v>#N/A</v>
      </c>
      <c r="G385" t="e">
        <f>INDEX(Tabelle13[Gewerknr.],MATCH(Tabelle7[[#This Row],[Gewerke]],Tabelle13[Hauptgruppe],0))</f>
        <v>#N/A</v>
      </c>
      <c r="H385" t="s">
        <v>346</v>
      </c>
      <c r="I385" t="e">
        <f ca="1">INDEX(Tabelle134[Funktionsbereichsnr.],MATCH(Tabelle7[[#This Row],[Funktionsbereiche]],INDIRECT("Tabelle134["&amp;Tabelle7[[#This Row],[Gewerke]]&amp;"]"),0))</f>
        <v>#N/A</v>
      </c>
      <c r="J385" t="e">
        <f>Tabelle7[[#This Row],[Gesamtcode]]&amp;"_"&amp;Tabelle7[[#This Row],[Zone]]&amp;"_"&amp;Tabelle7[[#This Row],[Raum]]&amp;"_"&amp;Tabelle7[[#This Row],[Bezeichnung]]</f>
        <v>#N/A</v>
      </c>
      <c r="K385">
        <v>3</v>
      </c>
      <c r="L385" t="e">
        <f>Tabelle7[[#This Row],[Hauptgruppe]]&amp;"/-/-"</f>
        <v>#N/A</v>
      </c>
      <c r="M385" t="e">
        <f ca="1">Tabelle7[[#This Row],[Hauptgruppe]]&amp;"/"&amp;Tabelle7[[#This Row],[Mittelgruppe]]&amp;"/-"</f>
        <v>#N/A</v>
      </c>
      <c r="N385" t="e">
        <f ca="1">Tabelle7[[#This Row],[Hauptgruppe]]&amp;"/"&amp;Tabelle7[[#This Row],[Mittelgruppe]]&amp;"/"&amp;Tabelle7[[#This Row],[Untergruppe]]</f>
        <v>#N/A</v>
      </c>
      <c r="O385" t="e">
        <f>INDEX(Tabelle6[Aktor],MATCH(Tabelle7[[#This Row],[Gesamtcode]],Tabelle6[Gesamtcode],0))&amp;" "&amp;INDEX(Tabelle6[Aktorkanal],MATCH(Tabelle7[[#This Row],[Gesamtcode]],Tabelle6[Gesamtcode],0))</f>
        <v>#N/A</v>
      </c>
    </row>
    <row r="386" spans="2:15" x14ac:dyDescent="0.25">
      <c r="B386" t="s">
        <v>310</v>
      </c>
      <c r="C386" t="e">
        <f>INDEX(Tabelle132[Zone],MATCH(Tabelle7[[#This Row],[Gesamtcode]],Tabelle132[Gesamtcode],0))</f>
        <v>#N/A</v>
      </c>
      <c r="D386" t="e">
        <f>INDEX(Tabelle132[Raum],MATCH(Tabelle7[[#This Row],[Gesamtcode]],Tabelle132[Gesamtcode],0))</f>
        <v>#N/A</v>
      </c>
      <c r="E386" t="e">
        <f>INDEX(Tabelle132[Bezeichnung],MATCH(Tabelle7[[#This Row],[Gesamtcode]],Tabelle132[Gesamtcode],0))</f>
        <v>#N/A</v>
      </c>
      <c r="F386" t="e">
        <f>"_"&amp;INDEX(Tabelle132[Geräte/Gewerke],MATCH(Tabelle7[[#This Row],[Gesamtcode]],Tabelle132[Gesamtcode],0))</f>
        <v>#N/A</v>
      </c>
      <c r="G386" t="e">
        <f>INDEX(Tabelle13[Gewerknr.],MATCH(Tabelle7[[#This Row],[Gewerke]],Tabelle13[Hauptgruppe],0))</f>
        <v>#N/A</v>
      </c>
      <c r="H386" t="s">
        <v>276</v>
      </c>
      <c r="I386" t="e">
        <f ca="1">INDEX(Tabelle134[Funktionsbereichsnr.],MATCH(Tabelle7[[#This Row],[Funktionsbereiche]],INDIRECT("Tabelle134["&amp;Tabelle7[[#This Row],[Gewerke]]&amp;"]"),0))</f>
        <v>#N/A</v>
      </c>
      <c r="J386" t="e">
        <f>Tabelle7[[#This Row],[Gesamtcode]]&amp;"_"&amp;Tabelle7[[#This Row],[Zone]]&amp;"_"&amp;Tabelle7[[#This Row],[Raum]]&amp;"_"&amp;Tabelle7[[#This Row],[Bezeichnung]]</f>
        <v>#N/A</v>
      </c>
      <c r="K386">
        <v>0</v>
      </c>
      <c r="L386" t="e">
        <f>Tabelle7[[#This Row],[Hauptgruppe]]&amp;"/-/-"</f>
        <v>#N/A</v>
      </c>
      <c r="M386" t="e">
        <f ca="1">Tabelle7[[#This Row],[Hauptgruppe]]&amp;"/"&amp;Tabelle7[[#This Row],[Mittelgruppe]]&amp;"/-"</f>
        <v>#N/A</v>
      </c>
      <c r="N386" t="e">
        <f ca="1">Tabelle7[[#This Row],[Hauptgruppe]]&amp;"/"&amp;Tabelle7[[#This Row],[Mittelgruppe]]&amp;"/"&amp;Tabelle7[[#This Row],[Untergruppe]]</f>
        <v>#N/A</v>
      </c>
      <c r="O386" t="e">
        <f>INDEX(Tabelle6[Aktor],MATCH(Tabelle7[[#This Row],[Gesamtcode]],Tabelle6[Gesamtcode],0))&amp;" "&amp;INDEX(Tabelle6[Aktorkanal],MATCH(Tabelle7[[#This Row],[Gesamtcode]],Tabelle6[Gesamtcode],0))</f>
        <v>#N/A</v>
      </c>
    </row>
    <row r="387" spans="2:15" x14ac:dyDescent="0.25">
      <c r="B387" t="s">
        <v>311</v>
      </c>
      <c r="C387" t="e">
        <f>INDEX(Tabelle132[Zone],MATCH(Tabelle7[[#This Row],[Gesamtcode]],Tabelle132[Gesamtcode],0))</f>
        <v>#N/A</v>
      </c>
      <c r="D387" t="e">
        <f>INDEX(Tabelle132[Raum],MATCH(Tabelle7[[#This Row],[Gesamtcode]],Tabelle132[Gesamtcode],0))</f>
        <v>#N/A</v>
      </c>
      <c r="E387" t="e">
        <f>INDEX(Tabelle132[Bezeichnung],MATCH(Tabelle7[[#This Row],[Gesamtcode]],Tabelle132[Gesamtcode],0))</f>
        <v>#N/A</v>
      </c>
      <c r="F387" t="e">
        <f>"_"&amp;INDEX(Tabelle132[Geräte/Gewerke],MATCH(Tabelle7[[#This Row],[Gesamtcode]],Tabelle132[Gesamtcode],0))</f>
        <v>#N/A</v>
      </c>
      <c r="G387" t="e">
        <f>INDEX(Tabelle13[Gewerknr.],MATCH(Tabelle7[[#This Row],[Gewerke]],Tabelle13[Hauptgruppe],0))</f>
        <v>#N/A</v>
      </c>
      <c r="H387" t="s">
        <v>276</v>
      </c>
      <c r="I387" t="e">
        <f ca="1">INDEX(Tabelle134[Funktionsbereichsnr.],MATCH(Tabelle7[[#This Row],[Funktionsbereiche]],INDIRECT("Tabelle134["&amp;Tabelle7[[#This Row],[Gewerke]]&amp;"]"),0))</f>
        <v>#N/A</v>
      </c>
      <c r="J387" t="e">
        <f>Tabelle7[[#This Row],[Gesamtcode]]&amp;"_"&amp;Tabelle7[[#This Row],[Zone]]&amp;"_"&amp;Tabelle7[[#This Row],[Raum]]&amp;"_"&amp;Tabelle7[[#This Row],[Bezeichnung]]</f>
        <v>#N/A</v>
      </c>
      <c r="K387">
        <v>1</v>
      </c>
      <c r="L387" t="e">
        <f>Tabelle7[[#This Row],[Hauptgruppe]]&amp;"/-/-"</f>
        <v>#N/A</v>
      </c>
      <c r="M387" t="e">
        <f ca="1">Tabelle7[[#This Row],[Hauptgruppe]]&amp;"/"&amp;Tabelle7[[#This Row],[Mittelgruppe]]&amp;"/-"</f>
        <v>#N/A</v>
      </c>
      <c r="N387" t="e">
        <f ca="1">Tabelle7[[#This Row],[Hauptgruppe]]&amp;"/"&amp;Tabelle7[[#This Row],[Mittelgruppe]]&amp;"/"&amp;Tabelle7[[#This Row],[Untergruppe]]</f>
        <v>#N/A</v>
      </c>
      <c r="O387" t="e">
        <f>INDEX(Tabelle6[Aktor],MATCH(Tabelle7[[#This Row],[Gesamtcode]],Tabelle6[Gesamtcode],0))&amp;" "&amp;INDEX(Tabelle6[Aktorkanal],MATCH(Tabelle7[[#This Row],[Gesamtcode]],Tabelle6[Gesamtcode],0))</f>
        <v>#N/A</v>
      </c>
    </row>
    <row r="388" spans="2:15" x14ac:dyDescent="0.25">
      <c r="B388" t="s">
        <v>312</v>
      </c>
      <c r="C388" t="e">
        <f>INDEX(Tabelle132[Zone],MATCH(Tabelle7[[#This Row],[Gesamtcode]],Tabelle132[Gesamtcode],0))</f>
        <v>#N/A</v>
      </c>
      <c r="D388" t="e">
        <f>INDEX(Tabelle132[Raum],MATCH(Tabelle7[[#This Row],[Gesamtcode]],Tabelle132[Gesamtcode],0))</f>
        <v>#N/A</v>
      </c>
      <c r="E388" t="e">
        <f>INDEX(Tabelle132[Bezeichnung],MATCH(Tabelle7[[#This Row],[Gesamtcode]],Tabelle132[Gesamtcode],0))</f>
        <v>#N/A</v>
      </c>
      <c r="F388" t="e">
        <f>"_"&amp;INDEX(Tabelle132[Geräte/Gewerke],MATCH(Tabelle7[[#This Row],[Gesamtcode]],Tabelle132[Gesamtcode],0))</f>
        <v>#N/A</v>
      </c>
      <c r="G388" t="e">
        <f>INDEX(Tabelle13[Gewerknr.],MATCH(Tabelle7[[#This Row],[Gewerke]],Tabelle13[Hauptgruppe],0))</f>
        <v>#N/A</v>
      </c>
      <c r="H388" t="s">
        <v>276</v>
      </c>
      <c r="I388" t="e">
        <f ca="1">INDEX(Tabelle134[Funktionsbereichsnr.],MATCH(Tabelle7[[#This Row],[Funktionsbereiche]],INDIRECT("Tabelle134["&amp;Tabelle7[[#This Row],[Gewerke]]&amp;"]"),0))</f>
        <v>#N/A</v>
      </c>
      <c r="J388" t="e">
        <f>Tabelle7[[#This Row],[Gesamtcode]]&amp;"_"&amp;Tabelle7[[#This Row],[Zone]]&amp;"_"&amp;Tabelle7[[#This Row],[Raum]]&amp;"_"&amp;Tabelle7[[#This Row],[Bezeichnung]]</f>
        <v>#N/A</v>
      </c>
      <c r="K388">
        <v>10</v>
      </c>
      <c r="L388" t="e">
        <f>Tabelle7[[#This Row],[Hauptgruppe]]&amp;"/-/-"</f>
        <v>#N/A</v>
      </c>
      <c r="M388" t="e">
        <f ca="1">Tabelle7[[#This Row],[Hauptgruppe]]&amp;"/"&amp;Tabelle7[[#This Row],[Mittelgruppe]]&amp;"/-"</f>
        <v>#N/A</v>
      </c>
      <c r="N388" t="e">
        <f ca="1">Tabelle7[[#This Row],[Hauptgruppe]]&amp;"/"&amp;Tabelle7[[#This Row],[Mittelgruppe]]&amp;"/"&amp;Tabelle7[[#This Row],[Untergruppe]]</f>
        <v>#N/A</v>
      </c>
      <c r="O388" t="e">
        <f>INDEX(Tabelle6[Aktor],MATCH(Tabelle7[[#This Row],[Gesamtcode]],Tabelle6[Gesamtcode],0))&amp;" "&amp;INDEX(Tabelle6[Aktorkanal],MATCH(Tabelle7[[#This Row],[Gesamtcode]],Tabelle6[Gesamtcode],0))</f>
        <v>#N/A</v>
      </c>
    </row>
    <row r="389" spans="2:15" x14ac:dyDescent="0.25">
      <c r="B389" t="s">
        <v>313</v>
      </c>
      <c r="C389" t="e">
        <f>INDEX(Tabelle132[Zone],MATCH(Tabelle7[[#This Row],[Gesamtcode]],Tabelle132[Gesamtcode],0))</f>
        <v>#N/A</v>
      </c>
      <c r="D389" t="e">
        <f>INDEX(Tabelle132[Raum],MATCH(Tabelle7[[#This Row],[Gesamtcode]],Tabelle132[Gesamtcode],0))</f>
        <v>#N/A</v>
      </c>
      <c r="E389" t="e">
        <f>INDEX(Tabelle132[Bezeichnung],MATCH(Tabelle7[[#This Row],[Gesamtcode]],Tabelle132[Gesamtcode],0))</f>
        <v>#N/A</v>
      </c>
      <c r="F389" t="e">
        <f>"_"&amp;INDEX(Tabelle132[Geräte/Gewerke],MATCH(Tabelle7[[#This Row],[Gesamtcode]],Tabelle132[Gesamtcode],0))</f>
        <v>#N/A</v>
      </c>
      <c r="G389" t="e">
        <f>INDEX(Tabelle13[Gewerknr.],MATCH(Tabelle7[[#This Row],[Gewerke]],Tabelle13[Hauptgruppe],0))</f>
        <v>#N/A</v>
      </c>
      <c r="H389" t="s">
        <v>276</v>
      </c>
      <c r="I389" t="e">
        <f ca="1">INDEX(Tabelle134[Funktionsbereichsnr.],MATCH(Tabelle7[[#This Row],[Funktionsbereiche]],INDIRECT("Tabelle134["&amp;Tabelle7[[#This Row],[Gewerke]]&amp;"]"),0))</f>
        <v>#N/A</v>
      </c>
      <c r="J389" t="e">
        <f>Tabelle7[[#This Row],[Gesamtcode]]&amp;"_"&amp;Tabelle7[[#This Row],[Zone]]&amp;"_"&amp;Tabelle7[[#This Row],[Raum]]&amp;"_"&amp;Tabelle7[[#This Row],[Bezeichnung]]</f>
        <v>#N/A</v>
      </c>
      <c r="K389">
        <v>11</v>
      </c>
      <c r="L389" t="e">
        <f>Tabelle7[[#This Row],[Hauptgruppe]]&amp;"/-/-"</f>
        <v>#N/A</v>
      </c>
      <c r="M389" t="e">
        <f ca="1">Tabelle7[[#This Row],[Hauptgruppe]]&amp;"/"&amp;Tabelle7[[#This Row],[Mittelgruppe]]&amp;"/-"</f>
        <v>#N/A</v>
      </c>
      <c r="N389" t="e">
        <f ca="1">Tabelle7[[#This Row],[Hauptgruppe]]&amp;"/"&amp;Tabelle7[[#This Row],[Mittelgruppe]]&amp;"/"&amp;Tabelle7[[#This Row],[Untergruppe]]</f>
        <v>#N/A</v>
      </c>
      <c r="O389" t="e">
        <f>INDEX(Tabelle6[Aktor],MATCH(Tabelle7[[#This Row],[Gesamtcode]],Tabelle6[Gesamtcode],0))&amp;" "&amp;INDEX(Tabelle6[Aktorkanal],MATCH(Tabelle7[[#This Row],[Gesamtcode]],Tabelle6[Gesamtcode],0))</f>
        <v>#N/A</v>
      </c>
    </row>
    <row r="390" spans="2:15" x14ac:dyDescent="0.25">
      <c r="B390" t="s">
        <v>314</v>
      </c>
      <c r="C390" t="e">
        <f>INDEX(Tabelle132[Zone],MATCH(Tabelle7[[#This Row],[Gesamtcode]],Tabelle132[Gesamtcode],0))</f>
        <v>#N/A</v>
      </c>
      <c r="D390" t="e">
        <f>INDEX(Tabelle132[Raum],MATCH(Tabelle7[[#This Row],[Gesamtcode]],Tabelle132[Gesamtcode],0))</f>
        <v>#N/A</v>
      </c>
      <c r="E390" t="e">
        <f>INDEX(Tabelle132[Bezeichnung],MATCH(Tabelle7[[#This Row],[Gesamtcode]],Tabelle132[Gesamtcode],0))</f>
        <v>#N/A</v>
      </c>
      <c r="F390" t="e">
        <f>"_"&amp;INDEX(Tabelle132[Geräte/Gewerke],MATCH(Tabelle7[[#This Row],[Gesamtcode]],Tabelle132[Gesamtcode],0))</f>
        <v>#N/A</v>
      </c>
      <c r="G390" t="e">
        <f>INDEX(Tabelle13[Gewerknr.],MATCH(Tabelle7[[#This Row],[Gewerke]],Tabelle13[Hauptgruppe],0))</f>
        <v>#N/A</v>
      </c>
      <c r="H390" t="s">
        <v>276</v>
      </c>
      <c r="I390" t="e">
        <f ca="1">INDEX(Tabelle134[Funktionsbereichsnr.],MATCH(Tabelle7[[#This Row],[Funktionsbereiche]],INDIRECT("Tabelle134["&amp;Tabelle7[[#This Row],[Gewerke]]&amp;"]"),0))</f>
        <v>#N/A</v>
      </c>
      <c r="J390" t="e">
        <f>Tabelle7[[#This Row],[Gesamtcode]]&amp;"_"&amp;Tabelle7[[#This Row],[Zone]]&amp;"_"&amp;Tabelle7[[#This Row],[Raum]]&amp;"_"&amp;Tabelle7[[#This Row],[Bezeichnung]]</f>
        <v>#N/A</v>
      </c>
      <c r="K390">
        <v>12</v>
      </c>
      <c r="L390" t="e">
        <f>Tabelle7[[#This Row],[Hauptgruppe]]&amp;"/-/-"</f>
        <v>#N/A</v>
      </c>
      <c r="M390" t="e">
        <f ca="1">Tabelle7[[#This Row],[Hauptgruppe]]&amp;"/"&amp;Tabelle7[[#This Row],[Mittelgruppe]]&amp;"/-"</f>
        <v>#N/A</v>
      </c>
      <c r="N390" t="e">
        <f ca="1">Tabelle7[[#This Row],[Hauptgruppe]]&amp;"/"&amp;Tabelle7[[#This Row],[Mittelgruppe]]&amp;"/"&amp;Tabelle7[[#This Row],[Untergruppe]]</f>
        <v>#N/A</v>
      </c>
      <c r="O390" t="e">
        <f>INDEX(Tabelle6[Aktor],MATCH(Tabelle7[[#This Row],[Gesamtcode]],Tabelle6[Gesamtcode],0))&amp;" "&amp;INDEX(Tabelle6[Aktorkanal],MATCH(Tabelle7[[#This Row],[Gesamtcode]],Tabelle6[Gesamtcode],0))</f>
        <v>#N/A</v>
      </c>
    </row>
    <row r="391" spans="2:15" x14ac:dyDescent="0.25">
      <c r="B391" t="s">
        <v>315</v>
      </c>
      <c r="C391" t="e">
        <f>INDEX(Tabelle132[Zone],MATCH(Tabelle7[[#This Row],[Gesamtcode]],Tabelle132[Gesamtcode],0))</f>
        <v>#N/A</v>
      </c>
      <c r="D391" t="e">
        <f>INDEX(Tabelle132[Raum],MATCH(Tabelle7[[#This Row],[Gesamtcode]],Tabelle132[Gesamtcode],0))</f>
        <v>#N/A</v>
      </c>
      <c r="E391" t="e">
        <f>INDEX(Tabelle132[Bezeichnung],MATCH(Tabelle7[[#This Row],[Gesamtcode]],Tabelle132[Gesamtcode],0))</f>
        <v>#N/A</v>
      </c>
      <c r="F391" t="e">
        <f>"_"&amp;INDEX(Tabelle132[Geräte/Gewerke],MATCH(Tabelle7[[#This Row],[Gesamtcode]],Tabelle132[Gesamtcode],0))</f>
        <v>#N/A</v>
      </c>
      <c r="G391" t="e">
        <f>INDEX(Tabelle13[Gewerknr.],MATCH(Tabelle7[[#This Row],[Gewerke]],Tabelle13[Hauptgruppe],0))</f>
        <v>#N/A</v>
      </c>
      <c r="H391" t="s">
        <v>276</v>
      </c>
      <c r="I391" t="e">
        <f ca="1">INDEX(Tabelle134[Funktionsbereichsnr.],MATCH(Tabelle7[[#This Row],[Funktionsbereiche]],INDIRECT("Tabelle134["&amp;Tabelle7[[#This Row],[Gewerke]]&amp;"]"),0))</f>
        <v>#N/A</v>
      </c>
      <c r="J391" t="e">
        <f>Tabelle7[[#This Row],[Gesamtcode]]&amp;"_"&amp;Tabelle7[[#This Row],[Zone]]&amp;"_"&amp;Tabelle7[[#This Row],[Raum]]&amp;"_"&amp;Tabelle7[[#This Row],[Bezeichnung]]</f>
        <v>#N/A</v>
      </c>
      <c r="K391">
        <v>13</v>
      </c>
      <c r="L391" t="e">
        <f>Tabelle7[[#This Row],[Hauptgruppe]]&amp;"/-/-"</f>
        <v>#N/A</v>
      </c>
      <c r="M391" t="e">
        <f ca="1">Tabelle7[[#This Row],[Hauptgruppe]]&amp;"/"&amp;Tabelle7[[#This Row],[Mittelgruppe]]&amp;"/-"</f>
        <v>#N/A</v>
      </c>
      <c r="N391" t="e">
        <f ca="1">Tabelle7[[#This Row],[Hauptgruppe]]&amp;"/"&amp;Tabelle7[[#This Row],[Mittelgruppe]]&amp;"/"&amp;Tabelle7[[#This Row],[Untergruppe]]</f>
        <v>#N/A</v>
      </c>
      <c r="O391" t="e">
        <f>INDEX(Tabelle6[Aktor],MATCH(Tabelle7[[#This Row],[Gesamtcode]],Tabelle6[Gesamtcode],0))&amp;" "&amp;INDEX(Tabelle6[Aktorkanal],MATCH(Tabelle7[[#This Row],[Gesamtcode]],Tabelle6[Gesamtcode],0))</f>
        <v>#N/A</v>
      </c>
    </row>
    <row r="392" spans="2:15" x14ac:dyDescent="0.25">
      <c r="B392" t="s">
        <v>316</v>
      </c>
      <c r="C392" t="e">
        <f>INDEX(Tabelle132[Zone],MATCH(Tabelle7[[#This Row],[Gesamtcode]],Tabelle132[Gesamtcode],0))</f>
        <v>#N/A</v>
      </c>
      <c r="D392" t="e">
        <f>INDEX(Tabelle132[Raum],MATCH(Tabelle7[[#This Row],[Gesamtcode]],Tabelle132[Gesamtcode],0))</f>
        <v>#N/A</v>
      </c>
      <c r="E392" t="e">
        <f>INDEX(Tabelle132[Bezeichnung],MATCH(Tabelle7[[#This Row],[Gesamtcode]],Tabelle132[Gesamtcode],0))</f>
        <v>#N/A</v>
      </c>
      <c r="F392" t="e">
        <f>"_"&amp;INDEX(Tabelle132[Geräte/Gewerke],MATCH(Tabelle7[[#This Row],[Gesamtcode]],Tabelle132[Gesamtcode],0))</f>
        <v>#N/A</v>
      </c>
      <c r="G392" t="e">
        <f>INDEX(Tabelle13[Gewerknr.],MATCH(Tabelle7[[#This Row],[Gewerke]],Tabelle13[Hauptgruppe],0))</f>
        <v>#N/A</v>
      </c>
      <c r="H392" t="s">
        <v>276</v>
      </c>
      <c r="I392" t="e">
        <f ca="1">INDEX(Tabelle134[Funktionsbereichsnr.],MATCH(Tabelle7[[#This Row],[Funktionsbereiche]],INDIRECT("Tabelle134["&amp;Tabelle7[[#This Row],[Gewerke]]&amp;"]"),0))</f>
        <v>#N/A</v>
      </c>
      <c r="J392" t="e">
        <f>Tabelle7[[#This Row],[Gesamtcode]]&amp;"_"&amp;Tabelle7[[#This Row],[Zone]]&amp;"_"&amp;Tabelle7[[#This Row],[Raum]]&amp;"_"&amp;Tabelle7[[#This Row],[Bezeichnung]]</f>
        <v>#N/A</v>
      </c>
      <c r="K392">
        <v>14</v>
      </c>
      <c r="L392" t="e">
        <f>Tabelle7[[#This Row],[Hauptgruppe]]&amp;"/-/-"</f>
        <v>#N/A</v>
      </c>
      <c r="M392" t="e">
        <f ca="1">Tabelle7[[#This Row],[Hauptgruppe]]&amp;"/"&amp;Tabelle7[[#This Row],[Mittelgruppe]]&amp;"/-"</f>
        <v>#N/A</v>
      </c>
      <c r="N392" t="e">
        <f ca="1">Tabelle7[[#This Row],[Hauptgruppe]]&amp;"/"&amp;Tabelle7[[#This Row],[Mittelgruppe]]&amp;"/"&amp;Tabelle7[[#This Row],[Untergruppe]]</f>
        <v>#N/A</v>
      </c>
      <c r="O392" t="e">
        <f>INDEX(Tabelle6[Aktor],MATCH(Tabelle7[[#This Row],[Gesamtcode]],Tabelle6[Gesamtcode],0))&amp;" "&amp;INDEX(Tabelle6[Aktorkanal],MATCH(Tabelle7[[#This Row],[Gesamtcode]],Tabelle6[Gesamtcode],0))</f>
        <v>#N/A</v>
      </c>
    </row>
    <row r="393" spans="2:15" x14ac:dyDescent="0.25">
      <c r="B393" t="s">
        <v>317</v>
      </c>
      <c r="C393" t="e">
        <f>INDEX(Tabelle132[Zone],MATCH(Tabelle7[[#This Row],[Gesamtcode]],Tabelle132[Gesamtcode],0))</f>
        <v>#N/A</v>
      </c>
      <c r="D393" t="e">
        <f>INDEX(Tabelle132[Raum],MATCH(Tabelle7[[#This Row],[Gesamtcode]],Tabelle132[Gesamtcode],0))</f>
        <v>#N/A</v>
      </c>
      <c r="E393" t="e">
        <f>INDEX(Tabelle132[Bezeichnung],MATCH(Tabelle7[[#This Row],[Gesamtcode]],Tabelle132[Gesamtcode],0))</f>
        <v>#N/A</v>
      </c>
      <c r="F393" t="e">
        <f>"_"&amp;INDEX(Tabelle132[Geräte/Gewerke],MATCH(Tabelle7[[#This Row],[Gesamtcode]],Tabelle132[Gesamtcode],0))</f>
        <v>#N/A</v>
      </c>
      <c r="G393" t="e">
        <f>INDEX(Tabelle13[Gewerknr.],MATCH(Tabelle7[[#This Row],[Gewerke]],Tabelle13[Hauptgruppe],0))</f>
        <v>#N/A</v>
      </c>
      <c r="H393" t="s">
        <v>276</v>
      </c>
      <c r="I393" t="e">
        <f ca="1">INDEX(Tabelle134[Funktionsbereichsnr.],MATCH(Tabelle7[[#This Row],[Funktionsbereiche]],INDIRECT("Tabelle134["&amp;Tabelle7[[#This Row],[Gewerke]]&amp;"]"),0))</f>
        <v>#N/A</v>
      </c>
      <c r="J393" t="e">
        <f>Tabelle7[[#This Row],[Gesamtcode]]&amp;"_"&amp;Tabelle7[[#This Row],[Zone]]&amp;"_"&amp;Tabelle7[[#This Row],[Raum]]&amp;"_"&amp;Tabelle7[[#This Row],[Bezeichnung]]</f>
        <v>#N/A</v>
      </c>
      <c r="K393">
        <v>15</v>
      </c>
      <c r="L393" t="e">
        <f>Tabelle7[[#This Row],[Hauptgruppe]]&amp;"/-/-"</f>
        <v>#N/A</v>
      </c>
      <c r="M393" t="e">
        <f ca="1">Tabelle7[[#This Row],[Hauptgruppe]]&amp;"/"&amp;Tabelle7[[#This Row],[Mittelgruppe]]&amp;"/-"</f>
        <v>#N/A</v>
      </c>
      <c r="N393" t="e">
        <f ca="1">Tabelle7[[#This Row],[Hauptgruppe]]&amp;"/"&amp;Tabelle7[[#This Row],[Mittelgruppe]]&amp;"/"&amp;Tabelle7[[#This Row],[Untergruppe]]</f>
        <v>#N/A</v>
      </c>
      <c r="O393" t="e">
        <f>INDEX(Tabelle6[Aktor],MATCH(Tabelle7[[#This Row],[Gesamtcode]],Tabelle6[Gesamtcode],0))&amp;" "&amp;INDEX(Tabelle6[Aktorkanal],MATCH(Tabelle7[[#This Row],[Gesamtcode]],Tabelle6[Gesamtcode],0))</f>
        <v>#N/A</v>
      </c>
    </row>
    <row r="394" spans="2:15" x14ac:dyDescent="0.25">
      <c r="B394" t="s">
        <v>318</v>
      </c>
      <c r="C394" t="e">
        <f>INDEX(Tabelle132[Zone],MATCH(Tabelle7[[#This Row],[Gesamtcode]],Tabelle132[Gesamtcode],0))</f>
        <v>#N/A</v>
      </c>
      <c r="D394" t="e">
        <f>INDEX(Tabelle132[Raum],MATCH(Tabelle7[[#This Row],[Gesamtcode]],Tabelle132[Gesamtcode],0))</f>
        <v>#N/A</v>
      </c>
      <c r="E394" t="e">
        <f>INDEX(Tabelle132[Bezeichnung],MATCH(Tabelle7[[#This Row],[Gesamtcode]],Tabelle132[Gesamtcode],0))</f>
        <v>#N/A</v>
      </c>
      <c r="F394" t="e">
        <f>"_"&amp;INDEX(Tabelle132[Geräte/Gewerke],MATCH(Tabelle7[[#This Row],[Gesamtcode]],Tabelle132[Gesamtcode],0))</f>
        <v>#N/A</v>
      </c>
      <c r="G394" t="e">
        <f>INDEX(Tabelle13[Gewerknr.],MATCH(Tabelle7[[#This Row],[Gewerke]],Tabelle13[Hauptgruppe],0))</f>
        <v>#N/A</v>
      </c>
      <c r="H394" t="s">
        <v>276</v>
      </c>
      <c r="I394" t="e">
        <f ca="1">INDEX(Tabelle134[Funktionsbereichsnr.],MATCH(Tabelle7[[#This Row],[Funktionsbereiche]],INDIRECT("Tabelle134["&amp;Tabelle7[[#This Row],[Gewerke]]&amp;"]"),0))</f>
        <v>#N/A</v>
      </c>
      <c r="J394" t="e">
        <f>Tabelle7[[#This Row],[Gesamtcode]]&amp;"_"&amp;Tabelle7[[#This Row],[Zone]]&amp;"_"&amp;Tabelle7[[#This Row],[Raum]]&amp;"_"&amp;Tabelle7[[#This Row],[Bezeichnung]]</f>
        <v>#N/A</v>
      </c>
      <c r="K394">
        <v>16</v>
      </c>
      <c r="L394" t="e">
        <f>Tabelle7[[#This Row],[Hauptgruppe]]&amp;"/-/-"</f>
        <v>#N/A</v>
      </c>
      <c r="M394" t="e">
        <f ca="1">Tabelle7[[#This Row],[Hauptgruppe]]&amp;"/"&amp;Tabelle7[[#This Row],[Mittelgruppe]]&amp;"/-"</f>
        <v>#N/A</v>
      </c>
      <c r="N394" t="e">
        <f ca="1">Tabelle7[[#This Row],[Hauptgruppe]]&amp;"/"&amp;Tabelle7[[#This Row],[Mittelgruppe]]&amp;"/"&amp;Tabelle7[[#This Row],[Untergruppe]]</f>
        <v>#N/A</v>
      </c>
      <c r="O394" t="e">
        <f>INDEX(Tabelle6[Aktor],MATCH(Tabelle7[[#This Row],[Gesamtcode]],Tabelle6[Gesamtcode],0))&amp;" "&amp;INDEX(Tabelle6[Aktorkanal],MATCH(Tabelle7[[#This Row],[Gesamtcode]],Tabelle6[Gesamtcode],0))</f>
        <v>#N/A</v>
      </c>
    </row>
    <row r="395" spans="2:15" x14ac:dyDescent="0.25">
      <c r="B395" t="s">
        <v>319</v>
      </c>
      <c r="C395" t="e">
        <f>INDEX(Tabelle132[Zone],MATCH(Tabelle7[[#This Row],[Gesamtcode]],Tabelle132[Gesamtcode],0))</f>
        <v>#N/A</v>
      </c>
      <c r="D395" t="e">
        <f>INDEX(Tabelle132[Raum],MATCH(Tabelle7[[#This Row],[Gesamtcode]],Tabelle132[Gesamtcode],0))</f>
        <v>#N/A</v>
      </c>
      <c r="E395" t="e">
        <f>INDEX(Tabelle132[Bezeichnung],MATCH(Tabelle7[[#This Row],[Gesamtcode]],Tabelle132[Gesamtcode],0))</f>
        <v>#N/A</v>
      </c>
      <c r="F395" t="e">
        <f>"_"&amp;INDEX(Tabelle132[Geräte/Gewerke],MATCH(Tabelle7[[#This Row],[Gesamtcode]],Tabelle132[Gesamtcode],0))</f>
        <v>#N/A</v>
      </c>
      <c r="G395" t="e">
        <f>INDEX(Tabelle13[Gewerknr.],MATCH(Tabelle7[[#This Row],[Gewerke]],Tabelle13[Hauptgruppe],0))</f>
        <v>#N/A</v>
      </c>
      <c r="H395" t="s">
        <v>276</v>
      </c>
      <c r="I395" t="e">
        <f ca="1">INDEX(Tabelle134[Funktionsbereichsnr.],MATCH(Tabelle7[[#This Row],[Funktionsbereiche]],INDIRECT("Tabelle134["&amp;Tabelle7[[#This Row],[Gewerke]]&amp;"]"),0))</f>
        <v>#N/A</v>
      </c>
      <c r="J395" t="e">
        <f>Tabelle7[[#This Row],[Gesamtcode]]&amp;"_"&amp;Tabelle7[[#This Row],[Zone]]&amp;"_"&amp;Tabelle7[[#This Row],[Raum]]&amp;"_"&amp;Tabelle7[[#This Row],[Bezeichnung]]</f>
        <v>#N/A</v>
      </c>
      <c r="K395">
        <v>17</v>
      </c>
      <c r="L395" t="e">
        <f>Tabelle7[[#This Row],[Hauptgruppe]]&amp;"/-/-"</f>
        <v>#N/A</v>
      </c>
      <c r="M395" t="e">
        <f ca="1">Tabelle7[[#This Row],[Hauptgruppe]]&amp;"/"&amp;Tabelle7[[#This Row],[Mittelgruppe]]&amp;"/-"</f>
        <v>#N/A</v>
      </c>
      <c r="N395" t="e">
        <f ca="1">Tabelle7[[#This Row],[Hauptgruppe]]&amp;"/"&amp;Tabelle7[[#This Row],[Mittelgruppe]]&amp;"/"&amp;Tabelle7[[#This Row],[Untergruppe]]</f>
        <v>#N/A</v>
      </c>
      <c r="O395" t="e">
        <f>INDEX(Tabelle6[Aktor],MATCH(Tabelle7[[#This Row],[Gesamtcode]],Tabelle6[Gesamtcode],0))&amp;" "&amp;INDEX(Tabelle6[Aktorkanal],MATCH(Tabelle7[[#This Row],[Gesamtcode]],Tabelle6[Gesamtcode],0))</f>
        <v>#N/A</v>
      </c>
    </row>
    <row r="396" spans="2:15" x14ac:dyDescent="0.25">
      <c r="B396" t="s">
        <v>320</v>
      </c>
      <c r="C396" t="e">
        <f>INDEX(Tabelle132[Zone],MATCH(Tabelle7[[#This Row],[Gesamtcode]],Tabelle132[Gesamtcode],0))</f>
        <v>#N/A</v>
      </c>
      <c r="D396" t="e">
        <f>INDEX(Tabelle132[Raum],MATCH(Tabelle7[[#This Row],[Gesamtcode]],Tabelle132[Gesamtcode],0))</f>
        <v>#N/A</v>
      </c>
      <c r="E396" t="e">
        <f>INDEX(Tabelle132[Bezeichnung],MATCH(Tabelle7[[#This Row],[Gesamtcode]],Tabelle132[Gesamtcode],0))</f>
        <v>#N/A</v>
      </c>
      <c r="F396" t="e">
        <f>"_"&amp;INDEX(Tabelle132[Geräte/Gewerke],MATCH(Tabelle7[[#This Row],[Gesamtcode]],Tabelle132[Gesamtcode],0))</f>
        <v>#N/A</v>
      </c>
      <c r="G396" t="e">
        <f>INDEX(Tabelle13[Gewerknr.],MATCH(Tabelle7[[#This Row],[Gewerke]],Tabelle13[Hauptgruppe],0))</f>
        <v>#N/A</v>
      </c>
      <c r="H396" t="s">
        <v>276</v>
      </c>
      <c r="I396" t="e">
        <f ca="1">INDEX(Tabelle134[Funktionsbereichsnr.],MATCH(Tabelle7[[#This Row],[Funktionsbereiche]],INDIRECT("Tabelle134["&amp;Tabelle7[[#This Row],[Gewerke]]&amp;"]"),0))</f>
        <v>#N/A</v>
      </c>
      <c r="J396" t="e">
        <f>Tabelle7[[#This Row],[Gesamtcode]]&amp;"_"&amp;Tabelle7[[#This Row],[Zone]]&amp;"_"&amp;Tabelle7[[#This Row],[Raum]]&amp;"_"&amp;Tabelle7[[#This Row],[Bezeichnung]]</f>
        <v>#N/A</v>
      </c>
      <c r="K396">
        <v>18</v>
      </c>
      <c r="L396" t="e">
        <f>Tabelle7[[#This Row],[Hauptgruppe]]&amp;"/-/-"</f>
        <v>#N/A</v>
      </c>
      <c r="M396" t="e">
        <f ca="1">Tabelle7[[#This Row],[Hauptgruppe]]&amp;"/"&amp;Tabelle7[[#This Row],[Mittelgruppe]]&amp;"/-"</f>
        <v>#N/A</v>
      </c>
      <c r="N396" t="e">
        <f ca="1">Tabelle7[[#This Row],[Hauptgruppe]]&amp;"/"&amp;Tabelle7[[#This Row],[Mittelgruppe]]&amp;"/"&amp;Tabelle7[[#This Row],[Untergruppe]]</f>
        <v>#N/A</v>
      </c>
      <c r="O396" t="e">
        <f>INDEX(Tabelle6[Aktor],MATCH(Tabelle7[[#This Row],[Gesamtcode]],Tabelle6[Gesamtcode],0))&amp;" "&amp;INDEX(Tabelle6[Aktorkanal],MATCH(Tabelle7[[#This Row],[Gesamtcode]],Tabelle6[Gesamtcode],0))</f>
        <v>#N/A</v>
      </c>
    </row>
    <row r="397" spans="2:15" x14ac:dyDescent="0.25">
      <c r="B397" t="s">
        <v>321</v>
      </c>
      <c r="C397" t="e">
        <f>INDEX(Tabelle132[Zone],MATCH(Tabelle7[[#This Row],[Gesamtcode]],Tabelle132[Gesamtcode],0))</f>
        <v>#N/A</v>
      </c>
      <c r="D397" t="e">
        <f>INDEX(Tabelle132[Raum],MATCH(Tabelle7[[#This Row],[Gesamtcode]],Tabelle132[Gesamtcode],0))</f>
        <v>#N/A</v>
      </c>
      <c r="E397" t="e">
        <f>INDEX(Tabelle132[Bezeichnung],MATCH(Tabelle7[[#This Row],[Gesamtcode]],Tabelle132[Gesamtcode],0))</f>
        <v>#N/A</v>
      </c>
      <c r="F397" t="e">
        <f>"_"&amp;INDEX(Tabelle132[Geräte/Gewerke],MATCH(Tabelle7[[#This Row],[Gesamtcode]],Tabelle132[Gesamtcode],0))</f>
        <v>#N/A</v>
      </c>
      <c r="G397" t="e">
        <f>INDEX(Tabelle13[Gewerknr.],MATCH(Tabelle7[[#This Row],[Gewerke]],Tabelle13[Hauptgruppe],0))</f>
        <v>#N/A</v>
      </c>
      <c r="H397" t="s">
        <v>276</v>
      </c>
      <c r="I397" t="e">
        <f ca="1">INDEX(Tabelle134[Funktionsbereichsnr.],MATCH(Tabelle7[[#This Row],[Funktionsbereiche]],INDIRECT("Tabelle134["&amp;Tabelle7[[#This Row],[Gewerke]]&amp;"]"),0))</f>
        <v>#N/A</v>
      </c>
      <c r="J397" t="e">
        <f>Tabelle7[[#This Row],[Gesamtcode]]&amp;"_"&amp;Tabelle7[[#This Row],[Zone]]&amp;"_"&amp;Tabelle7[[#This Row],[Raum]]&amp;"_"&amp;Tabelle7[[#This Row],[Bezeichnung]]</f>
        <v>#N/A</v>
      </c>
      <c r="K397">
        <v>19</v>
      </c>
      <c r="L397" t="e">
        <f>Tabelle7[[#This Row],[Hauptgruppe]]&amp;"/-/-"</f>
        <v>#N/A</v>
      </c>
      <c r="M397" t="e">
        <f ca="1">Tabelle7[[#This Row],[Hauptgruppe]]&amp;"/"&amp;Tabelle7[[#This Row],[Mittelgruppe]]&amp;"/-"</f>
        <v>#N/A</v>
      </c>
      <c r="N397" t="e">
        <f ca="1">Tabelle7[[#This Row],[Hauptgruppe]]&amp;"/"&amp;Tabelle7[[#This Row],[Mittelgruppe]]&amp;"/"&amp;Tabelle7[[#This Row],[Untergruppe]]</f>
        <v>#N/A</v>
      </c>
      <c r="O397" t="e">
        <f>INDEX(Tabelle6[Aktor],MATCH(Tabelle7[[#This Row],[Gesamtcode]],Tabelle6[Gesamtcode],0))&amp;" "&amp;INDEX(Tabelle6[Aktorkanal],MATCH(Tabelle7[[#This Row],[Gesamtcode]],Tabelle6[Gesamtcode],0))</f>
        <v>#N/A</v>
      </c>
    </row>
    <row r="398" spans="2:15" x14ac:dyDescent="0.25">
      <c r="B398" t="s">
        <v>322</v>
      </c>
      <c r="C398" t="e">
        <f>INDEX(Tabelle132[Zone],MATCH(Tabelle7[[#This Row],[Gesamtcode]],Tabelle132[Gesamtcode],0))</f>
        <v>#N/A</v>
      </c>
      <c r="D398" t="e">
        <f>INDEX(Tabelle132[Raum],MATCH(Tabelle7[[#This Row],[Gesamtcode]],Tabelle132[Gesamtcode],0))</f>
        <v>#N/A</v>
      </c>
      <c r="E398" t="e">
        <f>INDEX(Tabelle132[Bezeichnung],MATCH(Tabelle7[[#This Row],[Gesamtcode]],Tabelle132[Gesamtcode],0))</f>
        <v>#N/A</v>
      </c>
      <c r="F398" t="e">
        <f>"_"&amp;INDEX(Tabelle132[Geräte/Gewerke],MATCH(Tabelle7[[#This Row],[Gesamtcode]],Tabelle132[Gesamtcode],0))</f>
        <v>#N/A</v>
      </c>
      <c r="G398" t="e">
        <f>INDEX(Tabelle13[Gewerknr.],MATCH(Tabelle7[[#This Row],[Gewerke]],Tabelle13[Hauptgruppe],0))</f>
        <v>#N/A</v>
      </c>
      <c r="H398" t="s">
        <v>276</v>
      </c>
      <c r="I398" t="e">
        <f ca="1">INDEX(Tabelle134[Funktionsbereichsnr.],MATCH(Tabelle7[[#This Row],[Funktionsbereiche]],INDIRECT("Tabelle134["&amp;Tabelle7[[#This Row],[Gewerke]]&amp;"]"),0))</f>
        <v>#N/A</v>
      </c>
      <c r="J398" t="e">
        <f>Tabelle7[[#This Row],[Gesamtcode]]&amp;"_"&amp;Tabelle7[[#This Row],[Zone]]&amp;"_"&amp;Tabelle7[[#This Row],[Raum]]&amp;"_"&amp;Tabelle7[[#This Row],[Bezeichnung]]</f>
        <v>#N/A</v>
      </c>
      <c r="K398">
        <v>2</v>
      </c>
      <c r="L398" t="e">
        <f>Tabelle7[[#This Row],[Hauptgruppe]]&amp;"/-/-"</f>
        <v>#N/A</v>
      </c>
      <c r="M398" t="e">
        <f ca="1">Tabelle7[[#This Row],[Hauptgruppe]]&amp;"/"&amp;Tabelle7[[#This Row],[Mittelgruppe]]&amp;"/-"</f>
        <v>#N/A</v>
      </c>
      <c r="N398" t="e">
        <f ca="1">Tabelle7[[#This Row],[Hauptgruppe]]&amp;"/"&amp;Tabelle7[[#This Row],[Mittelgruppe]]&amp;"/"&amp;Tabelle7[[#This Row],[Untergruppe]]</f>
        <v>#N/A</v>
      </c>
      <c r="O398" t="e">
        <f>INDEX(Tabelle6[Aktor],MATCH(Tabelle7[[#This Row],[Gesamtcode]],Tabelle6[Gesamtcode],0))&amp;" "&amp;INDEX(Tabelle6[Aktorkanal],MATCH(Tabelle7[[#This Row],[Gesamtcode]],Tabelle6[Gesamtcode],0))</f>
        <v>#N/A</v>
      </c>
    </row>
    <row r="399" spans="2:15" x14ac:dyDescent="0.25">
      <c r="B399" t="s">
        <v>323</v>
      </c>
      <c r="C399" t="e">
        <f>INDEX(Tabelle132[Zone],MATCH(Tabelle7[[#This Row],[Gesamtcode]],Tabelle132[Gesamtcode],0))</f>
        <v>#N/A</v>
      </c>
      <c r="D399" t="e">
        <f>INDEX(Tabelle132[Raum],MATCH(Tabelle7[[#This Row],[Gesamtcode]],Tabelle132[Gesamtcode],0))</f>
        <v>#N/A</v>
      </c>
      <c r="E399" t="e">
        <f>INDEX(Tabelle132[Bezeichnung],MATCH(Tabelle7[[#This Row],[Gesamtcode]],Tabelle132[Gesamtcode],0))</f>
        <v>#N/A</v>
      </c>
      <c r="F399" t="e">
        <f>"_"&amp;INDEX(Tabelle132[Geräte/Gewerke],MATCH(Tabelle7[[#This Row],[Gesamtcode]],Tabelle132[Gesamtcode],0))</f>
        <v>#N/A</v>
      </c>
      <c r="G399" t="e">
        <f>INDEX(Tabelle13[Gewerknr.],MATCH(Tabelle7[[#This Row],[Gewerke]],Tabelle13[Hauptgruppe],0))</f>
        <v>#N/A</v>
      </c>
      <c r="H399" t="s">
        <v>276</v>
      </c>
      <c r="I399" t="e">
        <f ca="1">INDEX(Tabelle134[Funktionsbereichsnr.],MATCH(Tabelle7[[#This Row],[Funktionsbereiche]],INDIRECT("Tabelle134["&amp;Tabelle7[[#This Row],[Gewerke]]&amp;"]"),0))</f>
        <v>#N/A</v>
      </c>
      <c r="J399" t="e">
        <f>Tabelle7[[#This Row],[Gesamtcode]]&amp;"_"&amp;Tabelle7[[#This Row],[Zone]]&amp;"_"&amp;Tabelle7[[#This Row],[Raum]]&amp;"_"&amp;Tabelle7[[#This Row],[Bezeichnung]]</f>
        <v>#N/A</v>
      </c>
      <c r="K399">
        <v>20</v>
      </c>
      <c r="L399" t="e">
        <f>Tabelle7[[#This Row],[Hauptgruppe]]&amp;"/-/-"</f>
        <v>#N/A</v>
      </c>
      <c r="M399" t="e">
        <f ca="1">Tabelle7[[#This Row],[Hauptgruppe]]&amp;"/"&amp;Tabelle7[[#This Row],[Mittelgruppe]]&amp;"/-"</f>
        <v>#N/A</v>
      </c>
      <c r="N399" t="e">
        <f ca="1">Tabelle7[[#This Row],[Hauptgruppe]]&amp;"/"&amp;Tabelle7[[#This Row],[Mittelgruppe]]&amp;"/"&amp;Tabelle7[[#This Row],[Untergruppe]]</f>
        <v>#N/A</v>
      </c>
      <c r="O399" t="e">
        <f>INDEX(Tabelle6[Aktor],MATCH(Tabelle7[[#This Row],[Gesamtcode]],Tabelle6[Gesamtcode],0))&amp;" "&amp;INDEX(Tabelle6[Aktorkanal],MATCH(Tabelle7[[#This Row],[Gesamtcode]],Tabelle6[Gesamtcode],0))</f>
        <v>#N/A</v>
      </c>
    </row>
    <row r="400" spans="2:15" x14ac:dyDescent="0.25">
      <c r="B400" t="s">
        <v>324</v>
      </c>
      <c r="C400" t="e">
        <f>INDEX(Tabelle132[Zone],MATCH(Tabelle7[[#This Row],[Gesamtcode]],Tabelle132[Gesamtcode],0))</f>
        <v>#N/A</v>
      </c>
      <c r="D400" t="e">
        <f>INDEX(Tabelle132[Raum],MATCH(Tabelle7[[#This Row],[Gesamtcode]],Tabelle132[Gesamtcode],0))</f>
        <v>#N/A</v>
      </c>
      <c r="E400" t="e">
        <f>INDEX(Tabelle132[Bezeichnung],MATCH(Tabelle7[[#This Row],[Gesamtcode]],Tabelle132[Gesamtcode],0))</f>
        <v>#N/A</v>
      </c>
      <c r="F400" t="e">
        <f>"_"&amp;INDEX(Tabelle132[Geräte/Gewerke],MATCH(Tabelle7[[#This Row],[Gesamtcode]],Tabelle132[Gesamtcode],0))</f>
        <v>#N/A</v>
      </c>
      <c r="G400" t="e">
        <f>INDEX(Tabelle13[Gewerknr.],MATCH(Tabelle7[[#This Row],[Gewerke]],Tabelle13[Hauptgruppe],0))</f>
        <v>#N/A</v>
      </c>
      <c r="H400" t="s">
        <v>276</v>
      </c>
      <c r="I400" t="e">
        <f ca="1">INDEX(Tabelle134[Funktionsbereichsnr.],MATCH(Tabelle7[[#This Row],[Funktionsbereiche]],INDIRECT("Tabelle134["&amp;Tabelle7[[#This Row],[Gewerke]]&amp;"]"),0))</f>
        <v>#N/A</v>
      </c>
      <c r="J400" t="e">
        <f>Tabelle7[[#This Row],[Gesamtcode]]&amp;"_"&amp;Tabelle7[[#This Row],[Zone]]&amp;"_"&amp;Tabelle7[[#This Row],[Raum]]&amp;"_"&amp;Tabelle7[[#This Row],[Bezeichnung]]</f>
        <v>#N/A</v>
      </c>
      <c r="K400">
        <v>21</v>
      </c>
      <c r="L400" t="e">
        <f>Tabelle7[[#This Row],[Hauptgruppe]]&amp;"/-/-"</f>
        <v>#N/A</v>
      </c>
      <c r="M400" t="e">
        <f ca="1">Tabelle7[[#This Row],[Hauptgruppe]]&amp;"/"&amp;Tabelle7[[#This Row],[Mittelgruppe]]&amp;"/-"</f>
        <v>#N/A</v>
      </c>
      <c r="N400" t="e">
        <f ca="1">Tabelle7[[#This Row],[Hauptgruppe]]&amp;"/"&amp;Tabelle7[[#This Row],[Mittelgruppe]]&amp;"/"&amp;Tabelle7[[#This Row],[Untergruppe]]</f>
        <v>#N/A</v>
      </c>
      <c r="O400" t="e">
        <f>INDEX(Tabelle6[Aktor],MATCH(Tabelle7[[#This Row],[Gesamtcode]],Tabelle6[Gesamtcode],0))&amp;" "&amp;INDEX(Tabelle6[Aktorkanal],MATCH(Tabelle7[[#This Row],[Gesamtcode]],Tabelle6[Gesamtcode],0))</f>
        <v>#N/A</v>
      </c>
    </row>
    <row r="401" spans="2:15" x14ac:dyDescent="0.25">
      <c r="B401" t="s">
        <v>325</v>
      </c>
      <c r="C401" t="e">
        <f>INDEX(Tabelle132[Zone],MATCH(Tabelle7[[#This Row],[Gesamtcode]],Tabelle132[Gesamtcode],0))</f>
        <v>#N/A</v>
      </c>
      <c r="D401" t="e">
        <f>INDEX(Tabelle132[Raum],MATCH(Tabelle7[[#This Row],[Gesamtcode]],Tabelle132[Gesamtcode],0))</f>
        <v>#N/A</v>
      </c>
      <c r="E401" t="e">
        <f>INDEX(Tabelle132[Bezeichnung],MATCH(Tabelle7[[#This Row],[Gesamtcode]],Tabelle132[Gesamtcode],0))</f>
        <v>#N/A</v>
      </c>
      <c r="F401" t="e">
        <f>"_"&amp;INDEX(Tabelle132[Geräte/Gewerke],MATCH(Tabelle7[[#This Row],[Gesamtcode]],Tabelle132[Gesamtcode],0))</f>
        <v>#N/A</v>
      </c>
      <c r="G401" t="e">
        <f>INDEX(Tabelle13[Gewerknr.],MATCH(Tabelle7[[#This Row],[Gewerke]],Tabelle13[Hauptgruppe],0))</f>
        <v>#N/A</v>
      </c>
      <c r="H401" t="s">
        <v>276</v>
      </c>
      <c r="I401" t="e">
        <f ca="1">INDEX(Tabelle134[Funktionsbereichsnr.],MATCH(Tabelle7[[#This Row],[Funktionsbereiche]],INDIRECT("Tabelle134["&amp;Tabelle7[[#This Row],[Gewerke]]&amp;"]"),0))</f>
        <v>#N/A</v>
      </c>
      <c r="J401" t="e">
        <f>Tabelle7[[#This Row],[Gesamtcode]]&amp;"_"&amp;Tabelle7[[#This Row],[Zone]]&amp;"_"&amp;Tabelle7[[#This Row],[Raum]]&amp;"_"&amp;Tabelle7[[#This Row],[Bezeichnung]]</f>
        <v>#N/A</v>
      </c>
      <c r="K401">
        <v>22</v>
      </c>
      <c r="L401" t="e">
        <f>Tabelle7[[#This Row],[Hauptgruppe]]&amp;"/-/-"</f>
        <v>#N/A</v>
      </c>
      <c r="M401" t="e">
        <f ca="1">Tabelle7[[#This Row],[Hauptgruppe]]&amp;"/"&amp;Tabelle7[[#This Row],[Mittelgruppe]]&amp;"/-"</f>
        <v>#N/A</v>
      </c>
      <c r="N401" t="e">
        <f ca="1">Tabelle7[[#This Row],[Hauptgruppe]]&amp;"/"&amp;Tabelle7[[#This Row],[Mittelgruppe]]&amp;"/"&amp;Tabelle7[[#This Row],[Untergruppe]]</f>
        <v>#N/A</v>
      </c>
      <c r="O401" t="e">
        <f>INDEX(Tabelle6[Aktor],MATCH(Tabelle7[[#This Row],[Gesamtcode]],Tabelle6[Gesamtcode],0))&amp;" "&amp;INDEX(Tabelle6[Aktorkanal],MATCH(Tabelle7[[#This Row],[Gesamtcode]],Tabelle6[Gesamtcode],0))</f>
        <v>#N/A</v>
      </c>
    </row>
    <row r="402" spans="2:15" x14ac:dyDescent="0.25">
      <c r="B402" t="s">
        <v>326</v>
      </c>
      <c r="C402" t="e">
        <f>INDEX(Tabelle132[Zone],MATCH(Tabelle7[[#This Row],[Gesamtcode]],Tabelle132[Gesamtcode],0))</f>
        <v>#N/A</v>
      </c>
      <c r="D402" t="e">
        <f>INDEX(Tabelle132[Raum],MATCH(Tabelle7[[#This Row],[Gesamtcode]],Tabelle132[Gesamtcode],0))</f>
        <v>#N/A</v>
      </c>
      <c r="E402" t="e">
        <f>INDEX(Tabelle132[Bezeichnung],MATCH(Tabelle7[[#This Row],[Gesamtcode]],Tabelle132[Gesamtcode],0))</f>
        <v>#N/A</v>
      </c>
      <c r="F402" t="e">
        <f>"_"&amp;INDEX(Tabelle132[Geräte/Gewerke],MATCH(Tabelle7[[#This Row],[Gesamtcode]],Tabelle132[Gesamtcode],0))</f>
        <v>#N/A</v>
      </c>
      <c r="G402" t="e">
        <f>INDEX(Tabelle13[Gewerknr.],MATCH(Tabelle7[[#This Row],[Gewerke]],Tabelle13[Hauptgruppe],0))</f>
        <v>#N/A</v>
      </c>
      <c r="H402" t="s">
        <v>276</v>
      </c>
      <c r="I402" t="e">
        <f ca="1">INDEX(Tabelle134[Funktionsbereichsnr.],MATCH(Tabelle7[[#This Row],[Funktionsbereiche]],INDIRECT("Tabelle134["&amp;Tabelle7[[#This Row],[Gewerke]]&amp;"]"),0))</f>
        <v>#N/A</v>
      </c>
      <c r="J402" t="e">
        <f>Tabelle7[[#This Row],[Gesamtcode]]&amp;"_"&amp;Tabelle7[[#This Row],[Zone]]&amp;"_"&amp;Tabelle7[[#This Row],[Raum]]&amp;"_"&amp;Tabelle7[[#This Row],[Bezeichnung]]</f>
        <v>#N/A</v>
      </c>
      <c r="K402">
        <v>23</v>
      </c>
      <c r="L402" t="e">
        <f>Tabelle7[[#This Row],[Hauptgruppe]]&amp;"/-/-"</f>
        <v>#N/A</v>
      </c>
      <c r="M402" t="e">
        <f ca="1">Tabelle7[[#This Row],[Hauptgruppe]]&amp;"/"&amp;Tabelle7[[#This Row],[Mittelgruppe]]&amp;"/-"</f>
        <v>#N/A</v>
      </c>
      <c r="N402" t="e">
        <f ca="1">Tabelle7[[#This Row],[Hauptgruppe]]&amp;"/"&amp;Tabelle7[[#This Row],[Mittelgruppe]]&amp;"/"&amp;Tabelle7[[#This Row],[Untergruppe]]</f>
        <v>#N/A</v>
      </c>
      <c r="O402" t="e">
        <f>INDEX(Tabelle6[Aktor],MATCH(Tabelle7[[#This Row],[Gesamtcode]],Tabelle6[Gesamtcode],0))&amp;" "&amp;INDEX(Tabelle6[Aktorkanal],MATCH(Tabelle7[[#This Row],[Gesamtcode]],Tabelle6[Gesamtcode],0))</f>
        <v>#N/A</v>
      </c>
    </row>
    <row r="403" spans="2:15" x14ac:dyDescent="0.25">
      <c r="B403" t="s">
        <v>327</v>
      </c>
      <c r="C403" t="e">
        <f>INDEX(Tabelle132[Zone],MATCH(Tabelle7[[#This Row],[Gesamtcode]],Tabelle132[Gesamtcode],0))</f>
        <v>#N/A</v>
      </c>
      <c r="D403" t="e">
        <f>INDEX(Tabelle132[Raum],MATCH(Tabelle7[[#This Row],[Gesamtcode]],Tabelle132[Gesamtcode],0))</f>
        <v>#N/A</v>
      </c>
      <c r="E403" t="e">
        <f>INDEX(Tabelle132[Bezeichnung],MATCH(Tabelle7[[#This Row],[Gesamtcode]],Tabelle132[Gesamtcode],0))</f>
        <v>#N/A</v>
      </c>
      <c r="F403" t="e">
        <f>"_"&amp;INDEX(Tabelle132[Geräte/Gewerke],MATCH(Tabelle7[[#This Row],[Gesamtcode]],Tabelle132[Gesamtcode],0))</f>
        <v>#N/A</v>
      </c>
      <c r="G403" t="e">
        <f>INDEX(Tabelle13[Gewerknr.],MATCH(Tabelle7[[#This Row],[Gewerke]],Tabelle13[Hauptgruppe],0))</f>
        <v>#N/A</v>
      </c>
      <c r="H403" t="s">
        <v>276</v>
      </c>
      <c r="I403" t="e">
        <f ca="1">INDEX(Tabelle134[Funktionsbereichsnr.],MATCH(Tabelle7[[#This Row],[Funktionsbereiche]],INDIRECT("Tabelle134["&amp;Tabelle7[[#This Row],[Gewerke]]&amp;"]"),0))</f>
        <v>#N/A</v>
      </c>
      <c r="J403" t="e">
        <f>Tabelle7[[#This Row],[Gesamtcode]]&amp;"_"&amp;Tabelle7[[#This Row],[Zone]]&amp;"_"&amp;Tabelle7[[#This Row],[Raum]]&amp;"_"&amp;Tabelle7[[#This Row],[Bezeichnung]]</f>
        <v>#N/A</v>
      </c>
      <c r="K403">
        <v>24</v>
      </c>
      <c r="L403" t="e">
        <f>Tabelle7[[#This Row],[Hauptgruppe]]&amp;"/-/-"</f>
        <v>#N/A</v>
      </c>
      <c r="M403" t="e">
        <f ca="1">Tabelle7[[#This Row],[Hauptgruppe]]&amp;"/"&amp;Tabelle7[[#This Row],[Mittelgruppe]]&amp;"/-"</f>
        <v>#N/A</v>
      </c>
      <c r="N403" t="e">
        <f ca="1">Tabelle7[[#This Row],[Hauptgruppe]]&amp;"/"&amp;Tabelle7[[#This Row],[Mittelgruppe]]&amp;"/"&amp;Tabelle7[[#This Row],[Untergruppe]]</f>
        <v>#N/A</v>
      </c>
      <c r="O403" t="e">
        <f>INDEX(Tabelle6[Aktor],MATCH(Tabelle7[[#This Row],[Gesamtcode]],Tabelle6[Gesamtcode],0))&amp;" "&amp;INDEX(Tabelle6[Aktorkanal],MATCH(Tabelle7[[#This Row],[Gesamtcode]],Tabelle6[Gesamtcode],0))</f>
        <v>#N/A</v>
      </c>
    </row>
    <row r="404" spans="2:15" x14ac:dyDescent="0.25">
      <c r="B404" t="s">
        <v>328</v>
      </c>
      <c r="C404" t="e">
        <f>INDEX(Tabelle132[Zone],MATCH(Tabelle7[[#This Row],[Gesamtcode]],Tabelle132[Gesamtcode],0))</f>
        <v>#N/A</v>
      </c>
      <c r="D404" t="e">
        <f>INDEX(Tabelle132[Raum],MATCH(Tabelle7[[#This Row],[Gesamtcode]],Tabelle132[Gesamtcode],0))</f>
        <v>#N/A</v>
      </c>
      <c r="E404" t="e">
        <f>INDEX(Tabelle132[Bezeichnung],MATCH(Tabelle7[[#This Row],[Gesamtcode]],Tabelle132[Gesamtcode],0))</f>
        <v>#N/A</v>
      </c>
      <c r="F404" t="e">
        <f>"_"&amp;INDEX(Tabelle132[Geräte/Gewerke],MATCH(Tabelle7[[#This Row],[Gesamtcode]],Tabelle132[Gesamtcode],0))</f>
        <v>#N/A</v>
      </c>
      <c r="G404" t="e">
        <f>INDEX(Tabelle13[Gewerknr.],MATCH(Tabelle7[[#This Row],[Gewerke]],Tabelle13[Hauptgruppe],0))</f>
        <v>#N/A</v>
      </c>
      <c r="H404" t="s">
        <v>276</v>
      </c>
      <c r="I404" t="e">
        <f ca="1">INDEX(Tabelle134[Funktionsbereichsnr.],MATCH(Tabelle7[[#This Row],[Funktionsbereiche]],INDIRECT("Tabelle134["&amp;Tabelle7[[#This Row],[Gewerke]]&amp;"]"),0))</f>
        <v>#N/A</v>
      </c>
      <c r="J404" t="e">
        <f>Tabelle7[[#This Row],[Gesamtcode]]&amp;"_"&amp;Tabelle7[[#This Row],[Zone]]&amp;"_"&amp;Tabelle7[[#This Row],[Raum]]&amp;"_"&amp;Tabelle7[[#This Row],[Bezeichnung]]</f>
        <v>#N/A</v>
      </c>
      <c r="K404">
        <v>25</v>
      </c>
      <c r="L404" t="e">
        <f>Tabelle7[[#This Row],[Hauptgruppe]]&amp;"/-/-"</f>
        <v>#N/A</v>
      </c>
      <c r="M404" t="e">
        <f ca="1">Tabelle7[[#This Row],[Hauptgruppe]]&amp;"/"&amp;Tabelle7[[#This Row],[Mittelgruppe]]&amp;"/-"</f>
        <v>#N/A</v>
      </c>
      <c r="N404" t="e">
        <f ca="1">Tabelle7[[#This Row],[Hauptgruppe]]&amp;"/"&amp;Tabelle7[[#This Row],[Mittelgruppe]]&amp;"/"&amp;Tabelle7[[#This Row],[Untergruppe]]</f>
        <v>#N/A</v>
      </c>
      <c r="O404" t="e">
        <f>INDEX(Tabelle6[Aktor],MATCH(Tabelle7[[#This Row],[Gesamtcode]],Tabelle6[Gesamtcode],0))&amp;" "&amp;INDEX(Tabelle6[Aktorkanal],MATCH(Tabelle7[[#This Row],[Gesamtcode]],Tabelle6[Gesamtcode],0))</f>
        <v>#N/A</v>
      </c>
    </row>
    <row r="405" spans="2:15" x14ac:dyDescent="0.25">
      <c r="B405" t="s">
        <v>329</v>
      </c>
      <c r="C405" t="e">
        <f>INDEX(Tabelle132[Zone],MATCH(Tabelle7[[#This Row],[Gesamtcode]],Tabelle132[Gesamtcode],0))</f>
        <v>#N/A</v>
      </c>
      <c r="D405" t="e">
        <f>INDEX(Tabelle132[Raum],MATCH(Tabelle7[[#This Row],[Gesamtcode]],Tabelle132[Gesamtcode],0))</f>
        <v>#N/A</v>
      </c>
      <c r="E405" t="e">
        <f>INDEX(Tabelle132[Bezeichnung],MATCH(Tabelle7[[#This Row],[Gesamtcode]],Tabelle132[Gesamtcode],0))</f>
        <v>#N/A</v>
      </c>
      <c r="F405" t="e">
        <f>"_"&amp;INDEX(Tabelle132[Geräte/Gewerke],MATCH(Tabelle7[[#This Row],[Gesamtcode]],Tabelle132[Gesamtcode],0))</f>
        <v>#N/A</v>
      </c>
      <c r="G405" t="e">
        <f>INDEX(Tabelle13[Gewerknr.],MATCH(Tabelle7[[#This Row],[Gewerke]],Tabelle13[Hauptgruppe],0))</f>
        <v>#N/A</v>
      </c>
      <c r="H405" t="s">
        <v>276</v>
      </c>
      <c r="I405" t="e">
        <f ca="1">INDEX(Tabelle134[Funktionsbereichsnr.],MATCH(Tabelle7[[#This Row],[Funktionsbereiche]],INDIRECT("Tabelle134["&amp;Tabelle7[[#This Row],[Gewerke]]&amp;"]"),0))</f>
        <v>#N/A</v>
      </c>
      <c r="J405" t="e">
        <f>Tabelle7[[#This Row],[Gesamtcode]]&amp;"_"&amp;Tabelle7[[#This Row],[Zone]]&amp;"_"&amp;Tabelle7[[#This Row],[Raum]]&amp;"_"&amp;Tabelle7[[#This Row],[Bezeichnung]]</f>
        <v>#N/A</v>
      </c>
      <c r="K405">
        <v>26</v>
      </c>
      <c r="L405" t="e">
        <f>Tabelle7[[#This Row],[Hauptgruppe]]&amp;"/-/-"</f>
        <v>#N/A</v>
      </c>
      <c r="M405" t="e">
        <f ca="1">Tabelle7[[#This Row],[Hauptgruppe]]&amp;"/"&amp;Tabelle7[[#This Row],[Mittelgruppe]]&amp;"/-"</f>
        <v>#N/A</v>
      </c>
      <c r="N405" t="e">
        <f ca="1">Tabelle7[[#This Row],[Hauptgruppe]]&amp;"/"&amp;Tabelle7[[#This Row],[Mittelgruppe]]&amp;"/"&amp;Tabelle7[[#This Row],[Untergruppe]]</f>
        <v>#N/A</v>
      </c>
      <c r="O405" t="e">
        <f>INDEX(Tabelle6[Aktor],MATCH(Tabelle7[[#This Row],[Gesamtcode]],Tabelle6[Gesamtcode],0))&amp;" "&amp;INDEX(Tabelle6[Aktorkanal],MATCH(Tabelle7[[#This Row],[Gesamtcode]],Tabelle6[Gesamtcode],0))</f>
        <v>#N/A</v>
      </c>
    </row>
    <row r="406" spans="2:15" x14ac:dyDescent="0.25">
      <c r="B406" t="s">
        <v>330</v>
      </c>
      <c r="C406" t="e">
        <f>INDEX(Tabelle132[Zone],MATCH(Tabelle7[[#This Row],[Gesamtcode]],Tabelle132[Gesamtcode],0))</f>
        <v>#N/A</v>
      </c>
      <c r="D406" t="e">
        <f>INDEX(Tabelle132[Raum],MATCH(Tabelle7[[#This Row],[Gesamtcode]],Tabelle132[Gesamtcode],0))</f>
        <v>#N/A</v>
      </c>
      <c r="E406" t="e">
        <f>INDEX(Tabelle132[Bezeichnung],MATCH(Tabelle7[[#This Row],[Gesamtcode]],Tabelle132[Gesamtcode],0))</f>
        <v>#N/A</v>
      </c>
      <c r="F406" t="e">
        <f>"_"&amp;INDEX(Tabelle132[Geräte/Gewerke],MATCH(Tabelle7[[#This Row],[Gesamtcode]],Tabelle132[Gesamtcode],0))</f>
        <v>#N/A</v>
      </c>
      <c r="G406" t="e">
        <f>INDEX(Tabelle13[Gewerknr.],MATCH(Tabelle7[[#This Row],[Gewerke]],Tabelle13[Hauptgruppe],0))</f>
        <v>#N/A</v>
      </c>
      <c r="H406" t="s">
        <v>276</v>
      </c>
      <c r="I406" t="e">
        <f ca="1">INDEX(Tabelle134[Funktionsbereichsnr.],MATCH(Tabelle7[[#This Row],[Funktionsbereiche]],INDIRECT("Tabelle134["&amp;Tabelle7[[#This Row],[Gewerke]]&amp;"]"),0))</f>
        <v>#N/A</v>
      </c>
      <c r="J406" t="e">
        <f>Tabelle7[[#This Row],[Gesamtcode]]&amp;"_"&amp;Tabelle7[[#This Row],[Zone]]&amp;"_"&amp;Tabelle7[[#This Row],[Raum]]&amp;"_"&amp;Tabelle7[[#This Row],[Bezeichnung]]</f>
        <v>#N/A</v>
      </c>
      <c r="K406">
        <v>27</v>
      </c>
      <c r="L406" t="e">
        <f>Tabelle7[[#This Row],[Hauptgruppe]]&amp;"/-/-"</f>
        <v>#N/A</v>
      </c>
      <c r="M406" t="e">
        <f ca="1">Tabelle7[[#This Row],[Hauptgruppe]]&amp;"/"&amp;Tabelle7[[#This Row],[Mittelgruppe]]&amp;"/-"</f>
        <v>#N/A</v>
      </c>
      <c r="N406" t="e">
        <f ca="1">Tabelle7[[#This Row],[Hauptgruppe]]&amp;"/"&amp;Tabelle7[[#This Row],[Mittelgruppe]]&amp;"/"&amp;Tabelle7[[#This Row],[Untergruppe]]</f>
        <v>#N/A</v>
      </c>
      <c r="O406" t="e">
        <f>INDEX(Tabelle6[Aktor],MATCH(Tabelle7[[#This Row],[Gesamtcode]],Tabelle6[Gesamtcode],0))&amp;" "&amp;INDEX(Tabelle6[Aktorkanal],MATCH(Tabelle7[[#This Row],[Gesamtcode]],Tabelle6[Gesamtcode],0))</f>
        <v>#N/A</v>
      </c>
    </row>
    <row r="407" spans="2:15" x14ac:dyDescent="0.25">
      <c r="B407" t="s">
        <v>331</v>
      </c>
      <c r="C407" t="e">
        <f>INDEX(Tabelle132[Zone],MATCH(Tabelle7[[#This Row],[Gesamtcode]],Tabelle132[Gesamtcode],0))</f>
        <v>#N/A</v>
      </c>
      <c r="D407" t="e">
        <f>INDEX(Tabelle132[Raum],MATCH(Tabelle7[[#This Row],[Gesamtcode]],Tabelle132[Gesamtcode],0))</f>
        <v>#N/A</v>
      </c>
      <c r="E407" t="e">
        <f>INDEX(Tabelle132[Bezeichnung],MATCH(Tabelle7[[#This Row],[Gesamtcode]],Tabelle132[Gesamtcode],0))</f>
        <v>#N/A</v>
      </c>
      <c r="F407" t="e">
        <f>"_"&amp;INDEX(Tabelle132[Geräte/Gewerke],MATCH(Tabelle7[[#This Row],[Gesamtcode]],Tabelle132[Gesamtcode],0))</f>
        <v>#N/A</v>
      </c>
      <c r="G407" t="e">
        <f>INDEX(Tabelle13[Gewerknr.],MATCH(Tabelle7[[#This Row],[Gewerke]],Tabelle13[Hauptgruppe],0))</f>
        <v>#N/A</v>
      </c>
      <c r="H407" t="s">
        <v>276</v>
      </c>
      <c r="I407" t="e">
        <f ca="1">INDEX(Tabelle134[Funktionsbereichsnr.],MATCH(Tabelle7[[#This Row],[Funktionsbereiche]],INDIRECT("Tabelle134["&amp;Tabelle7[[#This Row],[Gewerke]]&amp;"]"),0))</f>
        <v>#N/A</v>
      </c>
      <c r="J407" t="e">
        <f>Tabelle7[[#This Row],[Gesamtcode]]&amp;"_"&amp;Tabelle7[[#This Row],[Zone]]&amp;"_"&amp;Tabelle7[[#This Row],[Raum]]&amp;"_"&amp;Tabelle7[[#This Row],[Bezeichnung]]</f>
        <v>#N/A</v>
      </c>
      <c r="K407">
        <v>28</v>
      </c>
      <c r="L407" t="e">
        <f>Tabelle7[[#This Row],[Hauptgruppe]]&amp;"/-/-"</f>
        <v>#N/A</v>
      </c>
      <c r="M407" t="e">
        <f ca="1">Tabelle7[[#This Row],[Hauptgruppe]]&amp;"/"&amp;Tabelle7[[#This Row],[Mittelgruppe]]&amp;"/-"</f>
        <v>#N/A</v>
      </c>
      <c r="N407" t="e">
        <f ca="1">Tabelle7[[#This Row],[Hauptgruppe]]&amp;"/"&amp;Tabelle7[[#This Row],[Mittelgruppe]]&amp;"/"&amp;Tabelle7[[#This Row],[Untergruppe]]</f>
        <v>#N/A</v>
      </c>
      <c r="O407" t="e">
        <f>INDEX(Tabelle6[Aktor],MATCH(Tabelle7[[#This Row],[Gesamtcode]],Tabelle6[Gesamtcode],0))&amp;" "&amp;INDEX(Tabelle6[Aktorkanal],MATCH(Tabelle7[[#This Row],[Gesamtcode]],Tabelle6[Gesamtcode],0))</f>
        <v>#N/A</v>
      </c>
    </row>
    <row r="408" spans="2:15" x14ac:dyDescent="0.25">
      <c r="B408" t="s">
        <v>332</v>
      </c>
      <c r="C408" t="e">
        <f>INDEX(Tabelle132[Zone],MATCH(Tabelle7[[#This Row],[Gesamtcode]],Tabelle132[Gesamtcode],0))</f>
        <v>#N/A</v>
      </c>
      <c r="D408" t="e">
        <f>INDEX(Tabelle132[Raum],MATCH(Tabelle7[[#This Row],[Gesamtcode]],Tabelle132[Gesamtcode],0))</f>
        <v>#N/A</v>
      </c>
      <c r="E408" t="e">
        <f>INDEX(Tabelle132[Bezeichnung],MATCH(Tabelle7[[#This Row],[Gesamtcode]],Tabelle132[Gesamtcode],0))</f>
        <v>#N/A</v>
      </c>
      <c r="F408" t="e">
        <f>"_"&amp;INDEX(Tabelle132[Geräte/Gewerke],MATCH(Tabelle7[[#This Row],[Gesamtcode]],Tabelle132[Gesamtcode],0))</f>
        <v>#N/A</v>
      </c>
      <c r="G408" t="e">
        <f>INDEX(Tabelle13[Gewerknr.],MATCH(Tabelle7[[#This Row],[Gewerke]],Tabelle13[Hauptgruppe],0))</f>
        <v>#N/A</v>
      </c>
      <c r="H408" t="s">
        <v>276</v>
      </c>
      <c r="I408" t="e">
        <f ca="1">INDEX(Tabelle134[Funktionsbereichsnr.],MATCH(Tabelle7[[#This Row],[Funktionsbereiche]],INDIRECT("Tabelle134["&amp;Tabelle7[[#This Row],[Gewerke]]&amp;"]"),0))</f>
        <v>#N/A</v>
      </c>
      <c r="J408" t="e">
        <f>Tabelle7[[#This Row],[Gesamtcode]]&amp;"_"&amp;Tabelle7[[#This Row],[Zone]]&amp;"_"&amp;Tabelle7[[#This Row],[Raum]]&amp;"_"&amp;Tabelle7[[#This Row],[Bezeichnung]]</f>
        <v>#N/A</v>
      </c>
      <c r="K408">
        <v>29</v>
      </c>
      <c r="L408" t="e">
        <f>Tabelle7[[#This Row],[Hauptgruppe]]&amp;"/-/-"</f>
        <v>#N/A</v>
      </c>
      <c r="M408" t="e">
        <f ca="1">Tabelle7[[#This Row],[Hauptgruppe]]&amp;"/"&amp;Tabelle7[[#This Row],[Mittelgruppe]]&amp;"/-"</f>
        <v>#N/A</v>
      </c>
      <c r="N408" t="e">
        <f ca="1">Tabelle7[[#This Row],[Hauptgruppe]]&amp;"/"&amp;Tabelle7[[#This Row],[Mittelgruppe]]&amp;"/"&amp;Tabelle7[[#This Row],[Untergruppe]]</f>
        <v>#N/A</v>
      </c>
      <c r="O408" t="e">
        <f>INDEX(Tabelle6[Aktor],MATCH(Tabelle7[[#This Row],[Gesamtcode]],Tabelle6[Gesamtcode],0))&amp;" "&amp;INDEX(Tabelle6[Aktorkanal],MATCH(Tabelle7[[#This Row],[Gesamtcode]],Tabelle6[Gesamtcode],0))</f>
        <v>#N/A</v>
      </c>
    </row>
    <row r="409" spans="2:15" x14ac:dyDescent="0.25">
      <c r="B409" t="s">
        <v>333</v>
      </c>
      <c r="C409" t="e">
        <f>INDEX(Tabelle132[Zone],MATCH(Tabelle7[[#This Row],[Gesamtcode]],Tabelle132[Gesamtcode],0))</f>
        <v>#N/A</v>
      </c>
      <c r="D409" t="e">
        <f>INDEX(Tabelle132[Raum],MATCH(Tabelle7[[#This Row],[Gesamtcode]],Tabelle132[Gesamtcode],0))</f>
        <v>#N/A</v>
      </c>
      <c r="E409" t="e">
        <f>INDEX(Tabelle132[Bezeichnung],MATCH(Tabelle7[[#This Row],[Gesamtcode]],Tabelle132[Gesamtcode],0))</f>
        <v>#N/A</v>
      </c>
      <c r="F409" t="e">
        <f>"_"&amp;INDEX(Tabelle132[Geräte/Gewerke],MATCH(Tabelle7[[#This Row],[Gesamtcode]],Tabelle132[Gesamtcode],0))</f>
        <v>#N/A</v>
      </c>
      <c r="G409" t="e">
        <f>INDEX(Tabelle13[Gewerknr.],MATCH(Tabelle7[[#This Row],[Gewerke]],Tabelle13[Hauptgruppe],0))</f>
        <v>#N/A</v>
      </c>
      <c r="H409" t="s">
        <v>276</v>
      </c>
      <c r="I409" t="e">
        <f ca="1">INDEX(Tabelle134[Funktionsbereichsnr.],MATCH(Tabelle7[[#This Row],[Funktionsbereiche]],INDIRECT("Tabelle134["&amp;Tabelle7[[#This Row],[Gewerke]]&amp;"]"),0))</f>
        <v>#N/A</v>
      </c>
      <c r="J409" t="e">
        <f>Tabelle7[[#This Row],[Gesamtcode]]&amp;"_"&amp;Tabelle7[[#This Row],[Zone]]&amp;"_"&amp;Tabelle7[[#This Row],[Raum]]&amp;"_"&amp;Tabelle7[[#This Row],[Bezeichnung]]</f>
        <v>#N/A</v>
      </c>
      <c r="K409">
        <v>3</v>
      </c>
      <c r="L409" t="e">
        <f>Tabelle7[[#This Row],[Hauptgruppe]]&amp;"/-/-"</f>
        <v>#N/A</v>
      </c>
      <c r="M409" t="e">
        <f ca="1">Tabelle7[[#This Row],[Hauptgruppe]]&amp;"/"&amp;Tabelle7[[#This Row],[Mittelgruppe]]&amp;"/-"</f>
        <v>#N/A</v>
      </c>
      <c r="N409" t="e">
        <f ca="1">Tabelle7[[#This Row],[Hauptgruppe]]&amp;"/"&amp;Tabelle7[[#This Row],[Mittelgruppe]]&amp;"/"&amp;Tabelle7[[#This Row],[Untergruppe]]</f>
        <v>#N/A</v>
      </c>
      <c r="O409" t="e">
        <f>INDEX(Tabelle6[Aktor],MATCH(Tabelle7[[#This Row],[Gesamtcode]],Tabelle6[Gesamtcode],0))&amp;" "&amp;INDEX(Tabelle6[Aktorkanal],MATCH(Tabelle7[[#This Row],[Gesamtcode]],Tabelle6[Gesamtcode],0))</f>
        <v>#N/A</v>
      </c>
    </row>
    <row r="410" spans="2:15" x14ac:dyDescent="0.25">
      <c r="B410" t="s">
        <v>334</v>
      </c>
      <c r="C410" t="e">
        <f>INDEX(Tabelle132[Zone],MATCH(Tabelle7[[#This Row],[Gesamtcode]],Tabelle132[Gesamtcode],0))</f>
        <v>#N/A</v>
      </c>
      <c r="D410" t="e">
        <f>INDEX(Tabelle132[Raum],MATCH(Tabelle7[[#This Row],[Gesamtcode]],Tabelle132[Gesamtcode],0))</f>
        <v>#N/A</v>
      </c>
      <c r="E410" t="e">
        <f>INDEX(Tabelle132[Bezeichnung],MATCH(Tabelle7[[#This Row],[Gesamtcode]],Tabelle132[Gesamtcode],0))</f>
        <v>#N/A</v>
      </c>
      <c r="F410" t="e">
        <f>"_"&amp;INDEX(Tabelle132[Geräte/Gewerke],MATCH(Tabelle7[[#This Row],[Gesamtcode]],Tabelle132[Gesamtcode],0))</f>
        <v>#N/A</v>
      </c>
      <c r="G410" t="e">
        <f>INDEX(Tabelle13[Gewerknr.],MATCH(Tabelle7[[#This Row],[Gewerke]],Tabelle13[Hauptgruppe],0))</f>
        <v>#N/A</v>
      </c>
      <c r="H410" t="s">
        <v>276</v>
      </c>
      <c r="I410" t="e">
        <f ca="1">INDEX(Tabelle134[Funktionsbereichsnr.],MATCH(Tabelle7[[#This Row],[Funktionsbereiche]],INDIRECT("Tabelle134["&amp;Tabelle7[[#This Row],[Gewerke]]&amp;"]"),0))</f>
        <v>#N/A</v>
      </c>
      <c r="J410" t="e">
        <f>Tabelle7[[#This Row],[Gesamtcode]]&amp;"_"&amp;Tabelle7[[#This Row],[Zone]]&amp;"_"&amp;Tabelle7[[#This Row],[Raum]]&amp;"_"&amp;Tabelle7[[#This Row],[Bezeichnung]]</f>
        <v>#N/A</v>
      </c>
      <c r="K410">
        <v>30</v>
      </c>
      <c r="L410" t="e">
        <f>Tabelle7[[#This Row],[Hauptgruppe]]&amp;"/-/-"</f>
        <v>#N/A</v>
      </c>
      <c r="M410" t="e">
        <f ca="1">Tabelle7[[#This Row],[Hauptgruppe]]&amp;"/"&amp;Tabelle7[[#This Row],[Mittelgruppe]]&amp;"/-"</f>
        <v>#N/A</v>
      </c>
      <c r="N410" t="e">
        <f ca="1">Tabelle7[[#This Row],[Hauptgruppe]]&amp;"/"&amp;Tabelle7[[#This Row],[Mittelgruppe]]&amp;"/"&amp;Tabelle7[[#This Row],[Untergruppe]]</f>
        <v>#N/A</v>
      </c>
      <c r="O410" t="e">
        <f>INDEX(Tabelle6[Aktor],MATCH(Tabelle7[[#This Row],[Gesamtcode]],Tabelle6[Gesamtcode],0))&amp;" "&amp;INDEX(Tabelle6[Aktorkanal],MATCH(Tabelle7[[#This Row],[Gesamtcode]],Tabelle6[Gesamtcode],0))</f>
        <v>#N/A</v>
      </c>
    </row>
    <row r="411" spans="2:15" x14ac:dyDescent="0.25">
      <c r="B411" t="s">
        <v>335</v>
      </c>
      <c r="C411" t="e">
        <f>INDEX(Tabelle132[Zone],MATCH(Tabelle7[[#This Row],[Gesamtcode]],Tabelle132[Gesamtcode],0))</f>
        <v>#N/A</v>
      </c>
      <c r="D411" t="e">
        <f>INDEX(Tabelle132[Raum],MATCH(Tabelle7[[#This Row],[Gesamtcode]],Tabelle132[Gesamtcode],0))</f>
        <v>#N/A</v>
      </c>
      <c r="E411" t="e">
        <f>INDEX(Tabelle132[Bezeichnung],MATCH(Tabelle7[[#This Row],[Gesamtcode]],Tabelle132[Gesamtcode],0))</f>
        <v>#N/A</v>
      </c>
      <c r="F411" t="e">
        <f>"_"&amp;INDEX(Tabelle132[Geräte/Gewerke],MATCH(Tabelle7[[#This Row],[Gesamtcode]],Tabelle132[Gesamtcode],0))</f>
        <v>#N/A</v>
      </c>
      <c r="G411" t="e">
        <f>INDEX(Tabelle13[Gewerknr.],MATCH(Tabelle7[[#This Row],[Gewerke]],Tabelle13[Hauptgruppe],0))</f>
        <v>#N/A</v>
      </c>
      <c r="H411" t="s">
        <v>276</v>
      </c>
      <c r="I411" t="e">
        <f ca="1">INDEX(Tabelle134[Funktionsbereichsnr.],MATCH(Tabelle7[[#This Row],[Funktionsbereiche]],INDIRECT("Tabelle134["&amp;Tabelle7[[#This Row],[Gewerke]]&amp;"]"),0))</f>
        <v>#N/A</v>
      </c>
      <c r="J411" t="e">
        <f>Tabelle7[[#This Row],[Gesamtcode]]&amp;"_"&amp;Tabelle7[[#This Row],[Zone]]&amp;"_"&amp;Tabelle7[[#This Row],[Raum]]&amp;"_"&amp;Tabelle7[[#This Row],[Bezeichnung]]</f>
        <v>#N/A</v>
      </c>
      <c r="K411">
        <v>31</v>
      </c>
      <c r="L411" t="e">
        <f>Tabelle7[[#This Row],[Hauptgruppe]]&amp;"/-/-"</f>
        <v>#N/A</v>
      </c>
      <c r="M411" t="e">
        <f ca="1">Tabelle7[[#This Row],[Hauptgruppe]]&amp;"/"&amp;Tabelle7[[#This Row],[Mittelgruppe]]&amp;"/-"</f>
        <v>#N/A</v>
      </c>
      <c r="N411" t="e">
        <f ca="1">Tabelle7[[#This Row],[Hauptgruppe]]&amp;"/"&amp;Tabelle7[[#This Row],[Mittelgruppe]]&amp;"/"&amp;Tabelle7[[#This Row],[Untergruppe]]</f>
        <v>#N/A</v>
      </c>
      <c r="O411" t="e">
        <f>INDEX(Tabelle6[Aktor],MATCH(Tabelle7[[#This Row],[Gesamtcode]],Tabelle6[Gesamtcode],0))&amp;" "&amp;INDEX(Tabelle6[Aktorkanal],MATCH(Tabelle7[[#This Row],[Gesamtcode]],Tabelle6[Gesamtcode],0))</f>
        <v>#N/A</v>
      </c>
    </row>
    <row r="412" spans="2:15" x14ac:dyDescent="0.25">
      <c r="B412" t="s">
        <v>336</v>
      </c>
      <c r="C412" t="e">
        <f>INDEX(Tabelle132[Zone],MATCH(Tabelle7[[#This Row],[Gesamtcode]],Tabelle132[Gesamtcode],0))</f>
        <v>#N/A</v>
      </c>
      <c r="D412" t="e">
        <f>INDEX(Tabelle132[Raum],MATCH(Tabelle7[[#This Row],[Gesamtcode]],Tabelle132[Gesamtcode],0))</f>
        <v>#N/A</v>
      </c>
      <c r="E412" t="e">
        <f>INDEX(Tabelle132[Bezeichnung],MATCH(Tabelle7[[#This Row],[Gesamtcode]],Tabelle132[Gesamtcode],0))</f>
        <v>#N/A</v>
      </c>
      <c r="F412" t="e">
        <f>"_"&amp;INDEX(Tabelle132[Geräte/Gewerke],MATCH(Tabelle7[[#This Row],[Gesamtcode]],Tabelle132[Gesamtcode],0))</f>
        <v>#N/A</v>
      </c>
      <c r="G412" t="e">
        <f>INDEX(Tabelle13[Gewerknr.],MATCH(Tabelle7[[#This Row],[Gewerke]],Tabelle13[Hauptgruppe],0))</f>
        <v>#N/A</v>
      </c>
      <c r="H412" t="s">
        <v>276</v>
      </c>
      <c r="I412" t="e">
        <f ca="1">INDEX(Tabelle134[Funktionsbereichsnr.],MATCH(Tabelle7[[#This Row],[Funktionsbereiche]],INDIRECT("Tabelle134["&amp;Tabelle7[[#This Row],[Gewerke]]&amp;"]"),0))</f>
        <v>#N/A</v>
      </c>
      <c r="J412" t="e">
        <f>Tabelle7[[#This Row],[Gesamtcode]]&amp;"_"&amp;Tabelle7[[#This Row],[Zone]]&amp;"_"&amp;Tabelle7[[#This Row],[Raum]]&amp;"_"&amp;Tabelle7[[#This Row],[Bezeichnung]]</f>
        <v>#N/A</v>
      </c>
      <c r="K412">
        <v>32</v>
      </c>
      <c r="L412" t="e">
        <f>Tabelle7[[#This Row],[Hauptgruppe]]&amp;"/-/-"</f>
        <v>#N/A</v>
      </c>
      <c r="M412" t="e">
        <f ca="1">Tabelle7[[#This Row],[Hauptgruppe]]&amp;"/"&amp;Tabelle7[[#This Row],[Mittelgruppe]]&amp;"/-"</f>
        <v>#N/A</v>
      </c>
      <c r="N412" t="e">
        <f ca="1">Tabelle7[[#This Row],[Hauptgruppe]]&amp;"/"&amp;Tabelle7[[#This Row],[Mittelgruppe]]&amp;"/"&amp;Tabelle7[[#This Row],[Untergruppe]]</f>
        <v>#N/A</v>
      </c>
      <c r="O412" t="e">
        <f>INDEX(Tabelle6[Aktor],MATCH(Tabelle7[[#This Row],[Gesamtcode]],Tabelle6[Gesamtcode],0))&amp;" "&amp;INDEX(Tabelle6[Aktorkanal],MATCH(Tabelle7[[#This Row],[Gesamtcode]],Tabelle6[Gesamtcode],0))</f>
        <v>#N/A</v>
      </c>
    </row>
    <row r="413" spans="2:15" x14ac:dyDescent="0.25">
      <c r="B413" t="s">
        <v>337</v>
      </c>
      <c r="C413" t="e">
        <f>INDEX(Tabelle132[Zone],MATCH(Tabelle7[[#This Row],[Gesamtcode]],Tabelle132[Gesamtcode],0))</f>
        <v>#N/A</v>
      </c>
      <c r="D413" t="e">
        <f>INDEX(Tabelle132[Raum],MATCH(Tabelle7[[#This Row],[Gesamtcode]],Tabelle132[Gesamtcode],0))</f>
        <v>#N/A</v>
      </c>
      <c r="E413" t="e">
        <f>INDEX(Tabelle132[Bezeichnung],MATCH(Tabelle7[[#This Row],[Gesamtcode]],Tabelle132[Gesamtcode],0))</f>
        <v>#N/A</v>
      </c>
      <c r="F413" t="e">
        <f>"_"&amp;INDEX(Tabelle132[Geräte/Gewerke],MATCH(Tabelle7[[#This Row],[Gesamtcode]],Tabelle132[Gesamtcode],0))</f>
        <v>#N/A</v>
      </c>
      <c r="G413" t="e">
        <f>INDEX(Tabelle13[Gewerknr.],MATCH(Tabelle7[[#This Row],[Gewerke]],Tabelle13[Hauptgruppe],0))</f>
        <v>#N/A</v>
      </c>
      <c r="H413" t="s">
        <v>276</v>
      </c>
      <c r="I413" t="e">
        <f ca="1">INDEX(Tabelle134[Funktionsbereichsnr.],MATCH(Tabelle7[[#This Row],[Funktionsbereiche]],INDIRECT("Tabelle134["&amp;Tabelle7[[#This Row],[Gewerke]]&amp;"]"),0))</f>
        <v>#N/A</v>
      </c>
      <c r="J413" t="e">
        <f>Tabelle7[[#This Row],[Gesamtcode]]&amp;"_"&amp;Tabelle7[[#This Row],[Zone]]&amp;"_"&amp;Tabelle7[[#This Row],[Raum]]&amp;"_"&amp;Tabelle7[[#This Row],[Bezeichnung]]</f>
        <v>#N/A</v>
      </c>
      <c r="K413">
        <v>33</v>
      </c>
      <c r="L413" t="e">
        <f>Tabelle7[[#This Row],[Hauptgruppe]]&amp;"/-/-"</f>
        <v>#N/A</v>
      </c>
      <c r="M413" t="e">
        <f ca="1">Tabelle7[[#This Row],[Hauptgruppe]]&amp;"/"&amp;Tabelle7[[#This Row],[Mittelgruppe]]&amp;"/-"</f>
        <v>#N/A</v>
      </c>
      <c r="N413" t="e">
        <f ca="1">Tabelle7[[#This Row],[Hauptgruppe]]&amp;"/"&amp;Tabelle7[[#This Row],[Mittelgruppe]]&amp;"/"&amp;Tabelle7[[#This Row],[Untergruppe]]</f>
        <v>#N/A</v>
      </c>
      <c r="O413" t="e">
        <f>INDEX(Tabelle6[Aktor],MATCH(Tabelle7[[#This Row],[Gesamtcode]],Tabelle6[Gesamtcode],0))&amp;" "&amp;INDEX(Tabelle6[Aktorkanal],MATCH(Tabelle7[[#This Row],[Gesamtcode]],Tabelle6[Gesamtcode],0))</f>
        <v>#N/A</v>
      </c>
    </row>
    <row r="414" spans="2:15" x14ac:dyDescent="0.25">
      <c r="B414" t="s">
        <v>338</v>
      </c>
      <c r="C414" t="e">
        <f>INDEX(Tabelle132[Zone],MATCH(Tabelle7[[#This Row],[Gesamtcode]],Tabelle132[Gesamtcode],0))</f>
        <v>#N/A</v>
      </c>
      <c r="D414" t="e">
        <f>INDEX(Tabelle132[Raum],MATCH(Tabelle7[[#This Row],[Gesamtcode]],Tabelle132[Gesamtcode],0))</f>
        <v>#N/A</v>
      </c>
      <c r="E414" t="e">
        <f>INDEX(Tabelle132[Bezeichnung],MATCH(Tabelle7[[#This Row],[Gesamtcode]],Tabelle132[Gesamtcode],0))</f>
        <v>#N/A</v>
      </c>
      <c r="F414" t="e">
        <f>"_"&amp;INDEX(Tabelle132[Geräte/Gewerke],MATCH(Tabelle7[[#This Row],[Gesamtcode]],Tabelle132[Gesamtcode],0))</f>
        <v>#N/A</v>
      </c>
      <c r="G414" t="e">
        <f>INDEX(Tabelle13[Gewerknr.],MATCH(Tabelle7[[#This Row],[Gewerke]],Tabelle13[Hauptgruppe],0))</f>
        <v>#N/A</v>
      </c>
      <c r="H414" t="s">
        <v>276</v>
      </c>
      <c r="I414" t="e">
        <f ca="1">INDEX(Tabelle134[Funktionsbereichsnr.],MATCH(Tabelle7[[#This Row],[Funktionsbereiche]],INDIRECT("Tabelle134["&amp;Tabelle7[[#This Row],[Gewerke]]&amp;"]"),0))</f>
        <v>#N/A</v>
      </c>
      <c r="J414" t="e">
        <f>Tabelle7[[#This Row],[Gesamtcode]]&amp;"_"&amp;Tabelle7[[#This Row],[Zone]]&amp;"_"&amp;Tabelle7[[#This Row],[Raum]]&amp;"_"&amp;Tabelle7[[#This Row],[Bezeichnung]]</f>
        <v>#N/A</v>
      </c>
      <c r="K414">
        <v>4</v>
      </c>
      <c r="L414" t="e">
        <f>Tabelle7[[#This Row],[Hauptgruppe]]&amp;"/-/-"</f>
        <v>#N/A</v>
      </c>
      <c r="M414" t="e">
        <f ca="1">Tabelle7[[#This Row],[Hauptgruppe]]&amp;"/"&amp;Tabelle7[[#This Row],[Mittelgruppe]]&amp;"/-"</f>
        <v>#N/A</v>
      </c>
      <c r="N414" t="e">
        <f ca="1">Tabelle7[[#This Row],[Hauptgruppe]]&amp;"/"&amp;Tabelle7[[#This Row],[Mittelgruppe]]&amp;"/"&amp;Tabelle7[[#This Row],[Untergruppe]]</f>
        <v>#N/A</v>
      </c>
      <c r="O414" t="e">
        <f>INDEX(Tabelle6[Aktor],MATCH(Tabelle7[[#This Row],[Gesamtcode]],Tabelle6[Gesamtcode],0))&amp;" "&amp;INDEX(Tabelle6[Aktorkanal],MATCH(Tabelle7[[#This Row],[Gesamtcode]],Tabelle6[Gesamtcode],0))</f>
        <v>#N/A</v>
      </c>
    </row>
    <row r="415" spans="2:15" x14ac:dyDescent="0.25">
      <c r="B415" t="s">
        <v>339</v>
      </c>
      <c r="C415" t="e">
        <f>INDEX(Tabelle132[Zone],MATCH(Tabelle7[[#This Row],[Gesamtcode]],Tabelle132[Gesamtcode],0))</f>
        <v>#N/A</v>
      </c>
      <c r="D415" t="e">
        <f>INDEX(Tabelle132[Raum],MATCH(Tabelle7[[#This Row],[Gesamtcode]],Tabelle132[Gesamtcode],0))</f>
        <v>#N/A</v>
      </c>
      <c r="E415" t="e">
        <f>INDEX(Tabelle132[Bezeichnung],MATCH(Tabelle7[[#This Row],[Gesamtcode]],Tabelle132[Gesamtcode],0))</f>
        <v>#N/A</v>
      </c>
      <c r="F415" t="e">
        <f>"_"&amp;INDEX(Tabelle132[Geräte/Gewerke],MATCH(Tabelle7[[#This Row],[Gesamtcode]],Tabelle132[Gesamtcode],0))</f>
        <v>#N/A</v>
      </c>
      <c r="G415" t="e">
        <f>INDEX(Tabelle13[Gewerknr.],MATCH(Tabelle7[[#This Row],[Gewerke]],Tabelle13[Hauptgruppe],0))</f>
        <v>#N/A</v>
      </c>
      <c r="H415" t="s">
        <v>276</v>
      </c>
      <c r="I415" t="e">
        <f ca="1">INDEX(Tabelle134[Funktionsbereichsnr.],MATCH(Tabelle7[[#This Row],[Funktionsbereiche]],INDIRECT("Tabelle134["&amp;Tabelle7[[#This Row],[Gewerke]]&amp;"]"),0))</f>
        <v>#N/A</v>
      </c>
      <c r="J415" t="e">
        <f>Tabelle7[[#This Row],[Gesamtcode]]&amp;"_"&amp;Tabelle7[[#This Row],[Zone]]&amp;"_"&amp;Tabelle7[[#This Row],[Raum]]&amp;"_"&amp;Tabelle7[[#This Row],[Bezeichnung]]</f>
        <v>#N/A</v>
      </c>
      <c r="K415">
        <v>5</v>
      </c>
      <c r="L415" t="e">
        <f>Tabelle7[[#This Row],[Hauptgruppe]]&amp;"/-/-"</f>
        <v>#N/A</v>
      </c>
      <c r="M415" t="e">
        <f ca="1">Tabelle7[[#This Row],[Hauptgruppe]]&amp;"/"&amp;Tabelle7[[#This Row],[Mittelgruppe]]&amp;"/-"</f>
        <v>#N/A</v>
      </c>
      <c r="N415" t="e">
        <f ca="1">Tabelle7[[#This Row],[Hauptgruppe]]&amp;"/"&amp;Tabelle7[[#This Row],[Mittelgruppe]]&amp;"/"&amp;Tabelle7[[#This Row],[Untergruppe]]</f>
        <v>#N/A</v>
      </c>
      <c r="O415" t="e">
        <f>INDEX(Tabelle6[Aktor],MATCH(Tabelle7[[#This Row],[Gesamtcode]],Tabelle6[Gesamtcode],0))&amp;" "&amp;INDEX(Tabelle6[Aktorkanal],MATCH(Tabelle7[[#This Row],[Gesamtcode]],Tabelle6[Gesamtcode],0))</f>
        <v>#N/A</v>
      </c>
    </row>
    <row r="416" spans="2:15" x14ac:dyDescent="0.25">
      <c r="B416" t="s">
        <v>340</v>
      </c>
      <c r="C416" t="e">
        <f>INDEX(Tabelle132[Zone],MATCH(Tabelle7[[#This Row],[Gesamtcode]],Tabelle132[Gesamtcode],0))</f>
        <v>#N/A</v>
      </c>
      <c r="D416" t="e">
        <f>INDEX(Tabelle132[Raum],MATCH(Tabelle7[[#This Row],[Gesamtcode]],Tabelle132[Gesamtcode],0))</f>
        <v>#N/A</v>
      </c>
      <c r="E416" t="e">
        <f>INDEX(Tabelle132[Bezeichnung],MATCH(Tabelle7[[#This Row],[Gesamtcode]],Tabelle132[Gesamtcode],0))</f>
        <v>#N/A</v>
      </c>
      <c r="F416" t="e">
        <f>"_"&amp;INDEX(Tabelle132[Geräte/Gewerke],MATCH(Tabelle7[[#This Row],[Gesamtcode]],Tabelle132[Gesamtcode],0))</f>
        <v>#N/A</v>
      </c>
      <c r="G416" t="e">
        <f>INDEX(Tabelle13[Gewerknr.],MATCH(Tabelle7[[#This Row],[Gewerke]],Tabelle13[Hauptgruppe],0))</f>
        <v>#N/A</v>
      </c>
      <c r="H416" t="s">
        <v>276</v>
      </c>
      <c r="I416" t="e">
        <f ca="1">INDEX(Tabelle134[Funktionsbereichsnr.],MATCH(Tabelle7[[#This Row],[Funktionsbereiche]],INDIRECT("Tabelle134["&amp;Tabelle7[[#This Row],[Gewerke]]&amp;"]"),0))</f>
        <v>#N/A</v>
      </c>
      <c r="J416" t="e">
        <f>Tabelle7[[#This Row],[Gesamtcode]]&amp;"_"&amp;Tabelle7[[#This Row],[Zone]]&amp;"_"&amp;Tabelle7[[#This Row],[Raum]]&amp;"_"&amp;Tabelle7[[#This Row],[Bezeichnung]]</f>
        <v>#N/A</v>
      </c>
      <c r="K416">
        <v>6</v>
      </c>
      <c r="L416" t="e">
        <f>Tabelle7[[#This Row],[Hauptgruppe]]&amp;"/-/-"</f>
        <v>#N/A</v>
      </c>
      <c r="M416" t="e">
        <f ca="1">Tabelle7[[#This Row],[Hauptgruppe]]&amp;"/"&amp;Tabelle7[[#This Row],[Mittelgruppe]]&amp;"/-"</f>
        <v>#N/A</v>
      </c>
      <c r="N416" t="e">
        <f ca="1">Tabelle7[[#This Row],[Hauptgruppe]]&amp;"/"&amp;Tabelle7[[#This Row],[Mittelgruppe]]&amp;"/"&amp;Tabelle7[[#This Row],[Untergruppe]]</f>
        <v>#N/A</v>
      </c>
      <c r="O416" t="e">
        <f>INDEX(Tabelle6[Aktor],MATCH(Tabelle7[[#This Row],[Gesamtcode]],Tabelle6[Gesamtcode],0))&amp;" "&amp;INDEX(Tabelle6[Aktorkanal],MATCH(Tabelle7[[#This Row],[Gesamtcode]],Tabelle6[Gesamtcode],0))</f>
        <v>#N/A</v>
      </c>
    </row>
    <row r="417" spans="2:15" x14ac:dyDescent="0.25">
      <c r="B417" t="s">
        <v>341</v>
      </c>
      <c r="C417" t="e">
        <f>INDEX(Tabelle132[Zone],MATCH(Tabelle7[[#This Row],[Gesamtcode]],Tabelle132[Gesamtcode],0))</f>
        <v>#N/A</v>
      </c>
      <c r="D417" t="e">
        <f>INDEX(Tabelle132[Raum],MATCH(Tabelle7[[#This Row],[Gesamtcode]],Tabelle132[Gesamtcode],0))</f>
        <v>#N/A</v>
      </c>
      <c r="E417" t="e">
        <f>INDEX(Tabelle132[Bezeichnung],MATCH(Tabelle7[[#This Row],[Gesamtcode]],Tabelle132[Gesamtcode],0))</f>
        <v>#N/A</v>
      </c>
      <c r="F417" t="e">
        <f>"_"&amp;INDEX(Tabelle132[Geräte/Gewerke],MATCH(Tabelle7[[#This Row],[Gesamtcode]],Tabelle132[Gesamtcode],0))</f>
        <v>#N/A</v>
      </c>
      <c r="G417" t="e">
        <f>INDEX(Tabelle13[Gewerknr.],MATCH(Tabelle7[[#This Row],[Gewerke]],Tabelle13[Hauptgruppe],0))</f>
        <v>#N/A</v>
      </c>
      <c r="H417" t="s">
        <v>276</v>
      </c>
      <c r="I417" t="e">
        <f ca="1">INDEX(Tabelle134[Funktionsbereichsnr.],MATCH(Tabelle7[[#This Row],[Funktionsbereiche]],INDIRECT("Tabelle134["&amp;Tabelle7[[#This Row],[Gewerke]]&amp;"]"),0))</f>
        <v>#N/A</v>
      </c>
      <c r="J417" t="e">
        <f>Tabelle7[[#This Row],[Gesamtcode]]&amp;"_"&amp;Tabelle7[[#This Row],[Zone]]&amp;"_"&amp;Tabelle7[[#This Row],[Raum]]&amp;"_"&amp;Tabelle7[[#This Row],[Bezeichnung]]</f>
        <v>#N/A</v>
      </c>
      <c r="K417">
        <v>7</v>
      </c>
      <c r="L417" t="e">
        <f>Tabelle7[[#This Row],[Hauptgruppe]]&amp;"/-/-"</f>
        <v>#N/A</v>
      </c>
      <c r="M417" t="e">
        <f ca="1">Tabelle7[[#This Row],[Hauptgruppe]]&amp;"/"&amp;Tabelle7[[#This Row],[Mittelgruppe]]&amp;"/-"</f>
        <v>#N/A</v>
      </c>
      <c r="N417" t="e">
        <f ca="1">Tabelle7[[#This Row],[Hauptgruppe]]&amp;"/"&amp;Tabelle7[[#This Row],[Mittelgruppe]]&amp;"/"&amp;Tabelle7[[#This Row],[Untergruppe]]</f>
        <v>#N/A</v>
      </c>
      <c r="O417" t="e">
        <f>INDEX(Tabelle6[Aktor],MATCH(Tabelle7[[#This Row],[Gesamtcode]],Tabelle6[Gesamtcode],0))&amp;" "&amp;INDEX(Tabelle6[Aktorkanal],MATCH(Tabelle7[[#This Row],[Gesamtcode]],Tabelle6[Gesamtcode],0))</f>
        <v>#N/A</v>
      </c>
    </row>
    <row r="418" spans="2:15" x14ac:dyDescent="0.25">
      <c r="B418" t="s">
        <v>342</v>
      </c>
      <c r="C418" t="e">
        <f>INDEX(Tabelle132[Zone],MATCH(Tabelle7[[#This Row],[Gesamtcode]],Tabelle132[Gesamtcode],0))</f>
        <v>#N/A</v>
      </c>
      <c r="D418" t="e">
        <f>INDEX(Tabelle132[Raum],MATCH(Tabelle7[[#This Row],[Gesamtcode]],Tabelle132[Gesamtcode],0))</f>
        <v>#N/A</v>
      </c>
      <c r="E418" t="e">
        <f>INDEX(Tabelle132[Bezeichnung],MATCH(Tabelle7[[#This Row],[Gesamtcode]],Tabelle132[Gesamtcode],0))</f>
        <v>#N/A</v>
      </c>
      <c r="F418" t="e">
        <f>"_"&amp;INDEX(Tabelle132[Geräte/Gewerke],MATCH(Tabelle7[[#This Row],[Gesamtcode]],Tabelle132[Gesamtcode],0))</f>
        <v>#N/A</v>
      </c>
      <c r="G418" t="e">
        <f>INDEX(Tabelle13[Gewerknr.],MATCH(Tabelle7[[#This Row],[Gewerke]],Tabelle13[Hauptgruppe],0))</f>
        <v>#N/A</v>
      </c>
      <c r="H418" t="s">
        <v>276</v>
      </c>
      <c r="I418" t="e">
        <f ca="1">INDEX(Tabelle134[Funktionsbereichsnr.],MATCH(Tabelle7[[#This Row],[Funktionsbereiche]],INDIRECT("Tabelle134["&amp;Tabelle7[[#This Row],[Gewerke]]&amp;"]"),0))</f>
        <v>#N/A</v>
      </c>
      <c r="J418" t="e">
        <f>Tabelle7[[#This Row],[Gesamtcode]]&amp;"_"&amp;Tabelle7[[#This Row],[Zone]]&amp;"_"&amp;Tabelle7[[#This Row],[Raum]]&amp;"_"&amp;Tabelle7[[#This Row],[Bezeichnung]]</f>
        <v>#N/A</v>
      </c>
      <c r="K418">
        <v>8</v>
      </c>
      <c r="L418" t="e">
        <f>Tabelle7[[#This Row],[Hauptgruppe]]&amp;"/-/-"</f>
        <v>#N/A</v>
      </c>
      <c r="M418" t="e">
        <f ca="1">Tabelle7[[#This Row],[Hauptgruppe]]&amp;"/"&amp;Tabelle7[[#This Row],[Mittelgruppe]]&amp;"/-"</f>
        <v>#N/A</v>
      </c>
      <c r="N418" t="e">
        <f ca="1">Tabelle7[[#This Row],[Hauptgruppe]]&amp;"/"&amp;Tabelle7[[#This Row],[Mittelgruppe]]&amp;"/"&amp;Tabelle7[[#This Row],[Untergruppe]]</f>
        <v>#N/A</v>
      </c>
      <c r="O418" t="e">
        <f>INDEX(Tabelle6[Aktor],MATCH(Tabelle7[[#This Row],[Gesamtcode]],Tabelle6[Gesamtcode],0))&amp;" "&amp;INDEX(Tabelle6[Aktorkanal],MATCH(Tabelle7[[#This Row],[Gesamtcode]],Tabelle6[Gesamtcode],0))</f>
        <v>#N/A</v>
      </c>
    </row>
    <row r="419" spans="2:15" x14ac:dyDescent="0.25">
      <c r="B419" t="s">
        <v>343</v>
      </c>
      <c r="C419" t="e">
        <f>INDEX(Tabelle132[Zone],MATCH(Tabelle7[[#This Row],[Gesamtcode]],Tabelle132[Gesamtcode],0))</f>
        <v>#N/A</v>
      </c>
      <c r="D419" t="e">
        <f>INDEX(Tabelle132[Raum],MATCH(Tabelle7[[#This Row],[Gesamtcode]],Tabelle132[Gesamtcode],0))</f>
        <v>#N/A</v>
      </c>
      <c r="E419" t="e">
        <f>INDEX(Tabelle132[Bezeichnung],MATCH(Tabelle7[[#This Row],[Gesamtcode]],Tabelle132[Gesamtcode],0))</f>
        <v>#N/A</v>
      </c>
      <c r="F419" t="e">
        <f>"_"&amp;INDEX(Tabelle132[Geräte/Gewerke],MATCH(Tabelle7[[#This Row],[Gesamtcode]],Tabelle132[Gesamtcode],0))</f>
        <v>#N/A</v>
      </c>
      <c r="G419" t="e">
        <f>INDEX(Tabelle13[Gewerknr.],MATCH(Tabelle7[[#This Row],[Gewerke]],Tabelle13[Hauptgruppe],0))</f>
        <v>#N/A</v>
      </c>
      <c r="H419" t="s">
        <v>276</v>
      </c>
      <c r="I419" t="e">
        <f ca="1">INDEX(Tabelle134[Funktionsbereichsnr.],MATCH(Tabelle7[[#This Row],[Funktionsbereiche]],INDIRECT("Tabelle134["&amp;Tabelle7[[#This Row],[Gewerke]]&amp;"]"),0))</f>
        <v>#N/A</v>
      </c>
      <c r="J419" t="e">
        <f>Tabelle7[[#This Row],[Gesamtcode]]&amp;"_"&amp;Tabelle7[[#This Row],[Zone]]&amp;"_"&amp;Tabelle7[[#This Row],[Raum]]&amp;"_"&amp;Tabelle7[[#This Row],[Bezeichnung]]</f>
        <v>#N/A</v>
      </c>
      <c r="K419">
        <v>9</v>
      </c>
      <c r="L419" t="e">
        <f>Tabelle7[[#This Row],[Hauptgruppe]]&amp;"/-/-"</f>
        <v>#N/A</v>
      </c>
      <c r="M419" t="e">
        <f ca="1">Tabelle7[[#This Row],[Hauptgruppe]]&amp;"/"&amp;Tabelle7[[#This Row],[Mittelgruppe]]&amp;"/-"</f>
        <v>#N/A</v>
      </c>
      <c r="N419" t="e">
        <f ca="1">Tabelle7[[#This Row],[Hauptgruppe]]&amp;"/"&amp;Tabelle7[[#This Row],[Mittelgruppe]]&amp;"/"&amp;Tabelle7[[#This Row],[Untergruppe]]</f>
        <v>#N/A</v>
      </c>
      <c r="O419" t="e">
        <f>INDEX(Tabelle6[Aktor],MATCH(Tabelle7[[#This Row],[Gesamtcode]],Tabelle6[Gesamtcode],0))&amp;" "&amp;INDEX(Tabelle6[Aktorkanal],MATCH(Tabelle7[[#This Row],[Gesamtcode]],Tabelle6[Gesamtcode],0))</f>
        <v>#N/A</v>
      </c>
    </row>
    <row r="420" spans="2:15" x14ac:dyDescent="0.25">
      <c r="B420" t="s">
        <v>332</v>
      </c>
      <c r="C420" t="e">
        <f>INDEX(Tabelle132[Zone],MATCH(Tabelle7[[#This Row],[Gesamtcode]],Tabelle132[Gesamtcode],0))</f>
        <v>#N/A</v>
      </c>
      <c r="D420" t="e">
        <f>INDEX(Tabelle132[Raum],MATCH(Tabelle7[[#This Row],[Gesamtcode]],Tabelle132[Gesamtcode],0))</f>
        <v>#N/A</v>
      </c>
      <c r="E420" t="e">
        <f>INDEX(Tabelle132[Bezeichnung],MATCH(Tabelle7[[#This Row],[Gesamtcode]],Tabelle132[Gesamtcode],0))</f>
        <v>#N/A</v>
      </c>
      <c r="F420" t="e">
        <f>"_"&amp;INDEX(Tabelle132[Geräte/Gewerke],MATCH(Tabelle7[[#This Row],[Gesamtcode]],Tabelle132[Gesamtcode],0))</f>
        <v>#N/A</v>
      </c>
      <c r="G420" t="e">
        <f>INDEX(Tabelle13[Gewerknr.],MATCH(Tabelle7[[#This Row],[Gewerke]],Tabelle13[Hauptgruppe],0))</f>
        <v>#N/A</v>
      </c>
      <c r="H420" t="s">
        <v>347</v>
      </c>
      <c r="I420" t="e">
        <f ca="1">INDEX(Tabelle134[Funktionsbereichsnr.],MATCH(Tabelle7[[#This Row],[Funktionsbereiche]],INDIRECT("Tabelle134["&amp;Tabelle7[[#This Row],[Gewerke]]&amp;"]"),0))</f>
        <v>#N/A</v>
      </c>
      <c r="J420" t="e">
        <f>Tabelle7[[#This Row],[Gesamtcode]]&amp;"_"&amp;Tabelle7[[#This Row],[Zone]]&amp;"_"&amp;Tabelle7[[#This Row],[Raum]]&amp;"_"&amp;Tabelle7[[#This Row],[Bezeichnung]]</f>
        <v>#N/A</v>
      </c>
      <c r="K420">
        <v>0</v>
      </c>
      <c r="L420" t="e">
        <f>Tabelle7[[#This Row],[Hauptgruppe]]&amp;"/-/-"</f>
        <v>#N/A</v>
      </c>
      <c r="M420" t="e">
        <f ca="1">Tabelle7[[#This Row],[Hauptgruppe]]&amp;"/"&amp;Tabelle7[[#This Row],[Mittelgruppe]]&amp;"/-"</f>
        <v>#N/A</v>
      </c>
      <c r="N420" t="e">
        <f ca="1">Tabelle7[[#This Row],[Hauptgruppe]]&amp;"/"&amp;Tabelle7[[#This Row],[Mittelgruppe]]&amp;"/"&amp;Tabelle7[[#This Row],[Untergruppe]]</f>
        <v>#N/A</v>
      </c>
      <c r="O420" t="e">
        <f>INDEX(Tabelle6[Aktor],MATCH(Tabelle7[[#This Row],[Gesamtcode]],Tabelle6[Gesamtcode],0))&amp;" "&amp;INDEX(Tabelle6[Aktorkanal],MATCH(Tabelle7[[#This Row],[Gesamtcode]],Tabelle6[Gesamtcode],0))</f>
        <v>#N/A</v>
      </c>
    </row>
    <row r="421" spans="2:15" x14ac:dyDescent="0.25">
      <c r="B421" t="s">
        <v>334</v>
      </c>
      <c r="C421" t="e">
        <f>INDEX(Tabelle132[Zone],MATCH(Tabelle7[[#This Row],[Gesamtcode]],Tabelle132[Gesamtcode],0))</f>
        <v>#N/A</v>
      </c>
      <c r="D421" t="e">
        <f>INDEX(Tabelle132[Raum],MATCH(Tabelle7[[#This Row],[Gesamtcode]],Tabelle132[Gesamtcode],0))</f>
        <v>#N/A</v>
      </c>
      <c r="E421" t="e">
        <f>INDEX(Tabelle132[Bezeichnung],MATCH(Tabelle7[[#This Row],[Gesamtcode]],Tabelle132[Gesamtcode],0))</f>
        <v>#N/A</v>
      </c>
      <c r="F421" t="e">
        <f>"_"&amp;INDEX(Tabelle132[Geräte/Gewerke],MATCH(Tabelle7[[#This Row],[Gesamtcode]],Tabelle132[Gesamtcode],0))</f>
        <v>#N/A</v>
      </c>
      <c r="G421" t="e">
        <f>INDEX(Tabelle13[Gewerknr.],MATCH(Tabelle7[[#This Row],[Gewerke]],Tabelle13[Hauptgruppe],0))</f>
        <v>#N/A</v>
      </c>
      <c r="H421" t="s">
        <v>347</v>
      </c>
      <c r="I421" t="e">
        <f ca="1">INDEX(Tabelle134[Funktionsbereichsnr.],MATCH(Tabelle7[[#This Row],[Funktionsbereiche]],INDIRECT("Tabelle134["&amp;Tabelle7[[#This Row],[Gewerke]]&amp;"]"),0))</f>
        <v>#N/A</v>
      </c>
      <c r="J421" t="e">
        <f>Tabelle7[[#This Row],[Gesamtcode]]&amp;"_"&amp;Tabelle7[[#This Row],[Zone]]&amp;"_"&amp;Tabelle7[[#This Row],[Raum]]&amp;"_"&amp;Tabelle7[[#This Row],[Bezeichnung]]</f>
        <v>#N/A</v>
      </c>
      <c r="K421">
        <v>1</v>
      </c>
      <c r="L421" t="e">
        <f>Tabelle7[[#This Row],[Hauptgruppe]]&amp;"/-/-"</f>
        <v>#N/A</v>
      </c>
      <c r="M421" t="e">
        <f ca="1">Tabelle7[[#This Row],[Hauptgruppe]]&amp;"/"&amp;Tabelle7[[#This Row],[Mittelgruppe]]&amp;"/-"</f>
        <v>#N/A</v>
      </c>
      <c r="N421" t="e">
        <f ca="1">Tabelle7[[#This Row],[Hauptgruppe]]&amp;"/"&amp;Tabelle7[[#This Row],[Mittelgruppe]]&amp;"/"&amp;Tabelle7[[#This Row],[Untergruppe]]</f>
        <v>#N/A</v>
      </c>
      <c r="O421" t="e">
        <f>INDEX(Tabelle6[Aktor],MATCH(Tabelle7[[#This Row],[Gesamtcode]],Tabelle6[Gesamtcode],0))&amp;" "&amp;INDEX(Tabelle6[Aktorkanal],MATCH(Tabelle7[[#This Row],[Gesamtcode]],Tabelle6[Gesamtcode],0))</f>
        <v>#N/A</v>
      </c>
    </row>
    <row r="422" spans="2:15" x14ac:dyDescent="0.25">
      <c r="B422" t="s">
        <v>335</v>
      </c>
      <c r="C422" t="e">
        <f>INDEX(Tabelle132[Zone],MATCH(Tabelle7[[#This Row],[Gesamtcode]],Tabelle132[Gesamtcode],0))</f>
        <v>#N/A</v>
      </c>
      <c r="D422" t="e">
        <f>INDEX(Tabelle132[Raum],MATCH(Tabelle7[[#This Row],[Gesamtcode]],Tabelle132[Gesamtcode],0))</f>
        <v>#N/A</v>
      </c>
      <c r="E422" t="e">
        <f>INDEX(Tabelle132[Bezeichnung],MATCH(Tabelle7[[#This Row],[Gesamtcode]],Tabelle132[Gesamtcode],0))</f>
        <v>#N/A</v>
      </c>
      <c r="F422" t="e">
        <f>"_"&amp;INDEX(Tabelle132[Geräte/Gewerke],MATCH(Tabelle7[[#This Row],[Gesamtcode]],Tabelle132[Gesamtcode],0))</f>
        <v>#N/A</v>
      </c>
      <c r="G422" t="e">
        <f>INDEX(Tabelle13[Gewerknr.],MATCH(Tabelle7[[#This Row],[Gewerke]],Tabelle13[Hauptgruppe],0))</f>
        <v>#N/A</v>
      </c>
      <c r="H422" t="s">
        <v>347</v>
      </c>
      <c r="I422" t="e">
        <f ca="1">INDEX(Tabelle134[Funktionsbereichsnr.],MATCH(Tabelle7[[#This Row],[Funktionsbereiche]],INDIRECT("Tabelle134["&amp;Tabelle7[[#This Row],[Gewerke]]&amp;"]"),0))</f>
        <v>#N/A</v>
      </c>
      <c r="J422" t="e">
        <f>Tabelle7[[#This Row],[Gesamtcode]]&amp;"_"&amp;Tabelle7[[#This Row],[Zone]]&amp;"_"&amp;Tabelle7[[#This Row],[Raum]]&amp;"_"&amp;Tabelle7[[#This Row],[Bezeichnung]]</f>
        <v>#N/A</v>
      </c>
      <c r="K422">
        <v>2</v>
      </c>
      <c r="L422" t="e">
        <f>Tabelle7[[#This Row],[Hauptgruppe]]&amp;"/-/-"</f>
        <v>#N/A</v>
      </c>
      <c r="M422" t="e">
        <f ca="1">Tabelle7[[#This Row],[Hauptgruppe]]&amp;"/"&amp;Tabelle7[[#This Row],[Mittelgruppe]]&amp;"/-"</f>
        <v>#N/A</v>
      </c>
      <c r="N422" t="e">
        <f ca="1">Tabelle7[[#This Row],[Hauptgruppe]]&amp;"/"&amp;Tabelle7[[#This Row],[Mittelgruppe]]&amp;"/"&amp;Tabelle7[[#This Row],[Untergruppe]]</f>
        <v>#N/A</v>
      </c>
      <c r="O422" t="e">
        <f>INDEX(Tabelle6[Aktor],MATCH(Tabelle7[[#This Row],[Gesamtcode]],Tabelle6[Gesamtcode],0))&amp;" "&amp;INDEX(Tabelle6[Aktorkanal],MATCH(Tabelle7[[#This Row],[Gesamtcode]],Tabelle6[Gesamtcode],0))</f>
        <v>#N/A</v>
      </c>
    </row>
    <row r="423" spans="2:15" x14ac:dyDescent="0.25">
      <c r="B423" t="s">
        <v>336</v>
      </c>
      <c r="C423" t="e">
        <f>INDEX(Tabelle132[Zone],MATCH(Tabelle7[[#This Row],[Gesamtcode]],Tabelle132[Gesamtcode],0))</f>
        <v>#N/A</v>
      </c>
      <c r="D423" t="e">
        <f>INDEX(Tabelle132[Raum],MATCH(Tabelle7[[#This Row],[Gesamtcode]],Tabelle132[Gesamtcode],0))</f>
        <v>#N/A</v>
      </c>
      <c r="E423" t="e">
        <f>INDEX(Tabelle132[Bezeichnung],MATCH(Tabelle7[[#This Row],[Gesamtcode]],Tabelle132[Gesamtcode],0))</f>
        <v>#N/A</v>
      </c>
      <c r="F423" t="e">
        <f>"_"&amp;INDEX(Tabelle132[Geräte/Gewerke],MATCH(Tabelle7[[#This Row],[Gesamtcode]],Tabelle132[Gesamtcode],0))</f>
        <v>#N/A</v>
      </c>
      <c r="G423" t="e">
        <f>INDEX(Tabelle13[Gewerknr.],MATCH(Tabelle7[[#This Row],[Gewerke]],Tabelle13[Hauptgruppe],0))</f>
        <v>#N/A</v>
      </c>
      <c r="H423" t="s">
        <v>347</v>
      </c>
      <c r="I423" t="e">
        <f ca="1">INDEX(Tabelle134[Funktionsbereichsnr.],MATCH(Tabelle7[[#This Row],[Funktionsbereiche]],INDIRECT("Tabelle134["&amp;Tabelle7[[#This Row],[Gewerke]]&amp;"]"),0))</f>
        <v>#N/A</v>
      </c>
      <c r="J423" t="e">
        <f>Tabelle7[[#This Row],[Gesamtcode]]&amp;"_"&amp;Tabelle7[[#This Row],[Zone]]&amp;"_"&amp;Tabelle7[[#This Row],[Raum]]&amp;"_"&amp;Tabelle7[[#This Row],[Bezeichnung]]</f>
        <v>#N/A</v>
      </c>
      <c r="K423">
        <v>3</v>
      </c>
      <c r="L423" t="e">
        <f>Tabelle7[[#This Row],[Hauptgruppe]]&amp;"/-/-"</f>
        <v>#N/A</v>
      </c>
      <c r="M423" t="e">
        <f ca="1">Tabelle7[[#This Row],[Hauptgruppe]]&amp;"/"&amp;Tabelle7[[#This Row],[Mittelgruppe]]&amp;"/-"</f>
        <v>#N/A</v>
      </c>
      <c r="N423" t="e">
        <f ca="1">Tabelle7[[#This Row],[Hauptgruppe]]&amp;"/"&amp;Tabelle7[[#This Row],[Mittelgruppe]]&amp;"/"&amp;Tabelle7[[#This Row],[Untergruppe]]</f>
        <v>#N/A</v>
      </c>
      <c r="O423" t="e">
        <f>INDEX(Tabelle6[Aktor],MATCH(Tabelle7[[#This Row],[Gesamtcode]],Tabelle6[Gesamtcode],0))&amp;" "&amp;INDEX(Tabelle6[Aktorkanal],MATCH(Tabelle7[[#This Row],[Gesamtcode]],Tabelle6[Gesamtcode],0))</f>
        <v>#N/A</v>
      </c>
    </row>
    <row r="424" spans="2:15" x14ac:dyDescent="0.25">
      <c r="B424" t="s">
        <v>332</v>
      </c>
      <c r="C424" t="e">
        <f>INDEX(Tabelle132[Zone],MATCH(Tabelle7[[#This Row],[Gesamtcode]],Tabelle132[Gesamtcode],0))</f>
        <v>#N/A</v>
      </c>
      <c r="D424" t="e">
        <f>INDEX(Tabelle132[Raum],MATCH(Tabelle7[[#This Row],[Gesamtcode]],Tabelle132[Gesamtcode],0))</f>
        <v>#N/A</v>
      </c>
      <c r="E424" t="e">
        <f>INDEX(Tabelle132[Bezeichnung],MATCH(Tabelle7[[#This Row],[Gesamtcode]],Tabelle132[Gesamtcode],0))</f>
        <v>#N/A</v>
      </c>
      <c r="F424" t="e">
        <f>"_"&amp;INDEX(Tabelle132[Geräte/Gewerke],MATCH(Tabelle7[[#This Row],[Gesamtcode]],Tabelle132[Gesamtcode],0))</f>
        <v>#N/A</v>
      </c>
      <c r="G424" t="e">
        <f>INDEX(Tabelle13[Gewerknr.],MATCH(Tabelle7[[#This Row],[Gewerke]],Tabelle13[Hauptgruppe],0))</f>
        <v>#N/A</v>
      </c>
      <c r="H424" t="s">
        <v>348</v>
      </c>
      <c r="I424" t="e">
        <f ca="1">INDEX(Tabelle134[Funktionsbereichsnr.],MATCH(Tabelle7[[#This Row],[Funktionsbereiche]],INDIRECT("Tabelle134["&amp;Tabelle7[[#This Row],[Gewerke]]&amp;"]"),0))</f>
        <v>#N/A</v>
      </c>
      <c r="J424" t="e">
        <f>Tabelle7[[#This Row],[Gesamtcode]]&amp;"_"&amp;Tabelle7[[#This Row],[Zone]]&amp;"_"&amp;Tabelle7[[#This Row],[Raum]]&amp;"_"&amp;Tabelle7[[#This Row],[Bezeichnung]]</f>
        <v>#N/A</v>
      </c>
      <c r="K424">
        <v>0</v>
      </c>
      <c r="L424" t="e">
        <f>Tabelle7[[#This Row],[Hauptgruppe]]&amp;"/-/-"</f>
        <v>#N/A</v>
      </c>
      <c r="M424" t="e">
        <f ca="1">Tabelle7[[#This Row],[Hauptgruppe]]&amp;"/"&amp;Tabelle7[[#This Row],[Mittelgruppe]]&amp;"/-"</f>
        <v>#N/A</v>
      </c>
      <c r="N424" t="e">
        <f ca="1">Tabelle7[[#This Row],[Hauptgruppe]]&amp;"/"&amp;Tabelle7[[#This Row],[Mittelgruppe]]&amp;"/"&amp;Tabelle7[[#This Row],[Untergruppe]]</f>
        <v>#N/A</v>
      </c>
      <c r="O424" t="e">
        <f>INDEX(Tabelle6[Aktor],MATCH(Tabelle7[[#This Row],[Gesamtcode]],Tabelle6[Gesamtcode],0))&amp;" "&amp;INDEX(Tabelle6[Aktorkanal],MATCH(Tabelle7[[#This Row],[Gesamtcode]],Tabelle6[Gesamtcode],0))</f>
        <v>#N/A</v>
      </c>
    </row>
    <row r="425" spans="2:15" x14ac:dyDescent="0.25">
      <c r="B425" t="s">
        <v>334</v>
      </c>
      <c r="C425" t="e">
        <f>INDEX(Tabelle132[Zone],MATCH(Tabelle7[[#This Row],[Gesamtcode]],Tabelle132[Gesamtcode],0))</f>
        <v>#N/A</v>
      </c>
      <c r="D425" t="e">
        <f>INDEX(Tabelle132[Raum],MATCH(Tabelle7[[#This Row],[Gesamtcode]],Tabelle132[Gesamtcode],0))</f>
        <v>#N/A</v>
      </c>
      <c r="E425" t="e">
        <f>INDEX(Tabelle132[Bezeichnung],MATCH(Tabelle7[[#This Row],[Gesamtcode]],Tabelle132[Gesamtcode],0))</f>
        <v>#N/A</v>
      </c>
      <c r="F425" t="e">
        <f>"_"&amp;INDEX(Tabelle132[Geräte/Gewerke],MATCH(Tabelle7[[#This Row],[Gesamtcode]],Tabelle132[Gesamtcode],0))</f>
        <v>#N/A</v>
      </c>
      <c r="G425" t="e">
        <f>INDEX(Tabelle13[Gewerknr.],MATCH(Tabelle7[[#This Row],[Gewerke]],Tabelle13[Hauptgruppe],0))</f>
        <v>#N/A</v>
      </c>
      <c r="H425" t="s">
        <v>348</v>
      </c>
      <c r="I425" t="e">
        <f ca="1">INDEX(Tabelle134[Funktionsbereichsnr.],MATCH(Tabelle7[[#This Row],[Funktionsbereiche]],INDIRECT("Tabelle134["&amp;Tabelle7[[#This Row],[Gewerke]]&amp;"]"),0))</f>
        <v>#N/A</v>
      </c>
      <c r="J425" t="e">
        <f>Tabelle7[[#This Row],[Gesamtcode]]&amp;"_"&amp;Tabelle7[[#This Row],[Zone]]&amp;"_"&amp;Tabelle7[[#This Row],[Raum]]&amp;"_"&amp;Tabelle7[[#This Row],[Bezeichnung]]</f>
        <v>#N/A</v>
      </c>
      <c r="K425">
        <v>1</v>
      </c>
      <c r="L425" t="e">
        <f>Tabelle7[[#This Row],[Hauptgruppe]]&amp;"/-/-"</f>
        <v>#N/A</v>
      </c>
      <c r="M425" t="e">
        <f ca="1">Tabelle7[[#This Row],[Hauptgruppe]]&amp;"/"&amp;Tabelle7[[#This Row],[Mittelgruppe]]&amp;"/-"</f>
        <v>#N/A</v>
      </c>
      <c r="N425" t="e">
        <f ca="1">Tabelle7[[#This Row],[Hauptgruppe]]&amp;"/"&amp;Tabelle7[[#This Row],[Mittelgruppe]]&amp;"/"&amp;Tabelle7[[#This Row],[Untergruppe]]</f>
        <v>#N/A</v>
      </c>
      <c r="O425" t="e">
        <f>INDEX(Tabelle6[Aktor],MATCH(Tabelle7[[#This Row],[Gesamtcode]],Tabelle6[Gesamtcode],0))&amp;" "&amp;INDEX(Tabelle6[Aktorkanal],MATCH(Tabelle7[[#This Row],[Gesamtcode]],Tabelle6[Gesamtcode],0))</f>
        <v>#N/A</v>
      </c>
    </row>
    <row r="426" spans="2:15" x14ac:dyDescent="0.25">
      <c r="B426" t="s">
        <v>335</v>
      </c>
      <c r="C426" t="e">
        <f>INDEX(Tabelle132[Zone],MATCH(Tabelle7[[#This Row],[Gesamtcode]],Tabelle132[Gesamtcode],0))</f>
        <v>#N/A</v>
      </c>
      <c r="D426" t="e">
        <f>INDEX(Tabelle132[Raum],MATCH(Tabelle7[[#This Row],[Gesamtcode]],Tabelle132[Gesamtcode],0))</f>
        <v>#N/A</v>
      </c>
      <c r="E426" t="e">
        <f>INDEX(Tabelle132[Bezeichnung],MATCH(Tabelle7[[#This Row],[Gesamtcode]],Tabelle132[Gesamtcode],0))</f>
        <v>#N/A</v>
      </c>
      <c r="F426" t="e">
        <f>"_"&amp;INDEX(Tabelle132[Geräte/Gewerke],MATCH(Tabelle7[[#This Row],[Gesamtcode]],Tabelle132[Gesamtcode],0))</f>
        <v>#N/A</v>
      </c>
      <c r="G426" t="e">
        <f>INDEX(Tabelle13[Gewerknr.],MATCH(Tabelle7[[#This Row],[Gewerke]],Tabelle13[Hauptgruppe],0))</f>
        <v>#N/A</v>
      </c>
      <c r="H426" t="s">
        <v>348</v>
      </c>
      <c r="I426" t="e">
        <f ca="1">INDEX(Tabelle134[Funktionsbereichsnr.],MATCH(Tabelle7[[#This Row],[Funktionsbereiche]],INDIRECT("Tabelle134["&amp;Tabelle7[[#This Row],[Gewerke]]&amp;"]"),0))</f>
        <v>#N/A</v>
      </c>
      <c r="J426" t="e">
        <f>Tabelle7[[#This Row],[Gesamtcode]]&amp;"_"&amp;Tabelle7[[#This Row],[Zone]]&amp;"_"&amp;Tabelle7[[#This Row],[Raum]]&amp;"_"&amp;Tabelle7[[#This Row],[Bezeichnung]]</f>
        <v>#N/A</v>
      </c>
      <c r="K426">
        <v>2</v>
      </c>
      <c r="L426" t="e">
        <f>Tabelle7[[#This Row],[Hauptgruppe]]&amp;"/-/-"</f>
        <v>#N/A</v>
      </c>
      <c r="M426" t="e">
        <f ca="1">Tabelle7[[#This Row],[Hauptgruppe]]&amp;"/"&amp;Tabelle7[[#This Row],[Mittelgruppe]]&amp;"/-"</f>
        <v>#N/A</v>
      </c>
      <c r="N426" t="e">
        <f ca="1">Tabelle7[[#This Row],[Hauptgruppe]]&amp;"/"&amp;Tabelle7[[#This Row],[Mittelgruppe]]&amp;"/"&amp;Tabelle7[[#This Row],[Untergruppe]]</f>
        <v>#N/A</v>
      </c>
      <c r="O426" t="e">
        <f>INDEX(Tabelle6[Aktor],MATCH(Tabelle7[[#This Row],[Gesamtcode]],Tabelle6[Gesamtcode],0))&amp;" "&amp;INDEX(Tabelle6[Aktorkanal],MATCH(Tabelle7[[#This Row],[Gesamtcode]],Tabelle6[Gesamtcode],0))</f>
        <v>#N/A</v>
      </c>
    </row>
    <row r="427" spans="2:15" x14ac:dyDescent="0.25">
      <c r="B427" t="s">
        <v>336</v>
      </c>
      <c r="C427" t="e">
        <f>INDEX(Tabelle132[Zone],MATCH(Tabelle7[[#This Row],[Gesamtcode]],Tabelle132[Gesamtcode],0))</f>
        <v>#N/A</v>
      </c>
      <c r="D427" t="e">
        <f>INDEX(Tabelle132[Raum],MATCH(Tabelle7[[#This Row],[Gesamtcode]],Tabelle132[Gesamtcode],0))</f>
        <v>#N/A</v>
      </c>
      <c r="E427" t="e">
        <f>INDEX(Tabelle132[Bezeichnung],MATCH(Tabelle7[[#This Row],[Gesamtcode]],Tabelle132[Gesamtcode],0))</f>
        <v>#N/A</v>
      </c>
      <c r="F427" t="e">
        <f>"_"&amp;INDEX(Tabelle132[Geräte/Gewerke],MATCH(Tabelle7[[#This Row],[Gesamtcode]],Tabelle132[Gesamtcode],0))</f>
        <v>#N/A</v>
      </c>
      <c r="G427" t="e">
        <f>INDEX(Tabelle13[Gewerknr.],MATCH(Tabelle7[[#This Row],[Gewerke]],Tabelle13[Hauptgruppe],0))</f>
        <v>#N/A</v>
      </c>
      <c r="H427" t="s">
        <v>348</v>
      </c>
      <c r="I427" t="e">
        <f ca="1">INDEX(Tabelle134[Funktionsbereichsnr.],MATCH(Tabelle7[[#This Row],[Funktionsbereiche]],INDIRECT("Tabelle134["&amp;Tabelle7[[#This Row],[Gewerke]]&amp;"]"),0))</f>
        <v>#N/A</v>
      </c>
      <c r="J427" t="e">
        <f>Tabelle7[[#This Row],[Gesamtcode]]&amp;"_"&amp;Tabelle7[[#This Row],[Zone]]&amp;"_"&amp;Tabelle7[[#This Row],[Raum]]&amp;"_"&amp;Tabelle7[[#This Row],[Bezeichnung]]</f>
        <v>#N/A</v>
      </c>
      <c r="K427">
        <v>3</v>
      </c>
      <c r="L427" t="e">
        <f>Tabelle7[[#This Row],[Hauptgruppe]]&amp;"/-/-"</f>
        <v>#N/A</v>
      </c>
      <c r="M427" t="e">
        <f ca="1">Tabelle7[[#This Row],[Hauptgruppe]]&amp;"/"&amp;Tabelle7[[#This Row],[Mittelgruppe]]&amp;"/-"</f>
        <v>#N/A</v>
      </c>
      <c r="N427" t="e">
        <f ca="1">Tabelle7[[#This Row],[Hauptgruppe]]&amp;"/"&amp;Tabelle7[[#This Row],[Mittelgruppe]]&amp;"/"&amp;Tabelle7[[#This Row],[Untergruppe]]</f>
        <v>#N/A</v>
      </c>
      <c r="O427" t="e">
        <f>INDEX(Tabelle6[Aktor],MATCH(Tabelle7[[#This Row],[Gesamtcode]],Tabelle6[Gesamtcode],0))&amp;" "&amp;INDEX(Tabelle6[Aktorkanal],MATCH(Tabelle7[[#This Row],[Gesamtcode]],Tabelle6[Gesamtcode],0))</f>
        <v>#N/A</v>
      </c>
    </row>
    <row r="428" spans="2:15" x14ac:dyDescent="0.25">
      <c r="B428" t="s">
        <v>310</v>
      </c>
      <c r="C428" t="e">
        <f>INDEX(Tabelle132[Zone],MATCH(Tabelle7[[#This Row],[Gesamtcode]],Tabelle132[Gesamtcode],0))</f>
        <v>#N/A</v>
      </c>
      <c r="D428" t="e">
        <f>INDEX(Tabelle132[Raum],MATCH(Tabelle7[[#This Row],[Gesamtcode]],Tabelle132[Gesamtcode],0))</f>
        <v>#N/A</v>
      </c>
      <c r="E428" t="e">
        <f>INDEX(Tabelle132[Bezeichnung],MATCH(Tabelle7[[#This Row],[Gesamtcode]],Tabelle132[Gesamtcode],0))</f>
        <v>#N/A</v>
      </c>
      <c r="F428" t="e">
        <f>"_"&amp;INDEX(Tabelle132[Geräte/Gewerke],MATCH(Tabelle7[[#This Row],[Gesamtcode]],Tabelle132[Gesamtcode],0))</f>
        <v>#N/A</v>
      </c>
      <c r="G428" t="e">
        <f>INDEX(Tabelle13[Gewerknr.],MATCH(Tabelle7[[#This Row],[Gewerke]],Tabelle13[Hauptgruppe],0))</f>
        <v>#N/A</v>
      </c>
      <c r="H428" t="s">
        <v>280</v>
      </c>
      <c r="I428" t="e">
        <f ca="1">INDEX(Tabelle134[Funktionsbereichsnr.],MATCH(Tabelle7[[#This Row],[Funktionsbereiche]],INDIRECT("Tabelle134["&amp;Tabelle7[[#This Row],[Gewerke]]&amp;"]"),0))</f>
        <v>#N/A</v>
      </c>
      <c r="J428" t="e">
        <f>Tabelle7[[#This Row],[Gesamtcode]]&amp;"_"&amp;Tabelle7[[#This Row],[Zone]]&amp;"_"&amp;Tabelle7[[#This Row],[Raum]]&amp;"_"&amp;Tabelle7[[#This Row],[Bezeichnung]]</f>
        <v>#N/A</v>
      </c>
      <c r="K428">
        <v>0</v>
      </c>
      <c r="L428" t="e">
        <f>Tabelle7[[#This Row],[Hauptgruppe]]&amp;"/-/-"</f>
        <v>#N/A</v>
      </c>
      <c r="M428" t="e">
        <f ca="1">Tabelle7[[#This Row],[Hauptgruppe]]&amp;"/"&amp;Tabelle7[[#This Row],[Mittelgruppe]]&amp;"/-"</f>
        <v>#N/A</v>
      </c>
      <c r="N428" t="e">
        <f ca="1">Tabelle7[[#This Row],[Hauptgruppe]]&amp;"/"&amp;Tabelle7[[#This Row],[Mittelgruppe]]&amp;"/"&amp;Tabelle7[[#This Row],[Untergruppe]]</f>
        <v>#N/A</v>
      </c>
      <c r="O428" t="e">
        <f>INDEX(Tabelle6[Aktor],MATCH(Tabelle7[[#This Row],[Gesamtcode]],Tabelle6[Gesamtcode],0))&amp;" "&amp;INDEX(Tabelle6[Aktorkanal],MATCH(Tabelle7[[#This Row],[Gesamtcode]],Tabelle6[Gesamtcode],0))</f>
        <v>#N/A</v>
      </c>
    </row>
    <row r="429" spans="2:15" x14ac:dyDescent="0.25">
      <c r="B429" t="s">
        <v>311</v>
      </c>
      <c r="C429" t="e">
        <f>INDEX(Tabelle132[Zone],MATCH(Tabelle7[[#This Row],[Gesamtcode]],Tabelle132[Gesamtcode],0))</f>
        <v>#N/A</v>
      </c>
      <c r="D429" t="e">
        <f>INDEX(Tabelle132[Raum],MATCH(Tabelle7[[#This Row],[Gesamtcode]],Tabelle132[Gesamtcode],0))</f>
        <v>#N/A</v>
      </c>
      <c r="E429" t="e">
        <f>INDEX(Tabelle132[Bezeichnung],MATCH(Tabelle7[[#This Row],[Gesamtcode]],Tabelle132[Gesamtcode],0))</f>
        <v>#N/A</v>
      </c>
      <c r="F429" t="e">
        <f>"_"&amp;INDEX(Tabelle132[Geräte/Gewerke],MATCH(Tabelle7[[#This Row],[Gesamtcode]],Tabelle132[Gesamtcode],0))</f>
        <v>#N/A</v>
      </c>
      <c r="G429" t="e">
        <f>INDEX(Tabelle13[Gewerknr.],MATCH(Tabelle7[[#This Row],[Gewerke]],Tabelle13[Hauptgruppe],0))</f>
        <v>#N/A</v>
      </c>
      <c r="H429" t="s">
        <v>280</v>
      </c>
      <c r="I429" t="e">
        <f ca="1">INDEX(Tabelle134[Funktionsbereichsnr.],MATCH(Tabelle7[[#This Row],[Funktionsbereiche]],INDIRECT("Tabelle134["&amp;Tabelle7[[#This Row],[Gewerke]]&amp;"]"),0))</f>
        <v>#N/A</v>
      </c>
      <c r="J429" t="e">
        <f>Tabelle7[[#This Row],[Gesamtcode]]&amp;"_"&amp;Tabelle7[[#This Row],[Zone]]&amp;"_"&amp;Tabelle7[[#This Row],[Raum]]&amp;"_"&amp;Tabelle7[[#This Row],[Bezeichnung]]</f>
        <v>#N/A</v>
      </c>
      <c r="K429">
        <v>1</v>
      </c>
      <c r="L429" t="e">
        <f>Tabelle7[[#This Row],[Hauptgruppe]]&amp;"/-/-"</f>
        <v>#N/A</v>
      </c>
      <c r="M429" t="e">
        <f ca="1">Tabelle7[[#This Row],[Hauptgruppe]]&amp;"/"&amp;Tabelle7[[#This Row],[Mittelgruppe]]&amp;"/-"</f>
        <v>#N/A</v>
      </c>
      <c r="N429" t="e">
        <f ca="1">Tabelle7[[#This Row],[Hauptgruppe]]&amp;"/"&amp;Tabelle7[[#This Row],[Mittelgruppe]]&amp;"/"&amp;Tabelle7[[#This Row],[Untergruppe]]</f>
        <v>#N/A</v>
      </c>
      <c r="O429" t="e">
        <f>INDEX(Tabelle6[Aktor],MATCH(Tabelle7[[#This Row],[Gesamtcode]],Tabelle6[Gesamtcode],0))&amp;" "&amp;INDEX(Tabelle6[Aktorkanal],MATCH(Tabelle7[[#This Row],[Gesamtcode]],Tabelle6[Gesamtcode],0))</f>
        <v>#N/A</v>
      </c>
    </row>
    <row r="430" spans="2:15" x14ac:dyDescent="0.25">
      <c r="B430" t="s">
        <v>312</v>
      </c>
      <c r="C430" t="e">
        <f>INDEX(Tabelle132[Zone],MATCH(Tabelle7[[#This Row],[Gesamtcode]],Tabelle132[Gesamtcode],0))</f>
        <v>#N/A</v>
      </c>
      <c r="D430" t="e">
        <f>INDEX(Tabelle132[Raum],MATCH(Tabelle7[[#This Row],[Gesamtcode]],Tabelle132[Gesamtcode],0))</f>
        <v>#N/A</v>
      </c>
      <c r="E430" t="e">
        <f>INDEX(Tabelle132[Bezeichnung],MATCH(Tabelle7[[#This Row],[Gesamtcode]],Tabelle132[Gesamtcode],0))</f>
        <v>#N/A</v>
      </c>
      <c r="F430" t="e">
        <f>"_"&amp;INDEX(Tabelle132[Geräte/Gewerke],MATCH(Tabelle7[[#This Row],[Gesamtcode]],Tabelle132[Gesamtcode],0))</f>
        <v>#N/A</v>
      </c>
      <c r="G430" t="e">
        <f>INDEX(Tabelle13[Gewerknr.],MATCH(Tabelle7[[#This Row],[Gewerke]],Tabelle13[Hauptgruppe],0))</f>
        <v>#N/A</v>
      </c>
      <c r="H430" t="s">
        <v>280</v>
      </c>
      <c r="I430" t="e">
        <f ca="1">INDEX(Tabelle134[Funktionsbereichsnr.],MATCH(Tabelle7[[#This Row],[Funktionsbereiche]],INDIRECT("Tabelle134["&amp;Tabelle7[[#This Row],[Gewerke]]&amp;"]"),0))</f>
        <v>#N/A</v>
      </c>
      <c r="J430" t="e">
        <f>Tabelle7[[#This Row],[Gesamtcode]]&amp;"_"&amp;Tabelle7[[#This Row],[Zone]]&amp;"_"&amp;Tabelle7[[#This Row],[Raum]]&amp;"_"&amp;Tabelle7[[#This Row],[Bezeichnung]]</f>
        <v>#N/A</v>
      </c>
      <c r="K430">
        <v>10</v>
      </c>
      <c r="L430" t="e">
        <f>Tabelle7[[#This Row],[Hauptgruppe]]&amp;"/-/-"</f>
        <v>#N/A</v>
      </c>
      <c r="M430" t="e">
        <f ca="1">Tabelle7[[#This Row],[Hauptgruppe]]&amp;"/"&amp;Tabelle7[[#This Row],[Mittelgruppe]]&amp;"/-"</f>
        <v>#N/A</v>
      </c>
      <c r="N430" t="e">
        <f ca="1">Tabelle7[[#This Row],[Hauptgruppe]]&amp;"/"&amp;Tabelle7[[#This Row],[Mittelgruppe]]&amp;"/"&amp;Tabelle7[[#This Row],[Untergruppe]]</f>
        <v>#N/A</v>
      </c>
      <c r="O430" t="e">
        <f>INDEX(Tabelle6[Aktor],MATCH(Tabelle7[[#This Row],[Gesamtcode]],Tabelle6[Gesamtcode],0))&amp;" "&amp;INDEX(Tabelle6[Aktorkanal],MATCH(Tabelle7[[#This Row],[Gesamtcode]],Tabelle6[Gesamtcode],0))</f>
        <v>#N/A</v>
      </c>
    </row>
    <row r="431" spans="2:15" x14ac:dyDescent="0.25">
      <c r="B431" t="s">
        <v>313</v>
      </c>
      <c r="C431" t="e">
        <f>INDEX(Tabelle132[Zone],MATCH(Tabelle7[[#This Row],[Gesamtcode]],Tabelle132[Gesamtcode],0))</f>
        <v>#N/A</v>
      </c>
      <c r="D431" t="e">
        <f>INDEX(Tabelle132[Raum],MATCH(Tabelle7[[#This Row],[Gesamtcode]],Tabelle132[Gesamtcode],0))</f>
        <v>#N/A</v>
      </c>
      <c r="E431" t="e">
        <f>INDEX(Tabelle132[Bezeichnung],MATCH(Tabelle7[[#This Row],[Gesamtcode]],Tabelle132[Gesamtcode],0))</f>
        <v>#N/A</v>
      </c>
      <c r="F431" t="e">
        <f>"_"&amp;INDEX(Tabelle132[Geräte/Gewerke],MATCH(Tabelle7[[#This Row],[Gesamtcode]],Tabelle132[Gesamtcode],0))</f>
        <v>#N/A</v>
      </c>
      <c r="G431" t="e">
        <f>INDEX(Tabelle13[Gewerknr.],MATCH(Tabelle7[[#This Row],[Gewerke]],Tabelle13[Hauptgruppe],0))</f>
        <v>#N/A</v>
      </c>
      <c r="H431" t="s">
        <v>280</v>
      </c>
      <c r="I431" t="e">
        <f ca="1">INDEX(Tabelle134[Funktionsbereichsnr.],MATCH(Tabelle7[[#This Row],[Funktionsbereiche]],INDIRECT("Tabelle134["&amp;Tabelle7[[#This Row],[Gewerke]]&amp;"]"),0))</f>
        <v>#N/A</v>
      </c>
      <c r="J431" t="e">
        <f>Tabelle7[[#This Row],[Gesamtcode]]&amp;"_"&amp;Tabelle7[[#This Row],[Zone]]&amp;"_"&amp;Tabelle7[[#This Row],[Raum]]&amp;"_"&amp;Tabelle7[[#This Row],[Bezeichnung]]</f>
        <v>#N/A</v>
      </c>
      <c r="K431">
        <v>11</v>
      </c>
      <c r="L431" t="e">
        <f>Tabelle7[[#This Row],[Hauptgruppe]]&amp;"/-/-"</f>
        <v>#N/A</v>
      </c>
      <c r="M431" t="e">
        <f ca="1">Tabelle7[[#This Row],[Hauptgruppe]]&amp;"/"&amp;Tabelle7[[#This Row],[Mittelgruppe]]&amp;"/-"</f>
        <v>#N/A</v>
      </c>
      <c r="N431" t="e">
        <f ca="1">Tabelle7[[#This Row],[Hauptgruppe]]&amp;"/"&amp;Tabelle7[[#This Row],[Mittelgruppe]]&amp;"/"&amp;Tabelle7[[#This Row],[Untergruppe]]</f>
        <v>#N/A</v>
      </c>
      <c r="O431" t="e">
        <f>INDEX(Tabelle6[Aktor],MATCH(Tabelle7[[#This Row],[Gesamtcode]],Tabelle6[Gesamtcode],0))&amp;" "&amp;INDEX(Tabelle6[Aktorkanal],MATCH(Tabelle7[[#This Row],[Gesamtcode]],Tabelle6[Gesamtcode],0))</f>
        <v>#N/A</v>
      </c>
    </row>
    <row r="432" spans="2:15" x14ac:dyDescent="0.25">
      <c r="B432" t="s">
        <v>314</v>
      </c>
      <c r="C432" t="e">
        <f>INDEX(Tabelle132[Zone],MATCH(Tabelle7[[#This Row],[Gesamtcode]],Tabelle132[Gesamtcode],0))</f>
        <v>#N/A</v>
      </c>
      <c r="D432" t="e">
        <f>INDEX(Tabelle132[Raum],MATCH(Tabelle7[[#This Row],[Gesamtcode]],Tabelle132[Gesamtcode],0))</f>
        <v>#N/A</v>
      </c>
      <c r="E432" t="e">
        <f>INDEX(Tabelle132[Bezeichnung],MATCH(Tabelle7[[#This Row],[Gesamtcode]],Tabelle132[Gesamtcode],0))</f>
        <v>#N/A</v>
      </c>
      <c r="F432" t="e">
        <f>"_"&amp;INDEX(Tabelle132[Geräte/Gewerke],MATCH(Tabelle7[[#This Row],[Gesamtcode]],Tabelle132[Gesamtcode],0))</f>
        <v>#N/A</v>
      </c>
      <c r="G432" t="e">
        <f>INDEX(Tabelle13[Gewerknr.],MATCH(Tabelle7[[#This Row],[Gewerke]],Tabelle13[Hauptgruppe],0))</f>
        <v>#N/A</v>
      </c>
      <c r="H432" t="s">
        <v>280</v>
      </c>
      <c r="I432" t="e">
        <f ca="1">INDEX(Tabelle134[Funktionsbereichsnr.],MATCH(Tabelle7[[#This Row],[Funktionsbereiche]],INDIRECT("Tabelle134["&amp;Tabelle7[[#This Row],[Gewerke]]&amp;"]"),0))</f>
        <v>#N/A</v>
      </c>
      <c r="J432" t="e">
        <f>Tabelle7[[#This Row],[Gesamtcode]]&amp;"_"&amp;Tabelle7[[#This Row],[Zone]]&amp;"_"&amp;Tabelle7[[#This Row],[Raum]]&amp;"_"&amp;Tabelle7[[#This Row],[Bezeichnung]]</f>
        <v>#N/A</v>
      </c>
      <c r="K432">
        <v>12</v>
      </c>
      <c r="L432" t="e">
        <f>Tabelle7[[#This Row],[Hauptgruppe]]&amp;"/-/-"</f>
        <v>#N/A</v>
      </c>
      <c r="M432" t="e">
        <f ca="1">Tabelle7[[#This Row],[Hauptgruppe]]&amp;"/"&amp;Tabelle7[[#This Row],[Mittelgruppe]]&amp;"/-"</f>
        <v>#N/A</v>
      </c>
      <c r="N432" t="e">
        <f ca="1">Tabelle7[[#This Row],[Hauptgruppe]]&amp;"/"&amp;Tabelle7[[#This Row],[Mittelgruppe]]&amp;"/"&amp;Tabelle7[[#This Row],[Untergruppe]]</f>
        <v>#N/A</v>
      </c>
      <c r="O432" t="e">
        <f>INDEX(Tabelle6[Aktor],MATCH(Tabelle7[[#This Row],[Gesamtcode]],Tabelle6[Gesamtcode],0))&amp;" "&amp;INDEX(Tabelle6[Aktorkanal],MATCH(Tabelle7[[#This Row],[Gesamtcode]],Tabelle6[Gesamtcode],0))</f>
        <v>#N/A</v>
      </c>
    </row>
    <row r="433" spans="2:15" x14ac:dyDescent="0.25">
      <c r="B433" t="s">
        <v>315</v>
      </c>
      <c r="C433" t="e">
        <f>INDEX(Tabelle132[Zone],MATCH(Tabelle7[[#This Row],[Gesamtcode]],Tabelle132[Gesamtcode],0))</f>
        <v>#N/A</v>
      </c>
      <c r="D433" t="e">
        <f>INDEX(Tabelle132[Raum],MATCH(Tabelle7[[#This Row],[Gesamtcode]],Tabelle132[Gesamtcode],0))</f>
        <v>#N/A</v>
      </c>
      <c r="E433" t="e">
        <f>INDEX(Tabelle132[Bezeichnung],MATCH(Tabelle7[[#This Row],[Gesamtcode]],Tabelle132[Gesamtcode],0))</f>
        <v>#N/A</v>
      </c>
      <c r="F433" t="e">
        <f>"_"&amp;INDEX(Tabelle132[Geräte/Gewerke],MATCH(Tabelle7[[#This Row],[Gesamtcode]],Tabelle132[Gesamtcode],0))</f>
        <v>#N/A</v>
      </c>
      <c r="G433" t="e">
        <f>INDEX(Tabelle13[Gewerknr.],MATCH(Tabelle7[[#This Row],[Gewerke]],Tabelle13[Hauptgruppe],0))</f>
        <v>#N/A</v>
      </c>
      <c r="H433" t="s">
        <v>280</v>
      </c>
      <c r="I433" t="e">
        <f ca="1">INDEX(Tabelle134[Funktionsbereichsnr.],MATCH(Tabelle7[[#This Row],[Funktionsbereiche]],INDIRECT("Tabelle134["&amp;Tabelle7[[#This Row],[Gewerke]]&amp;"]"),0))</f>
        <v>#N/A</v>
      </c>
      <c r="J433" t="e">
        <f>Tabelle7[[#This Row],[Gesamtcode]]&amp;"_"&amp;Tabelle7[[#This Row],[Zone]]&amp;"_"&amp;Tabelle7[[#This Row],[Raum]]&amp;"_"&amp;Tabelle7[[#This Row],[Bezeichnung]]</f>
        <v>#N/A</v>
      </c>
      <c r="K433">
        <v>13</v>
      </c>
      <c r="L433" t="e">
        <f>Tabelle7[[#This Row],[Hauptgruppe]]&amp;"/-/-"</f>
        <v>#N/A</v>
      </c>
      <c r="M433" t="e">
        <f ca="1">Tabelle7[[#This Row],[Hauptgruppe]]&amp;"/"&amp;Tabelle7[[#This Row],[Mittelgruppe]]&amp;"/-"</f>
        <v>#N/A</v>
      </c>
      <c r="N433" t="e">
        <f ca="1">Tabelle7[[#This Row],[Hauptgruppe]]&amp;"/"&amp;Tabelle7[[#This Row],[Mittelgruppe]]&amp;"/"&amp;Tabelle7[[#This Row],[Untergruppe]]</f>
        <v>#N/A</v>
      </c>
      <c r="O433" t="e">
        <f>INDEX(Tabelle6[Aktor],MATCH(Tabelle7[[#This Row],[Gesamtcode]],Tabelle6[Gesamtcode],0))&amp;" "&amp;INDEX(Tabelle6[Aktorkanal],MATCH(Tabelle7[[#This Row],[Gesamtcode]],Tabelle6[Gesamtcode],0))</f>
        <v>#N/A</v>
      </c>
    </row>
    <row r="434" spans="2:15" x14ac:dyDescent="0.25">
      <c r="B434" t="s">
        <v>316</v>
      </c>
      <c r="C434" t="e">
        <f>INDEX(Tabelle132[Zone],MATCH(Tabelle7[[#This Row],[Gesamtcode]],Tabelle132[Gesamtcode],0))</f>
        <v>#N/A</v>
      </c>
      <c r="D434" t="e">
        <f>INDEX(Tabelle132[Raum],MATCH(Tabelle7[[#This Row],[Gesamtcode]],Tabelle132[Gesamtcode],0))</f>
        <v>#N/A</v>
      </c>
      <c r="E434" t="e">
        <f>INDEX(Tabelle132[Bezeichnung],MATCH(Tabelle7[[#This Row],[Gesamtcode]],Tabelle132[Gesamtcode],0))</f>
        <v>#N/A</v>
      </c>
      <c r="F434" t="e">
        <f>"_"&amp;INDEX(Tabelle132[Geräte/Gewerke],MATCH(Tabelle7[[#This Row],[Gesamtcode]],Tabelle132[Gesamtcode],0))</f>
        <v>#N/A</v>
      </c>
      <c r="G434" t="e">
        <f>INDEX(Tabelle13[Gewerknr.],MATCH(Tabelle7[[#This Row],[Gewerke]],Tabelle13[Hauptgruppe],0))</f>
        <v>#N/A</v>
      </c>
      <c r="H434" t="s">
        <v>280</v>
      </c>
      <c r="I434" t="e">
        <f ca="1">INDEX(Tabelle134[Funktionsbereichsnr.],MATCH(Tabelle7[[#This Row],[Funktionsbereiche]],INDIRECT("Tabelle134["&amp;Tabelle7[[#This Row],[Gewerke]]&amp;"]"),0))</f>
        <v>#N/A</v>
      </c>
      <c r="J434" t="e">
        <f>Tabelle7[[#This Row],[Gesamtcode]]&amp;"_"&amp;Tabelle7[[#This Row],[Zone]]&amp;"_"&amp;Tabelle7[[#This Row],[Raum]]&amp;"_"&amp;Tabelle7[[#This Row],[Bezeichnung]]</f>
        <v>#N/A</v>
      </c>
      <c r="K434">
        <v>14</v>
      </c>
      <c r="L434" t="e">
        <f>Tabelle7[[#This Row],[Hauptgruppe]]&amp;"/-/-"</f>
        <v>#N/A</v>
      </c>
      <c r="M434" t="e">
        <f ca="1">Tabelle7[[#This Row],[Hauptgruppe]]&amp;"/"&amp;Tabelle7[[#This Row],[Mittelgruppe]]&amp;"/-"</f>
        <v>#N/A</v>
      </c>
      <c r="N434" t="e">
        <f ca="1">Tabelle7[[#This Row],[Hauptgruppe]]&amp;"/"&amp;Tabelle7[[#This Row],[Mittelgruppe]]&amp;"/"&amp;Tabelle7[[#This Row],[Untergruppe]]</f>
        <v>#N/A</v>
      </c>
      <c r="O434" t="e">
        <f>INDEX(Tabelle6[Aktor],MATCH(Tabelle7[[#This Row],[Gesamtcode]],Tabelle6[Gesamtcode],0))&amp;" "&amp;INDEX(Tabelle6[Aktorkanal],MATCH(Tabelle7[[#This Row],[Gesamtcode]],Tabelle6[Gesamtcode],0))</f>
        <v>#N/A</v>
      </c>
    </row>
    <row r="435" spans="2:15" x14ac:dyDescent="0.25">
      <c r="B435" t="s">
        <v>317</v>
      </c>
      <c r="C435" t="e">
        <f>INDEX(Tabelle132[Zone],MATCH(Tabelle7[[#This Row],[Gesamtcode]],Tabelle132[Gesamtcode],0))</f>
        <v>#N/A</v>
      </c>
      <c r="D435" t="e">
        <f>INDEX(Tabelle132[Raum],MATCH(Tabelle7[[#This Row],[Gesamtcode]],Tabelle132[Gesamtcode],0))</f>
        <v>#N/A</v>
      </c>
      <c r="E435" t="e">
        <f>INDEX(Tabelle132[Bezeichnung],MATCH(Tabelle7[[#This Row],[Gesamtcode]],Tabelle132[Gesamtcode],0))</f>
        <v>#N/A</v>
      </c>
      <c r="F435" t="e">
        <f>"_"&amp;INDEX(Tabelle132[Geräte/Gewerke],MATCH(Tabelle7[[#This Row],[Gesamtcode]],Tabelle132[Gesamtcode],0))</f>
        <v>#N/A</v>
      </c>
      <c r="G435" t="e">
        <f>INDEX(Tabelle13[Gewerknr.],MATCH(Tabelle7[[#This Row],[Gewerke]],Tabelle13[Hauptgruppe],0))</f>
        <v>#N/A</v>
      </c>
      <c r="H435" t="s">
        <v>280</v>
      </c>
      <c r="I435" t="e">
        <f ca="1">INDEX(Tabelle134[Funktionsbereichsnr.],MATCH(Tabelle7[[#This Row],[Funktionsbereiche]],INDIRECT("Tabelle134["&amp;Tabelle7[[#This Row],[Gewerke]]&amp;"]"),0))</f>
        <v>#N/A</v>
      </c>
      <c r="J435" t="e">
        <f>Tabelle7[[#This Row],[Gesamtcode]]&amp;"_"&amp;Tabelle7[[#This Row],[Zone]]&amp;"_"&amp;Tabelle7[[#This Row],[Raum]]&amp;"_"&amp;Tabelle7[[#This Row],[Bezeichnung]]</f>
        <v>#N/A</v>
      </c>
      <c r="K435">
        <v>15</v>
      </c>
      <c r="L435" t="e">
        <f>Tabelle7[[#This Row],[Hauptgruppe]]&amp;"/-/-"</f>
        <v>#N/A</v>
      </c>
      <c r="M435" t="e">
        <f ca="1">Tabelle7[[#This Row],[Hauptgruppe]]&amp;"/"&amp;Tabelle7[[#This Row],[Mittelgruppe]]&amp;"/-"</f>
        <v>#N/A</v>
      </c>
      <c r="N435" t="e">
        <f ca="1">Tabelle7[[#This Row],[Hauptgruppe]]&amp;"/"&amp;Tabelle7[[#This Row],[Mittelgruppe]]&amp;"/"&amp;Tabelle7[[#This Row],[Untergruppe]]</f>
        <v>#N/A</v>
      </c>
      <c r="O435" t="e">
        <f>INDEX(Tabelle6[Aktor],MATCH(Tabelle7[[#This Row],[Gesamtcode]],Tabelle6[Gesamtcode],0))&amp;" "&amp;INDEX(Tabelle6[Aktorkanal],MATCH(Tabelle7[[#This Row],[Gesamtcode]],Tabelle6[Gesamtcode],0))</f>
        <v>#N/A</v>
      </c>
    </row>
    <row r="436" spans="2:15" x14ac:dyDescent="0.25">
      <c r="B436" t="s">
        <v>318</v>
      </c>
      <c r="C436" t="e">
        <f>INDEX(Tabelle132[Zone],MATCH(Tabelle7[[#This Row],[Gesamtcode]],Tabelle132[Gesamtcode],0))</f>
        <v>#N/A</v>
      </c>
      <c r="D436" t="e">
        <f>INDEX(Tabelle132[Raum],MATCH(Tabelle7[[#This Row],[Gesamtcode]],Tabelle132[Gesamtcode],0))</f>
        <v>#N/A</v>
      </c>
      <c r="E436" t="e">
        <f>INDEX(Tabelle132[Bezeichnung],MATCH(Tabelle7[[#This Row],[Gesamtcode]],Tabelle132[Gesamtcode],0))</f>
        <v>#N/A</v>
      </c>
      <c r="F436" t="e">
        <f>"_"&amp;INDEX(Tabelle132[Geräte/Gewerke],MATCH(Tabelle7[[#This Row],[Gesamtcode]],Tabelle132[Gesamtcode],0))</f>
        <v>#N/A</v>
      </c>
      <c r="G436" t="e">
        <f>INDEX(Tabelle13[Gewerknr.],MATCH(Tabelle7[[#This Row],[Gewerke]],Tabelle13[Hauptgruppe],0))</f>
        <v>#N/A</v>
      </c>
      <c r="H436" t="s">
        <v>280</v>
      </c>
      <c r="I436" t="e">
        <f ca="1">INDEX(Tabelle134[Funktionsbereichsnr.],MATCH(Tabelle7[[#This Row],[Funktionsbereiche]],INDIRECT("Tabelle134["&amp;Tabelle7[[#This Row],[Gewerke]]&amp;"]"),0))</f>
        <v>#N/A</v>
      </c>
      <c r="J436" t="e">
        <f>Tabelle7[[#This Row],[Gesamtcode]]&amp;"_"&amp;Tabelle7[[#This Row],[Zone]]&amp;"_"&amp;Tabelle7[[#This Row],[Raum]]&amp;"_"&amp;Tabelle7[[#This Row],[Bezeichnung]]</f>
        <v>#N/A</v>
      </c>
      <c r="K436">
        <v>16</v>
      </c>
      <c r="L436" t="e">
        <f>Tabelle7[[#This Row],[Hauptgruppe]]&amp;"/-/-"</f>
        <v>#N/A</v>
      </c>
      <c r="M436" t="e">
        <f ca="1">Tabelle7[[#This Row],[Hauptgruppe]]&amp;"/"&amp;Tabelle7[[#This Row],[Mittelgruppe]]&amp;"/-"</f>
        <v>#N/A</v>
      </c>
      <c r="N436" t="e">
        <f ca="1">Tabelle7[[#This Row],[Hauptgruppe]]&amp;"/"&amp;Tabelle7[[#This Row],[Mittelgruppe]]&amp;"/"&amp;Tabelle7[[#This Row],[Untergruppe]]</f>
        <v>#N/A</v>
      </c>
      <c r="O436" t="e">
        <f>INDEX(Tabelle6[Aktor],MATCH(Tabelle7[[#This Row],[Gesamtcode]],Tabelle6[Gesamtcode],0))&amp;" "&amp;INDEX(Tabelle6[Aktorkanal],MATCH(Tabelle7[[#This Row],[Gesamtcode]],Tabelle6[Gesamtcode],0))</f>
        <v>#N/A</v>
      </c>
    </row>
    <row r="437" spans="2:15" x14ac:dyDescent="0.25">
      <c r="B437" t="s">
        <v>319</v>
      </c>
      <c r="C437" t="e">
        <f>INDEX(Tabelle132[Zone],MATCH(Tabelle7[[#This Row],[Gesamtcode]],Tabelle132[Gesamtcode],0))</f>
        <v>#N/A</v>
      </c>
      <c r="D437" t="e">
        <f>INDEX(Tabelle132[Raum],MATCH(Tabelle7[[#This Row],[Gesamtcode]],Tabelle132[Gesamtcode],0))</f>
        <v>#N/A</v>
      </c>
      <c r="E437" t="e">
        <f>INDEX(Tabelle132[Bezeichnung],MATCH(Tabelle7[[#This Row],[Gesamtcode]],Tabelle132[Gesamtcode],0))</f>
        <v>#N/A</v>
      </c>
      <c r="F437" t="e">
        <f>"_"&amp;INDEX(Tabelle132[Geräte/Gewerke],MATCH(Tabelle7[[#This Row],[Gesamtcode]],Tabelle132[Gesamtcode],0))</f>
        <v>#N/A</v>
      </c>
      <c r="G437" t="e">
        <f>INDEX(Tabelle13[Gewerknr.],MATCH(Tabelle7[[#This Row],[Gewerke]],Tabelle13[Hauptgruppe],0))</f>
        <v>#N/A</v>
      </c>
      <c r="H437" t="s">
        <v>280</v>
      </c>
      <c r="I437" t="e">
        <f ca="1">INDEX(Tabelle134[Funktionsbereichsnr.],MATCH(Tabelle7[[#This Row],[Funktionsbereiche]],INDIRECT("Tabelle134["&amp;Tabelle7[[#This Row],[Gewerke]]&amp;"]"),0))</f>
        <v>#N/A</v>
      </c>
      <c r="J437" t="e">
        <f>Tabelle7[[#This Row],[Gesamtcode]]&amp;"_"&amp;Tabelle7[[#This Row],[Zone]]&amp;"_"&amp;Tabelle7[[#This Row],[Raum]]&amp;"_"&amp;Tabelle7[[#This Row],[Bezeichnung]]</f>
        <v>#N/A</v>
      </c>
      <c r="K437">
        <v>17</v>
      </c>
      <c r="L437" t="e">
        <f>Tabelle7[[#This Row],[Hauptgruppe]]&amp;"/-/-"</f>
        <v>#N/A</v>
      </c>
      <c r="M437" t="e">
        <f ca="1">Tabelle7[[#This Row],[Hauptgruppe]]&amp;"/"&amp;Tabelle7[[#This Row],[Mittelgruppe]]&amp;"/-"</f>
        <v>#N/A</v>
      </c>
      <c r="N437" t="e">
        <f ca="1">Tabelle7[[#This Row],[Hauptgruppe]]&amp;"/"&amp;Tabelle7[[#This Row],[Mittelgruppe]]&amp;"/"&amp;Tabelle7[[#This Row],[Untergruppe]]</f>
        <v>#N/A</v>
      </c>
      <c r="O437" t="e">
        <f>INDEX(Tabelle6[Aktor],MATCH(Tabelle7[[#This Row],[Gesamtcode]],Tabelle6[Gesamtcode],0))&amp;" "&amp;INDEX(Tabelle6[Aktorkanal],MATCH(Tabelle7[[#This Row],[Gesamtcode]],Tabelle6[Gesamtcode],0))</f>
        <v>#N/A</v>
      </c>
    </row>
    <row r="438" spans="2:15" x14ac:dyDescent="0.25">
      <c r="B438" t="s">
        <v>320</v>
      </c>
      <c r="C438" t="e">
        <f>INDEX(Tabelle132[Zone],MATCH(Tabelle7[[#This Row],[Gesamtcode]],Tabelle132[Gesamtcode],0))</f>
        <v>#N/A</v>
      </c>
      <c r="D438" t="e">
        <f>INDEX(Tabelle132[Raum],MATCH(Tabelle7[[#This Row],[Gesamtcode]],Tabelle132[Gesamtcode],0))</f>
        <v>#N/A</v>
      </c>
      <c r="E438" t="e">
        <f>INDEX(Tabelle132[Bezeichnung],MATCH(Tabelle7[[#This Row],[Gesamtcode]],Tabelle132[Gesamtcode],0))</f>
        <v>#N/A</v>
      </c>
      <c r="F438" t="e">
        <f>"_"&amp;INDEX(Tabelle132[Geräte/Gewerke],MATCH(Tabelle7[[#This Row],[Gesamtcode]],Tabelle132[Gesamtcode],0))</f>
        <v>#N/A</v>
      </c>
      <c r="G438" t="e">
        <f>INDEX(Tabelle13[Gewerknr.],MATCH(Tabelle7[[#This Row],[Gewerke]],Tabelle13[Hauptgruppe],0))</f>
        <v>#N/A</v>
      </c>
      <c r="H438" t="s">
        <v>280</v>
      </c>
      <c r="I438" t="e">
        <f ca="1">INDEX(Tabelle134[Funktionsbereichsnr.],MATCH(Tabelle7[[#This Row],[Funktionsbereiche]],INDIRECT("Tabelle134["&amp;Tabelle7[[#This Row],[Gewerke]]&amp;"]"),0))</f>
        <v>#N/A</v>
      </c>
      <c r="J438" t="e">
        <f>Tabelle7[[#This Row],[Gesamtcode]]&amp;"_"&amp;Tabelle7[[#This Row],[Zone]]&amp;"_"&amp;Tabelle7[[#This Row],[Raum]]&amp;"_"&amp;Tabelle7[[#This Row],[Bezeichnung]]</f>
        <v>#N/A</v>
      </c>
      <c r="K438">
        <v>18</v>
      </c>
      <c r="L438" t="e">
        <f>Tabelle7[[#This Row],[Hauptgruppe]]&amp;"/-/-"</f>
        <v>#N/A</v>
      </c>
      <c r="M438" t="e">
        <f ca="1">Tabelle7[[#This Row],[Hauptgruppe]]&amp;"/"&amp;Tabelle7[[#This Row],[Mittelgruppe]]&amp;"/-"</f>
        <v>#N/A</v>
      </c>
      <c r="N438" t="e">
        <f ca="1">Tabelle7[[#This Row],[Hauptgruppe]]&amp;"/"&amp;Tabelle7[[#This Row],[Mittelgruppe]]&amp;"/"&amp;Tabelle7[[#This Row],[Untergruppe]]</f>
        <v>#N/A</v>
      </c>
      <c r="O438" t="e">
        <f>INDEX(Tabelle6[Aktor],MATCH(Tabelle7[[#This Row],[Gesamtcode]],Tabelle6[Gesamtcode],0))&amp;" "&amp;INDEX(Tabelle6[Aktorkanal],MATCH(Tabelle7[[#This Row],[Gesamtcode]],Tabelle6[Gesamtcode],0))</f>
        <v>#N/A</v>
      </c>
    </row>
    <row r="439" spans="2:15" x14ac:dyDescent="0.25">
      <c r="B439" t="s">
        <v>321</v>
      </c>
      <c r="C439" t="e">
        <f>INDEX(Tabelle132[Zone],MATCH(Tabelle7[[#This Row],[Gesamtcode]],Tabelle132[Gesamtcode],0))</f>
        <v>#N/A</v>
      </c>
      <c r="D439" t="e">
        <f>INDEX(Tabelle132[Raum],MATCH(Tabelle7[[#This Row],[Gesamtcode]],Tabelle132[Gesamtcode],0))</f>
        <v>#N/A</v>
      </c>
      <c r="E439" t="e">
        <f>INDEX(Tabelle132[Bezeichnung],MATCH(Tabelle7[[#This Row],[Gesamtcode]],Tabelle132[Gesamtcode],0))</f>
        <v>#N/A</v>
      </c>
      <c r="F439" t="e">
        <f>"_"&amp;INDEX(Tabelle132[Geräte/Gewerke],MATCH(Tabelle7[[#This Row],[Gesamtcode]],Tabelle132[Gesamtcode],0))</f>
        <v>#N/A</v>
      </c>
      <c r="G439" t="e">
        <f>INDEX(Tabelle13[Gewerknr.],MATCH(Tabelle7[[#This Row],[Gewerke]],Tabelle13[Hauptgruppe],0))</f>
        <v>#N/A</v>
      </c>
      <c r="H439" t="s">
        <v>280</v>
      </c>
      <c r="I439" t="e">
        <f ca="1">INDEX(Tabelle134[Funktionsbereichsnr.],MATCH(Tabelle7[[#This Row],[Funktionsbereiche]],INDIRECT("Tabelle134["&amp;Tabelle7[[#This Row],[Gewerke]]&amp;"]"),0))</f>
        <v>#N/A</v>
      </c>
      <c r="J439" t="e">
        <f>Tabelle7[[#This Row],[Gesamtcode]]&amp;"_"&amp;Tabelle7[[#This Row],[Zone]]&amp;"_"&amp;Tabelle7[[#This Row],[Raum]]&amp;"_"&amp;Tabelle7[[#This Row],[Bezeichnung]]</f>
        <v>#N/A</v>
      </c>
      <c r="K439">
        <v>19</v>
      </c>
      <c r="L439" t="e">
        <f>Tabelle7[[#This Row],[Hauptgruppe]]&amp;"/-/-"</f>
        <v>#N/A</v>
      </c>
      <c r="M439" t="e">
        <f ca="1">Tabelle7[[#This Row],[Hauptgruppe]]&amp;"/"&amp;Tabelle7[[#This Row],[Mittelgruppe]]&amp;"/-"</f>
        <v>#N/A</v>
      </c>
      <c r="N439" t="e">
        <f ca="1">Tabelle7[[#This Row],[Hauptgruppe]]&amp;"/"&amp;Tabelle7[[#This Row],[Mittelgruppe]]&amp;"/"&amp;Tabelle7[[#This Row],[Untergruppe]]</f>
        <v>#N/A</v>
      </c>
      <c r="O439" t="e">
        <f>INDEX(Tabelle6[Aktor],MATCH(Tabelle7[[#This Row],[Gesamtcode]],Tabelle6[Gesamtcode],0))&amp;" "&amp;INDEX(Tabelle6[Aktorkanal],MATCH(Tabelle7[[#This Row],[Gesamtcode]],Tabelle6[Gesamtcode],0))</f>
        <v>#N/A</v>
      </c>
    </row>
    <row r="440" spans="2:15" x14ac:dyDescent="0.25">
      <c r="B440" t="s">
        <v>322</v>
      </c>
      <c r="C440" t="e">
        <f>INDEX(Tabelle132[Zone],MATCH(Tabelle7[[#This Row],[Gesamtcode]],Tabelle132[Gesamtcode],0))</f>
        <v>#N/A</v>
      </c>
      <c r="D440" t="e">
        <f>INDEX(Tabelle132[Raum],MATCH(Tabelle7[[#This Row],[Gesamtcode]],Tabelle132[Gesamtcode],0))</f>
        <v>#N/A</v>
      </c>
      <c r="E440" t="e">
        <f>INDEX(Tabelle132[Bezeichnung],MATCH(Tabelle7[[#This Row],[Gesamtcode]],Tabelle132[Gesamtcode],0))</f>
        <v>#N/A</v>
      </c>
      <c r="F440" t="e">
        <f>"_"&amp;INDEX(Tabelle132[Geräte/Gewerke],MATCH(Tabelle7[[#This Row],[Gesamtcode]],Tabelle132[Gesamtcode],0))</f>
        <v>#N/A</v>
      </c>
      <c r="G440" t="e">
        <f>INDEX(Tabelle13[Gewerknr.],MATCH(Tabelle7[[#This Row],[Gewerke]],Tabelle13[Hauptgruppe],0))</f>
        <v>#N/A</v>
      </c>
      <c r="H440" t="s">
        <v>280</v>
      </c>
      <c r="I440" t="e">
        <f ca="1">INDEX(Tabelle134[Funktionsbereichsnr.],MATCH(Tabelle7[[#This Row],[Funktionsbereiche]],INDIRECT("Tabelle134["&amp;Tabelle7[[#This Row],[Gewerke]]&amp;"]"),0))</f>
        <v>#N/A</v>
      </c>
      <c r="J440" t="e">
        <f>Tabelle7[[#This Row],[Gesamtcode]]&amp;"_"&amp;Tabelle7[[#This Row],[Zone]]&amp;"_"&amp;Tabelle7[[#This Row],[Raum]]&amp;"_"&amp;Tabelle7[[#This Row],[Bezeichnung]]</f>
        <v>#N/A</v>
      </c>
      <c r="K440">
        <v>2</v>
      </c>
      <c r="L440" t="e">
        <f>Tabelle7[[#This Row],[Hauptgruppe]]&amp;"/-/-"</f>
        <v>#N/A</v>
      </c>
      <c r="M440" t="e">
        <f ca="1">Tabelle7[[#This Row],[Hauptgruppe]]&amp;"/"&amp;Tabelle7[[#This Row],[Mittelgruppe]]&amp;"/-"</f>
        <v>#N/A</v>
      </c>
      <c r="N440" t="e">
        <f ca="1">Tabelle7[[#This Row],[Hauptgruppe]]&amp;"/"&amp;Tabelle7[[#This Row],[Mittelgruppe]]&amp;"/"&amp;Tabelle7[[#This Row],[Untergruppe]]</f>
        <v>#N/A</v>
      </c>
      <c r="O440" t="e">
        <f>INDEX(Tabelle6[Aktor],MATCH(Tabelle7[[#This Row],[Gesamtcode]],Tabelle6[Gesamtcode],0))&amp;" "&amp;INDEX(Tabelle6[Aktorkanal],MATCH(Tabelle7[[#This Row],[Gesamtcode]],Tabelle6[Gesamtcode],0))</f>
        <v>#N/A</v>
      </c>
    </row>
    <row r="441" spans="2:15" x14ac:dyDescent="0.25">
      <c r="B441" t="s">
        <v>323</v>
      </c>
      <c r="C441" t="e">
        <f>INDEX(Tabelle132[Zone],MATCH(Tabelle7[[#This Row],[Gesamtcode]],Tabelle132[Gesamtcode],0))</f>
        <v>#N/A</v>
      </c>
      <c r="D441" t="e">
        <f>INDEX(Tabelle132[Raum],MATCH(Tabelle7[[#This Row],[Gesamtcode]],Tabelle132[Gesamtcode],0))</f>
        <v>#N/A</v>
      </c>
      <c r="E441" t="e">
        <f>INDEX(Tabelle132[Bezeichnung],MATCH(Tabelle7[[#This Row],[Gesamtcode]],Tabelle132[Gesamtcode],0))</f>
        <v>#N/A</v>
      </c>
      <c r="F441" t="e">
        <f>"_"&amp;INDEX(Tabelle132[Geräte/Gewerke],MATCH(Tabelle7[[#This Row],[Gesamtcode]],Tabelle132[Gesamtcode],0))</f>
        <v>#N/A</v>
      </c>
      <c r="G441" t="e">
        <f>INDEX(Tabelle13[Gewerknr.],MATCH(Tabelle7[[#This Row],[Gewerke]],Tabelle13[Hauptgruppe],0))</f>
        <v>#N/A</v>
      </c>
      <c r="H441" t="s">
        <v>280</v>
      </c>
      <c r="I441" t="e">
        <f ca="1">INDEX(Tabelle134[Funktionsbereichsnr.],MATCH(Tabelle7[[#This Row],[Funktionsbereiche]],INDIRECT("Tabelle134["&amp;Tabelle7[[#This Row],[Gewerke]]&amp;"]"),0))</f>
        <v>#N/A</v>
      </c>
      <c r="J441" t="e">
        <f>Tabelle7[[#This Row],[Gesamtcode]]&amp;"_"&amp;Tabelle7[[#This Row],[Zone]]&amp;"_"&amp;Tabelle7[[#This Row],[Raum]]&amp;"_"&amp;Tabelle7[[#This Row],[Bezeichnung]]</f>
        <v>#N/A</v>
      </c>
      <c r="K441">
        <v>20</v>
      </c>
      <c r="L441" t="e">
        <f>Tabelle7[[#This Row],[Hauptgruppe]]&amp;"/-/-"</f>
        <v>#N/A</v>
      </c>
      <c r="M441" t="e">
        <f ca="1">Tabelle7[[#This Row],[Hauptgruppe]]&amp;"/"&amp;Tabelle7[[#This Row],[Mittelgruppe]]&amp;"/-"</f>
        <v>#N/A</v>
      </c>
      <c r="N441" t="e">
        <f ca="1">Tabelle7[[#This Row],[Hauptgruppe]]&amp;"/"&amp;Tabelle7[[#This Row],[Mittelgruppe]]&amp;"/"&amp;Tabelle7[[#This Row],[Untergruppe]]</f>
        <v>#N/A</v>
      </c>
      <c r="O441" t="e">
        <f>INDEX(Tabelle6[Aktor],MATCH(Tabelle7[[#This Row],[Gesamtcode]],Tabelle6[Gesamtcode],0))&amp;" "&amp;INDEX(Tabelle6[Aktorkanal],MATCH(Tabelle7[[#This Row],[Gesamtcode]],Tabelle6[Gesamtcode],0))</f>
        <v>#N/A</v>
      </c>
    </row>
    <row r="442" spans="2:15" x14ac:dyDescent="0.25">
      <c r="B442" t="s">
        <v>324</v>
      </c>
      <c r="C442" t="e">
        <f>INDEX(Tabelle132[Zone],MATCH(Tabelle7[[#This Row],[Gesamtcode]],Tabelle132[Gesamtcode],0))</f>
        <v>#N/A</v>
      </c>
      <c r="D442" t="e">
        <f>INDEX(Tabelle132[Raum],MATCH(Tabelle7[[#This Row],[Gesamtcode]],Tabelle132[Gesamtcode],0))</f>
        <v>#N/A</v>
      </c>
      <c r="E442" t="e">
        <f>INDEX(Tabelle132[Bezeichnung],MATCH(Tabelle7[[#This Row],[Gesamtcode]],Tabelle132[Gesamtcode],0))</f>
        <v>#N/A</v>
      </c>
      <c r="F442" t="e">
        <f>"_"&amp;INDEX(Tabelle132[Geräte/Gewerke],MATCH(Tabelle7[[#This Row],[Gesamtcode]],Tabelle132[Gesamtcode],0))</f>
        <v>#N/A</v>
      </c>
      <c r="G442" t="e">
        <f>INDEX(Tabelle13[Gewerknr.],MATCH(Tabelle7[[#This Row],[Gewerke]],Tabelle13[Hauptgruppe],0))</f>
        <v>#N/A</v>
      </c>
      <c r="H442" t="s">
        <v>280</v>
      </c>
      <c r="I442" t="e">
        <f ca="1">INDEX(Tabelle134[Funktionsbereichsnr.],MATCH(Tabelle7[[#This Row],[Funktionsbereiche]],INDIRECT("Tabelle134["&amp;Tabelle7[[#This Row],[Gewerke]]&amp;"]"),0))</f>
        <v>#N/A</v>
      </c>
      <c r="J442" t="e">
        <f>Tabelle7[[#This Row],[Gesamtcode]]&amp;"_"&amp;Tabelle7[[#This Row],[Zone]]&amp;"_"&amp;Tabelle7[[#This Row],[Raum]]&amp;"_"&amp;Tabelle7[[#This Row],[Bezeichnung]]</f>
        <v>#N/A</v>
      </c>
      <c r="K442">
        <v>21</v>
      </c>
      <c r="L442" t="e">
        <f>Tabelle7[[#This Row],[Hauptgruppe]]&amp;"/-/-"</f>
        <v>#N/A</v>
      </c>
      <c r="M442" t="e">
        <f ca="1">Tabelle7[[#This Row],[Hauptgruppe]]&amp;"/"&amp;Tabelle7[[#This Row],[Mittelgruppe]]&amp;"/-"</f>
        <v>#N/A</v>
      </c>
      <c r="N442" t="e">
        <f ca="1">Tabelle7[[#This Row],[Hauptgruppe]]&amp;"/"&amp;Tabelle7[[#This Row],[Mittelgruppe]]&amp;"/"&amp;Tabelle7[[#This Row],[Untergruppe]]</f>
        <v>#N/A</v>
      </c>
      <c r="O442" t="e">
        <f>INDEX(Tabelle6[Aktor],MATCH(Tabelle7[[#This Row],[Gesamtcode]],Tabelle6[Gesamtcode],0))&amp;" "&amp;INDEX(Tabelle6[Aktorkanal],MATCH(Tabelle7[[#This Row],[Gesamtcode]],Tabelle6[Gesamtcode],0))</f>
        <v>#N/A</v>
      </c>
    </row>
    <row r="443" spans="2:15" x14ac:dyDescent="0.25">
      <c r="B443" t="s">
        <v>325</v>
      </c>
      <c r="C443" t="e">
        <f>INDEX(Tabelle132[Zone],MATCH(Tabelle7[[#This Row],[Gesamtcode]],Tabelle132[Gesamtcode],0))</f>
        <v>#N/A</v>
      </c>
      <c r="D443" t="e">
        <f>INDEX(Tabelle132[Raum],MATCH(Tabelle7[[#This Row],[Gesamtcode]],Tabelle132[Gesamtcode],0))</f>
        <v>#N/A</v>
      </c>
      <c r="E443" t="e">
        <f>INDEX(Tabelle132[Bezeichnung],MATCH(Tabelle7[[#This Row],[Gesamtcode]],Tabelle132[Gesamtcode],0))</f>
        <v>#N/A</v>
      </c>
      <c r="F443" t="e">
        <f>"_"&amp;INDEX(Tabelle132[Geräte/Gewerke],MATCH(Tabelle7[[#This Row],[Gesamtcode]],Tabelle132[Gesamtcode],0))</f>
        <v>#N/A</v>
      </c>
      <c r="G443" t="e">
        <f>INDEX(Tabelle13[Gewerknr.],MATCH(Tabelle7[[#This Row],[Gewerke]],Tabelle13[Hauptgruppe],0))</f>
        <v>#N/A</v>
      </c>
      <c r="H443" t="s">
        <v>280</v>
      </c>
      <c r="I443" t="e">
        <f ca="1">INDEX(Tabelle134[Funktionsbereichsnr.],MATCH(Tabelle7[[#This Row],[Funktionsbereiche]],INDIRECT("Tabelle134["&amp;Tabelle7[[#This Row],[Gewerke]]&amp;"]"),0))</f>
        <v>#N/A</v>
      </c>
      <c r="J443" t="e">
        <f>Tabelle7[[#This Row],[Gesamtcode]]&amp;"_"&amp;Tabelle7[[#This Row],[Zone]]&amp;"_"&amp;Tabelle7[[#This Row],[Raum]]&amp;"_"&amp;Tabelle7[[#This Row],[Bezeichnung]]</f>
        <v>#N/A</v>
      </c>
      <c r="K443">
        <v>22</v>
      </c>
      <c r="L443" t="e">
        <f>Tabelle7[[#This Row],[Hauptgruppe]]&amp;"/-/-"</f>
        <v>#N/A</v>
      </c>
      <c r="M443" t="e">
        <f ca="1">Tabelle7[[#This Row],[Hauptgruppe]]&amp;"/"&amp;Tabelle7[[#This Row],[Mittelgruppe]]&amp;"/-"</f>
        <v>#N/A</v>
      </c>
      <c r="N443" t="e">
        <f ca="1">Tabelle7[[#This Row],[Hauptgruppe]]&amp;"/"&amp;Tabelle7[[#This Row],[Mittelgruppe]]&amp;"/"&amp;Tabelle7[[#This Row],[Untergruppe]]</f>
        <v>#N/A</v>
      </c>
      <c r="O443" t="e">
        <f>INDEX(Tabelle6[Aktor],MATCH(Tabelle7[[#This Row],[Gesamtcode]],Tabelle6[Gesamtcode],0))&amp;" "&amp;INDEX(Tabelle6[Aktorkanal],MATCH(Tabelle7[[#This Row],[Gesamtcode]],Tabelle6[Gesamtcode],0))</f>
        <v>#N/A</v>
      </c>
    </row>
    <row r="444" spans="2:15" x14ac:dyDescent="0.25">
      <c r="B444" t="s">
        <v>326</v>
      </c>
      <c r="C444" t="e">
        <f>INDEX(Tabelle132[Zone],MATCH(Tabelle7[[#This Row],[Gesamtcode]],Tabelle132[Gesamtcode],0))</f>
        <v>#N/A</v>
      </c>
      <c r="D444" t="e">
        <f>INDEX(Tabelle132[Raum],MATCH(Tabelle7[[#This Row],[Gesamtcode]],Tabelle132[Gesamtcode],0))</f>
        <v>#N/A</v>
      </c>
      <c r="E444" t="e">
        <f>INDEX(Tabelle132[Bezeichnung],MATCH(Tabelle7[[#This Row],[Gesamtcode]],Tabelle132[Gesamtcode],0))</f>
        <v>#N/A</v>
      </c>
      <c r="F444" t="e">
        <f>"_"&amp;INDEX(Tabelle132[Geräte/Gewerke],MATCH(Tabelle7[[#This Row],[Gesamtcode]],Tabelle132[Gesamtcode],0))</f>
        <v>#N/A</v>
      </c>
      <c r="G444" t="e">
        <f>INDEX(Tabelle13[Gewerknr.],MATCH(Tabelle7[[#This Row],[Gewerke]],Tabelle13[Hauptgruppe],0))</f>
        <v>#N/A</v>
      </c>
      <c r="H444" t="s">
        <v>280</v>
      </c>
      <c r="I444" t="e">
        <f ca="1">INDEX(Tabelle134[Funktionsbereichsnr.],MATCH(Tabelle7[[#This Row],[Funktionsbereiche]],INDIRECT("Tabelle134["&amp;Tabelle7[[#This Row],[Gewerke]]&amp;"]"),0))</f>
        <v>#N/A</v>
      </c>
      <c r="J444" t="e">
        <f>Tabelle7[[#This Row],[Gesamtcode]]&amp;"_"&amp;Tabelle7[[#This Row],[Zone]]&amp;"_"&amp;Tabelle7[[#This Row],[Raum]]&amp;"_"&amp;Tabelle7[[#This Row],[Bezeichnung]]</f>
        <v>#N/A</v>
      </c>
      <c r="K444">
        <v>23</v>
      </c>
      <c r="L444" t="e">
        <f>Tabelle7[[#This Row],[Hauptgruppe]]&amp;"/-/-"</f>
        <v>#N/A</v>
      </c>
      <c r="M444" t="e">
        <f ca="1">Tabelle7[[#This Row],[Hauptgruppe]]&amp;"/"&amp;Tabelle7[[#This Row],[Mittelgruppe]]&amp;"/-"</f>
        <v>#N/A</v>
      </c>
      <c r="N444" t="e">
        <f ca="1">Tabelle7[[#This Row],[Hauptgruppe]]&amp;"/"&amp;Tabelle7[[#This Row],[Mittelgruppe]]&amp;"/"&amp;Tabelle7[[#This Row],[Untergruppe]]</f>
        <v>#N/A</v>
      </c>
      <c r="O444" t="e">
        <f>INDEX(Tabelle6[Aktor],MATCH(Tabelle7[[#This Row],[Gesamtcode]],Tabelle6[Gesamtcode],0))&amp;" "&amp;INDEX(Tabelle6[Aktorkanal],MATCH(Tabelle7[[#This Row],[Gesamtcode]],Tabelle6[Gesamtcode],0))</f>
        <v>#N/A</v>
      </c>
    </row>
    <row r="445" spans="2:15" x14ac:dyDescent="0.25">
      <c r="B445" t="s">
        <v>327</v>
      </c>
      <c r="C445" t="e">
        <f>INDEX(Tabelle132[Zone],MATCH(Tabelle7[[#This Row],[Gesamtcode]],Tabelle132[Gesamtcode],0))</f>
        <v>#N/A</v>
      </c>
      <c r="D445" t="e">
        <f>INDEX(Tabelle132[Raum],MATCH(Tabelle7[[#This Row],[Gesamtcode]],Tabelle132[Gesamtcode],0))</f>
        <v>#N/A</v>
      </c>
      <c r="E445" t="e">
        <f>INDEX(Tabelle132[Bezeichnung],MATCH(Tabelle7[[#This Row],[Gesamtcode]],Tabelle132[Gesamtcode],0))</f>
        <v>#N/A</v>
      </c>
      <c r="F445" t="e">
        <f>"_"&amp;INDEX(Tabelle132[Geräte/Gewerke],MATCH(Tabelle7[[#This Row],[Gesamtcode]],Tabelle132[Gesamtcode],0))</f>
        <v>#N/A</v>
      </c>
      <c r="G445" t="e">
        <f>INDEX(Tabelle13[Gewerknr.],MATCH(Tabelle7[[#This Row],[Gewerke]],Tabelle13[Hauptgruppe],0))</f>
        <v>#N/A</v>
      </c>
      <c r="H445" t="s">
        <v>280</v>
      </c>
      <c r="I445" t="e">
        <f ca="1">INDEX(Tabelle134[Funktionsbereichsnr.],MATCH(Tabelle7[[#This Row],[Funktionsbereiche]],INDIRECT("Tabelle134["&amp;Tabelle7[[#This Row],[Gewerke]]&amp;"]"),0))</f>
        <v>#N/A</v>
      </c>
      <c r="J445" t="e">
        <f>Tabelle7[[#This Row],[Gesamtcode]]&amp;"_"&amp;Tabelle7[[#This Row],[Zone]]&amp;"_"&amp;Tabelle7[[#This Row],[Raum]]&amp;"_"&amp;Tabelle7[[#This Row],[Bezeichnung]]</f>
        <v>#N/A</v>
      </c>
      <c r="K445">
        <v>24</v>
      </c>
      <c r="L445" t="e">
        <f>Tabelle7[[#This Row],[Hauptgruppe]]&amp;"/-/-"</f>
        <v>#N/A</v>
      </c>
      <c r="M445" t="e">
        <f ca="1">Tabelle7[[#This Row],[Hauptgruppe]]&amp;"/"&amp;Tabelle7[[#This Row],[Mittelgruppe]]&amp;"/-"</f>
        <v>#N/A</v>
      </c>
      <c r="N445" t="e">
        <f ca="1">Tabelle7[[#This Row],[Hauptgruppe]]&amp;"/"&amp;Tabelle7[[#This Row],[Mittelgruppe]]&amp;"/"&amp;Tabelle7[[#This Row],[Untergruppe]]</f>
        <v>#N/A</v>
      </c>
      <c r="O445" t="e">
        <f>INDEX(Tabelle6[Aktor],MATCH(Tabelle7[[#This Row],[Gesamtcode]],Tabelle6[Gesamtcode],0))&amp;" "&amp;INDEX(Tabelle6[Aktorkanal],MATCH(Tabelle7[[#This Row],[Gesamtcode]],Tabelle6[Gesamtcode],0))</f>
        <v>#N/A</v>
      </c>
    </row>
    <row r="446" spans="2:15" x14ac:dyDescent="0.25">
      <c r="B446" t="s">
        <v>328</v>
      </c>
      <c r="C446" t="e">
        <f>INDEX(Tabelle132[Zone],MATCH(Tabelle7[[#This Row],[Gesamtcode]],Tabelle132[Gesamtcode],0))</f>
        <v>#N/A</v>
      </c>
      <c r="D446" t="e">
        <f>INDEX(Tabelle132[Raum],MATCH(Tabelle7[[#This Row],[Gesamtcode]],Tabelle132[Gesamtcode],0))</f>
        <v>#N/A</v>
      </c>
      <c r="E446" t="e">
        <f>INDEX(Tabelle132[Bezeichnung],MATCH(Tabelle7[[#This Row],[Gesamtcode]],Tabelle132[Gesamtcode],0))</f>
        <v>#N/A</v>
      </c>
      <c r="F446" t="e">
        <f>"_"&amp;INDEX(Tabelle132[Geräte/Gewerke],MATCH(Tabelle7[[#This Row],[Gesamtcode]],Tabelle132[Gesamtcode],0))</f>
        <v>#N/A</v>
      </c>
      <c r="G446" t="e">
        <f>INDEX(Tabelle13[Gewerknr.],MATCH(Tabelle7[[#This Row],[Gewerke]],Tabelle13[Hauptgruppe],0))</f>
        <v>#N/A</v>
      </c>
      <c r="H446" t="s">
        <v>280</v>
      </c>
      <c r="I446" t="e">
        <f ca="1">INDEX(Tabelle134[Funktionsbereichsnr.],MATCH(Tabelle7[[#This Row],[Funktionsbereiche]],INDIRECT("Tabelle134["&amp;Tabelle7[[#This Row],[Gewerke]]&amp;"]"),0))</f>
        <v>#N/A</v>
      </c>
      <c r="J446" t="e">
        <f>Tabelle7[[#This Row],[Gesamtcode]]&amp;"_"&amp;Tabelle7[[#This Row],[Zone]]&amp;"_"&amp;Tabelle7[[#This Row],[Raum]]&amp;"_"&amp;Tabelle7[[#This Row],[Bezeichnung]]</f>
        <v>#N/A</v>
      </c>
      <c r="K446">
        <v>25</v>
      </c>
      <c r="L446" t="e">
        <f>Tabelle7[[#This Row],[Hauptgruppe]]&amp;"/-/-"</f>
        <v>#N/A</v>
      </c>
      <c r="M446" t="e">
        <f ca="1">Tabelle7[[#This Row],[Hauptgruppe]]&amp;"/"&amp;Tabelle7[[#This Row],[Mittelgruppe]]&amp;"/-"</f>
        <v>#N/A</v>
      </c>
      <c r="N446" t="e">
        <f ca="1">Tabelle7[[#This Row],[Hauptgruppe]]&amp;"/"&amp;Tabelle7[[#This Row],[Mittelgruppe]]&amp;"/"&amp;Tabelle7[[#This Row],[Untergruppe]]</f>
        <v>#N/A</v>
      </c>
      <c r="O446" t="e">
        <f>INDEX(Tabelle6[Aktor],MATCH(Tabelle7[[#This Row],[Gesamtcode]],Tabelle6[Gesamtcode],0))&amp;" "&amp;INDEX(Tabelle6[Aktorkanal],MATCH(Tabelle7[[#This Row],[Gesamtcode]],Tabelle6[Gesamtcode],0))</f>
        <v>#N/A</v>
      </c>
    </row>
    <row r="447" spans="2:15" x14ac:dyDescent="0.25">
      <c r="B447" t="s">
        <v>329</v>
      </c>
      <c r="C447" t="e">
        <f>INDEX(Tabelle132[Zone],MATCH(Tabelle7[[#This Row],[Gesamtcode]],Tabelle132[Gesamtcode],0))</f>
        <v>#N/A</v>
      </c>
      <c r="D447" t="e">
        <f>INDEX(Tabelle132[Raum],MATCH(Tabelle7[[#This Row],[Gesamtcode]],Tabelle132[Gesamtcode],0))</f>
        <v>#N/A</v>
      </c>
      <c r="E447" t="e">
        <f>INDEX(Tabelle132[Bezeichnung],MATCH(Tabelle7[[#This Row],[Gesamtcode]],Tabelle132[Gesamtcode],0))</f>
        <v>#N/A</v>
      </c>
      <c r="F447" t="e">
        <f>"_"&amp;INDEX(Tabelle132[Geräte/Gewerke],MATCH(Tabelle7[[#This Row],[Gesamtcode]],Tabelle132[Gesamtcode],0))</f>
        <v>#N/A</v>
      </c>
      <c r="G447" t="e">
        <f>INDEX(Tabelle13[Gewerknr.],MATCH(Tabelle7[[#This Row],[Gewerke]],Tabelle13[Hauptgruppe],0))</f>
        <v>#N/A</v>
      </c>
      <c r="H447" t="s">
        <v>280</v>
      </c>
      <c r="I447" t="e">
        <f ca="1">INDEX(Tabelle134[Funktionsbereichsnr.],MATCH(Tabelle7[[#This Row],[Funktionsbereiche]],INDIRECT("Tabelle134["&amp;Tabelle7[[#This Row],[Gewerke]]&amp;"]"),0))</f>
        <v>#N/A</v>
      </c>
      <c r="J447" t="e">
        <f>Tabelle7[[#This Row],[Gesamtcode]]&amp;"_"&amp;Tabelle7[[#This Row],[Zone]]&amp;"_"&amp;Tabelle7[[#This Row],[Raum]]&amp;"_"&amp;Tabelle7[[#This Row],[Bezeichnung]]</f>
        <v>#N/A</v>
      </c>
      <c r="K447">
        <v>26</v>
      </c>
      <c r="L447" t="e">
        <f>Tabelle7[[#This Row],[Hauptgruppe]]&amp;"/-/-"</f>
        <v>#N/A</v>
      </c>
      <c r="M447" t="e">
        <f ca="1">Tabelle7[[#This Row],[Hauptgruppe]]&amp;"/"&amp;Tabelle7[[#This Row],[Mittelgruppe]]&amp;"/-"</f>
        <v>#N/A</v>
      </c>
      <c r="N447" t="e">
        <f ca="1">Tabelle7[[#This Row],[Hauptgruppe]]&amp;"/"&amp;Tabelle7[[#This Row],[Mittelgruppe]]&amp;"/"&amp;Tabelle7[[#This Row],[Untergruppe]]</f>
        <v>#N/A</v>
      </c>
      <c r="O447" t="e">
        <f>INDEX(Tabelle6[Aktor],MATCH(Tabelle7[[#This Row],[Gesamtcode]],Tabelle6[Gesamtcode],0))&amp;" "&amp;INDEX(Tabelle6[Aktorkanal],MATCH(Tabelle7[[#This Row],[Gesamtcode]],Tabelle6[Gesamtcode],0))</f>
        <v>#N/A</v>
      </c>
    </row>
    <row r="448" spans="2:15" x14ac:dyDescent="0.25">
      <c r="B448" t="s">
        <v>330</v>
      </c>
      <c r="C448" t="e">
        <f>INDEX(Tabelle132[Zone],MATCH(Tabelle7[[#This Row],[Gesamtcode]],Tabelle132[Gesamtcode],0))</f>
        <v>#N/A</v>
      </c>
      <c r="D448" t="e">
        <f>INDEX(Tabelle132[Raum],MATCH(Tabelle7[[#This Row],[Gesamtcode]],Tabelle132[Gesamtcode],0))</f>
        <v>#N/A</v>
      </c>
      <c r="E448" t="e">
        <f>INDEX(Tabelle132[Bezeichnung],MATCH(Tabelle7[[#This Row],[Gesamtcode]],Tabelle132[Gesamtcode],0))</f>
        <v>#N/A</v>
      </c>
      <c r="F448" t="e">
        <f>"_"&amp;INDEX(Tabelle132[Geräte/Gewerke],MATCH(Tabelle7[[#This Row],[Gesamtcode]],Tabelle132[Gesamtcode],0))</f>
        <v>#N/A</v>
      </c>
      <c r="G448" t="e">
        <f>INDEX(Tabelle13[Gewerknr.],MATCH(Tabelle7[[#This Row],[Gewerke]],Tabelle13[Hauptgruppe],0))</f>
        <v>#N/A</v>
      </c>
      <c r="H448" t="s">
        <v>280</v>
      </c>
      <c r="I448" t="e">
        <f ca="1">INDEX(Tabelle134[Funktionsbereichsnr.],MATCH(Tabelle7[[#This Row],[Funktionsbereiche]],INDIRECT("Tabelle134["&amp;Tabelle7[[#This Row],[Gewerke]]&amp;"]"),0))</f>
        <v>#N/A</v>
      </c>
      <c r="J448" t="e">
        <f>Tabelle7[[#This Row],[Gesamtcode]]&amp;"_"&amp;Tabelle7[[#This Row],[Zone]]&amp;"_"&amp;Tabelle7[[#This Row],[Raum]]&amp;"_"&amp;Tabelle7[[#This Row],[Bezeichnung]]</f>
        <v>#N/A</v>
      </c>
      <c r="K448">
        <v>27</v>
      </c>
      <c r="L448" t="e">
        <f>Tabelle7[[#This Row],[Hauptgruppe]]&amp;"/-/-"</f>
        <v>#N/A</v>
      </c>
      <c r="M448" t="e">
        <f ca="1">Tabelle7[[#This Row],[Hauptgruppe]]&amp;"/"&amp;Tabelle7[[#This Row],[Mittelgruppe]]&amp;"/-"</f>
        <v>#N/A</v>
      </c>
      <c r="N448" t="e">
        <f ca="1">Tabelle7[[#This Row],[Hauptgruppe]]&amp;"/"&amp;Tabelle7[[#This Row],[Mittelgruppe]]&amp;"/"&amp;Tabelle7[[#This Row],[Untergruppe]]</f>
        <v>#N/A</v>
      </c>
      <c r="O448" t="e">
        <f>INDEX(Tabelle6[Aktor],MATCH(Tabelle7[[#This Row],[Gesamtcode]],Tabelle6[Gesamtcode],0))&amp;" "&amp;INDEX(Tabelle6[Aktorkanal],MATCH(Tabelle7[[#This Row],[Gesamtcode]],Tabelle6[Gesamtcode],0))</f>
        <v>#N/A</v>
      </c>
    </row>
    <row r="449" spans="2:15" x14ac:dyDescent="0.25">
      <c r="B449" t="s">
        <v>331</v>
      </c>
      <c r="C449" t="e">
        <f>INDEX(Tabelle132[Zone],MATCH(Tabelle7[[#This Row],[Gesamtcode]],Tabelle132[Gesamtcode],0))</f>
        <v>#N/A</v>
      </c>
      <c r="D449" t="e">
        <f>INDEX(Tabelle132[Raum],MATCH(Tabelle7[[#This Row],[Gesamtcode]],Tabelle132[Gesamtcode],0))</f>
        <v>#N/A</v>
      </c>
      <c r="E449" t="e">
        <f>INDEX(Tabelle132[Bezeichnung],MATCH(Tabelle7[[#This Row],[Gesamtcode]],Tabelle132[Gesamtcode],0))</f>
        <v>#N/A</v>
      </c>
      <c r="F449" t="e">
        <f>"_"&amp;INDEX(Tabelle132[Geräte/Gewerke],MATCH(Tabelle7[[#This Row],[Gesamtcode]],Tabelle132[Gesamtcode],0))</f>
        <v>#N/A</v>
      </c>
      <c r="G449" t="e">
        <f>INDEX(Tabelle13[Gewerknr.],MATCH(Tabelle7[[#This Row],[Gewerke]],Tabelle13[Hauptgruppe],0))</f>
        <v>#N/A</v>
      </c>
      <c r="H449" t="s">
        <v>280</v>
      </c>
      <c r="I449" t="e">
        <f ca="1">INDEX(Tabelle134[Funktionsbereichsnr.],MATCH(Tabelle7[[#This Row],[Funktionsbereiche]],INDIRECT("Tabelle134["&amp;Tabelle7[[#This Row],[Gewerke]]&amp;"]"),0))</f>
        <v>#N/A</v>
      </c>
      <c r="J449" t="e">
        <f>Tabelle7[[#This Row],[Gesamtcode]]&amp;"_"&amp;Tabelle7[[#This Row],[Zone]]&amp;"_"&amp;Tabelle7[[#This Row],[Raum]]&amp;"_"&amp;Tabelle7[[#This Row],[Bezeichnung]]</f>
        <v>#N/A</v>
      </c>
      <c r="K449">
        <v>28</v>
      </c>
      <c r="L449" t="e">
        <f>Tabelle7[[#This Row],[Hauptgruppe]]&amp;"/-/-"</f>
        <v>#N/A</v>
      </c>
      <c r="M449" t="e">
        <f ca="1">Tabelle7[[#This Row],[Hauptgruppe]]&amp;"/"&amp;Tabelle7[[#This Row],[Mittelgruppe]]&amp;"/-"</f>
        <v>#N/A</v>
      </c>
      <c r="N449" t="e">
        <f ca="1">Tabelle7[[#This Row],[Hauptgruppe]]&amp;"/"&amp;Tabelle7[[#This Row],[Mittelgruppe]]&amp;"/"&amp;Tabelle7[[#This Row],[Untergruppe]]</f>
        <v>#N/A</v>
      </c>
      <c r="O449" t="e">
        <f>INDEX(Tabelle6[Aktor],MATCH(Tabelle7[[#This Row],[Gesamtcode]],Tabelle6[Gesamtcode],0))&amp;" "&amp;INDEX(Tabelle6[Aktorkanal],MATCH(Tabelle7[[#This Row],[Gesamtcode]],Tabelle6[Gesamtcode],0))</f>
        <v>#N/A</v>
      </c>
    </row>
    <row r="450" spans="2:15" x14ac:dyDescent="0.25">
      <c r="B450" t="s">
        <v>332</v>
      </c>
      <c r="C450" t="e">
        <f>INDEX(Tabelle132[Zone],MATCH(Tabelle7[[#This Row],[Gesamtcode]],Tabelle132[Gesamtcode],0))</f>
        <v>#N/A</v>
      </c>
      <c r="D450" t="e">
        <f>INDEX(Tabelle132[Raum],MATCH(Tabelle7[[#This Row],[Gesamtcode]],Tabelle132[Gesamtcode],0))</f>
        <v>#N/A</v>
      </c>
      <c r="E450" t="e">
        <f>INDEX(Tabelle132[Bezeichnung],MATCH(Tabelle7[[#This Row],[Gesamtcode]],Tabelle132[Gesamtcode],0))</f>
        <v>#N/A</v>
      </c>
      <c r="F450" t="e">
        <f>"_"&amp;INDEX(Tabelle132[Geräte/Gewerke],MATCH(Tabelle7[[#This Row],[Gesamtcode]],Tabelle132[Gesamtcode],0))</f>
        <v>#N/A</v>
      </c>
      <c r="G450" t="e">
        <f>INDEX(Tabelle13[Gewerknr.],MATCH(Tabelle7[[#This Row],[Gewerke]],Tabelle13[Hauptgruppe],0))</f>
        <v>#N/A</v>
      </c>
      <c r="H450" t="s">
        <v>280</v>
      </c>
      <c r="I450" t="e">
        <f ca="1">INDEX(Tabelle134[Funktionsbereichsnr.],MATCH(Tabelle7[[#This Row],[Funktionsbereiche]],INDIRECT("Tabelle134["&amp;Tabelle7[[#This Row],[Gewerke]]&amp;"]"),0))</f>
        <v>#N/A</v>
      </c>
      <c r="J450" t="e">
        <f>Tabelle7[[#This Row],[Gesamtcode]]&amp;"_"&amp;Tabelle7[[#This Row],[Zone]]&amp;"_"&amp;Tabelle7[[#This Row],[Raum]]&amp;"_"&amp;Tabelle7[[#This Row],[Bezeichnung]]</f>
        <v>#N/A</v>
      </c>
      <c r="K450">
        <v>29</v>
      </c>
      <c r="L450" t="e">
        <f>Tabelle7[[#This Row],[Hauptgruppe]]&amp;"/-/-"</f>
        <v>#N/A</v>
      </c>
      <c r="M450" t="e">
        <f ca="1">Tabelle7[[#This Row],[Hauptgruppe]]&amp;"/"&amp;Tabelle7[[#This Row],[Mittelgruppe]]&amp;"/-"</f>
        <v>#N/A</v>
      </c>
      <c r="N450" t="e">
        <f ca="1">Tabelle7[[#This Row],[Hauptgruppe]]&amp;"/"&amp;Tabelle7[[#This Row],[Mittelgruppe]]&amp;"/"&amp;Tabelle7[[#This Row],[Untergruppe]]</f>
        <v>#N/A</v>
      </c>
      <c r="O450" t="e">
        <f>INDEX(Tabelle6[Aktor],MATCH(Tabelle7[[#This Row],[Gesamtcode]],Tabelle6[Gesamtcode],0))&amp;" "&amp;INDEX(Tabelle6[Aktorkanal],MATCH(Tabelle7[[#This Row],[Gesamtcode]],Tabelle6[Gesamtcode],0))</f>
        <v>#N/A</v>
      </c>
    </row>
    <row r="451" spans="2:15" x14ac:dyDescent="0.25">
      <c r="B451" t="s">
        <v>333</v>
      </c>
      <c r="C451" t="e">
        <f>INDEX(Tabelle132[Zone],MATCH(Tabelle7[[#This Row],[Gesamtcode]],Tabelle132[Gesamtcode],0))</f>
        <v>#N/A</v>
      </c>
      <c r="D451" t="e">
        <f>INDEX(Tabelle132[Raum],MATCH(Tabelle7[[#This Row],[Gesamtcode]],Tabelle132[Gesamtcode],0))</f>
        <v>#N/A</v>
      </c>
      <c r="E451" t="e">
        <f>INDEX(Tabelle132[Bezeichnung],MATCH(Tabelle7[[#This Row],[Gesamtcode]],Tabelle132[Gesamtcode],0))</f>
        <v>#N/A</v>
      </c>
      <c r="F451" t="e">
        <f>"_"&amp;INDEX(Tabelle132[Geräte/Gewerke],MATCH(Tabelle7[[#This Row],[Gesamtcode]],Tabelle132[Gesamtcode],0))</f>
        <v>#N/A</v>
      </c>
      <c r="G451" t="e">
        <f>INDEX(Tabelle13[Gewerknr.],MATCH(Tabelle7[[#This Row],[Gewerke]],Tabelle13[Hauptgruppe],0))</f>
        <v>#N/A</v>
      </c>
      <c r="H451" t="s">
        <v>280</v>
      </c>
      <c r="I451" t="e">
        <f ca="1">INDEX(Tabelle134[Funktionsbereichsnr.],MATCH(Tabelle7[[#This Row],[Funktionsbereiche]],INDIRECT("Tabelle134["&amp;Tabelle7[[#This Row],[Gewerke]]&amp;"]"),0))</f>
        <v>#N/A</v>
      </c>
      <c r="J451" t="e">
        <f>Tabelle7[[#This Row],[Gesamtcode]]&amp;"_"&amp;Tabelle7[[#This Row],[Zone]]&amp;"_"&amp;Tabelle7[[#This Row],[Raum]]&amp;"_"&amp;Tabelle7[[#This Row],[Bezeichnung]]</f>
        <v>#N/A</v>
      </c>
      <c r="K451">
        <v>3</v>
      </c>
      <c r="L451" t="e">
        <f>Tabelle7[[#This Row],[Hauptgruppe]]&amp;"/-/-"</f>
        <v>#N/A</v>
      </c>
      <c r="M451" t="e">
        <f ca="1">Tabelle7[[#This Row],[Hauptgruppe]]&amp;"/"&amp;Tabelle7[[#This Row],[Mittelgruppe]]&amp;"/-"</f>
        <v>#N/A</v>
      </c>
      <c r="N451" t="e">
        <f ca="1">Tabelle7[[#This Row],[Hauptgruppe]]&amp;"/"&amp;Tabelle7[[#This Row],[Mittelgruppe]]&amp;"/"&amp;Tabelle7[[#This Row],[Untergruppe]]</f>
        <v>#N/A</v>
      </c>
      <c r="O451" t="e">
        <f>INDEX(Tabelle6[Aktor],MATCH(Tabelle7[[#This Row],[Gesamtcode]],Tabelle6[Gesamtcode],0))&amp;" "&amp;INDEX(Tabelle6[Aktorkanal],MATCH(Tabelle7[[#This Row],[Gesamtcode]],Tabelle6[Gesamtcode],0))</f>
        <v>#N/A</v>
      </c>
    </row>
    <row r="452" spans="2:15" x14ac:dyDescent="0.25">
      <c r="B452" t="s">
        <v>334</v>
      </c>
      <c r="C452" t="e">
        <f>INDEX(Tabelle132[Zone],MATCH(Tabelle7[[#This Row],[Gesamtcode]],Tabelle132[Gesamtcode],0))</f>
        <v>#N/A</v>
      </c>
      <c r="D452" t="e">
        <f>INDEX(Tabelle132[Raum],MATCH(Tabelle7[[#This Row],[Gesamtcode]],Tabelle132[Gesamtcode],0))</f>
        <v>#N/A</v>
      </c>
      <c r="E452" t="e">
        <f>INDEX(Tabelle132[Bezeichnung],MATCH(Tabelle7[[#This Row],[Gesamtcode]],Tabelle132[Gesamtcode],0))</f>
        <v>#N/A</v>
      </c>
      <c r="F452" t="e">
        <f>"_"&amp;INDEX(Tabelle132[Geräte/Gewerke],MATCH(Tabelle7[[#This Row],[Gesamtcode]],Tabelle132[Gesamtcode],0))</f>
        <v>#N/A</v>
      </c>
      <c r="G452" t="e">
        <f>INDEX(Tabelle13[Gewerknr.],MATCH(Tabelle7[[#This Row],[Gewerke]],Tabelle13[Hauptgruppe],0))</f>
        <v>#N/A</v>
      </c>
      <c r="H452" t="s">
        <v>280</v>
      </c>
      <c r="I452" t="e">
        <f ca="1">INDEX(Tabelle134[Funktionsbereichsnr.],MATCH(Tabelle7[[#This Row],[Funktionsbereiche]],INDIRECT("Tabelle134["&amp;Tabelle7[[#This Row],[Gewerke]]&amp;"]"),0))</f>
        <v>#N/A</v>
      </c>
      <c r="J452" t="e">
        <f>Tabelle7[[#This Row],[Gesamtcode]]&amp;"_"&amp;Tabelle7[[#This Row],[Zone]]&amp;"_"&amp;Tabelle7[[#This Row],[Raum]]&amp;"_"&amp;Tabelle7[[#This Row],[Bezeichnung]]</f>
        <v>#N/A</v>
      </c>
      <c r="K452">
        <v>30</v>
      </c>
      <c r="L452" t="e">
        <f>Tabelle7[[#This Row],[Hauptgruppe]]&amp;"/-/-"</f>
        <v>#N/A</v>
      </c>
      <c r="M452" t="e">
        <f ca="1">Tabelle7[[#This Row],[Hauptgruppe]]&amp;"/"&amp;Tabelle7[[#This Row],[Mittelgruppe]]&amp;"/-"</f>
        <v>#N/A</v>
      </c>
      <c r="N452" t="e">
        <f ca="1">Tabelle7[[#This Row],[Hauptgruppe]]&amp;"/"&amp;Tabelle7[[#This Row],[Mittelgruppe]]&amp;"/"&amp;Tabelle7[[#This Row],[Untergruppe]]</f>
        <v>#N/A</v>
      </c>
      <c r="O452" t="e">
        <f>INDEX(Tabelle6[Aktor],MATCH(Tabelle7[[#This Row],[Gesamtcode]],Tabelle6[Gesamtcode],0))&amp;" "&amp;INDEX(Tabelle6[Aktorkanal],MATCH(Tabelle7[[#This Row],[Gesamtcode]],Tabelle6[Gesamtcode],0))</f>
        <v>#N/A</v>
      </c>
    </row>
    <row r="453" spans="2:15" x14ac:dyDescent="0.25">
      <c r="B453" t="s">
        <v>335</v>
      </c>
      <c r="C453" t="e">
        <f>INDEX(Tabelle132[Zone],MATCH(Tabelle7[[#This Row],[Gesamtcode]],Tabelle132[Gesamtcode],0))</f>
        <v>#N/A</v>
      </c>
      <c r="D453" t="e">
        <f>INDEX(Tabelle132[Raum],MATCH(Tabelle7[[#This Row],[Gesamtcode]],Tabelle132[Gesamtcode],0))</f>
        <v>#N/A</v>
      </c>
      <c r="E453" t="e">
        <f>INDEX(Tabelle132[Bezeichnung],MATCH(Tabelle7[[#This Row],[Gesamtcode]],Tabelle132[Gesamtcode],0))</f>
        <v>#N/A</v>
      </c>
      <c r="F453" t="e">
        <f>"_"&amp;INDEX(Tabelle132[Geräte/Gewerke],MATCH(Tabelle7[[#This Row],[Gesamtcode]],Tabelle132[Gesamtcode],0))</f>
        <v>#N/A</v>
      </c>
      <c r="G453" t="e">
        <f>INDEX(Tabelle13[Gewerknr.],MATCH(Tabelle7[[#This Row],[Gewerke]],Tabelle13[Hauptgruppe],0))</f>
        <v>#N/A</v>
      </c>
      <c r="H453" t="s">
        <v>280</v>
      </c>
      <c r="I453" t="e">
        <f ca="1">INDEX(Tabelle134[Funktionsbereichsnr.],MATCH(Tabelle7[[#This Row],[Funktionsbereiche]],INDIRECT("Tabelle134["&amp;Tabelle7[[#This Row],[Gewerke]]&amp;"]"),0))</f>
        <v>#N/A</v>
      </c>
      <c r="J453" t="e">
        <f>Tabelle7[[#This Row],[Gesamtcode]]&amp;"_"&amp;Tabelle7[[#This Row],[Zone]]&amp;"_"&amp;Tabelle7[[#This Row],[Raum]]&amp;"_"&amp;Tabelle7[[#This Row],[Bezeichnung]]</f>
        <v>#N/A</v>
      </c>
      <c r="K453">
        <v>31</v>
      </c>
      <c r="L453" t="e">
        <f>Tabelle7[[#This Row],[Hauptgruppe]]&amp;"/-/-"</f>
        <v>#N/A</v>
      </c>
      <c r="M453" t="e">
        <f ca="1">Tabelle7[[#This Row],[Hauptgruppe]]&amp;"/"&amp;Tabelle7[[#This Row],[Mittelgruppe]]&amp;"/-"</f>
        <v>#N/A</v>
      </c>
      <c r="N453" t="e">
        <f ca="1">Tabelle7[[#This Row],[Hauptgruppe]]&amp;"/"&amp;Tabelle7[[#This Row],[Mittelgruppe]]&amp;"/"&amp;Tabelle7[[#This Row],[Untergruppe]]</f>
        <v>#N/A</v>
      </c>
      <c r="O453" t="e">
        <f>INDEX(Tabelle6[Aktor],MATCH(Tabelle7[[#This Row],[Gesamtcode]],Tabelle6[Gesamtcode],0))&amp;" "&amp;INDEX(Tabelle6[Aktorkanal],MATCH(Tabelle7[[#This Row],[Gesamtcode]],Tabelle6[Gesamtcode],0))</f>
        <v>#N/A</v>
      </c>
    </row>
    <row r="454" spans="2:15" x14ac:dyDescent="0.25">
      <c r="B454" t="s">
        <v>336</v>
      </c>
      <c r="C454" t="e">
        <f>INDEX(Tabelle132[Zone],MATCH(Tabelle7[[#This Row],[Gesamtcode]],Tabelle132[Gesamtcode],0))</f>
        <v>#N/A</v>
      </c>
      <c r="D454" t="e">
        <f>INDEX(Tabelle132[Raum],MATCH(Tabelle7[[#This Row],[Gesamtcode]],Tabelle132[Gesamtcode],0))</f>
        <v>#N/A</v>
      </c>
      <c r="E454" t="e">
        <f>INDEX(Tabelle132[Bezeichnung],MATCH(Tabelle7[[#This Row],[Gesamtcode]],Tabelle132[Gesamtcode],0))</f>
        <v>#N/A</v>
      </c>
      <c r="F454" t="e">
        <f>"_"&amp;INDEX(Tabelle132[Geräte/Gewerke],MATCH(Tabelle7[[#This Row],[Gesamtcode]],Tabelle132[Gesamtcode],0))</f>
        <v>#N/A</v>
      </c>
      <c r="G454" t="e">
        <f>INDEX(Tabelle13[Gewerknr.],MATCH(Tabelle7[[#This Row],[Gewerke]],Tabelle13[Hauptgruppe],0))</f>
        <v>#N/A</v>
      </c>
      <c r="H454" t="s">
        <v>280</v>
      </c>
      <c r="I454" t="e">
        <f ca="1">INDEX(Tabelle134[Funktionsbereichsnr.],MATCH(Tabelle7[[#This Row],[Funktionsbereiche]],INDIRECT("Tabelle134["&amp;Tabelle7[[#This Row],[Gewerke]]&amp;"]"),0))</f>
        <v>#N/A</v>
      </c>
      <c r="J454" t="e">
        <f>Tabelle7[[#This Row],[Gesamtcode]]&amp;"_"&amp;Tabelle7[[#This Row],[Zone]]&amp;"_"&amp;Tabelle7[[#This Row],[Raum]]&amp;"_"&amp;Tabelle7[[#This Row],[Bezeichnung]]</f>
        <v>#N/A</v>
      </c>
      <c r="K454">
        <v>32</v>
      </c>
      <c r="L454" t="e">
        <f>Tabelle7[[#This Row],[Hauptgruppe]]&amp;"/-/-"</f>
        <v>#N/A</v>
      </c>
      <c r="M454" t="e">
        <f ca="1">Tabelle7[[#This Row],[Hauptgruppe]]&amp;"/"&amp;Tabelle7[[#This Row],[Mittelgruppe]]&amp;"/-"</f>
        <v>#N/A</v>
      </c>
      <c r="N454" t="e">
        <f ca="1">Tabelle7[[#This Row],[Hauptgruppe]]&amp;"/"&amp;Tabelle7[[#This Row],[Mittelgruppe]]&amp;"/"&amp;Tabelle7[[#This Row],[Untergruppe]]</f>
        <v>#N/A</v>
      </c>
      <c r="O454" t="e">
        <f>INDEX(Tabelle6[Aktor],MATCH(Tabelle7[[#This Row],[Gesamtcode]],Tabelle6[Gesamtcode],0))&amp;" "&amp;INDEX(Tabelle6[Aktorkanal],MATCH(Tabelle7[[#This Row],[Gesamtcode]],Tabelle6[Gesamtcode],0))</f>
        <v>#N/A</v>
      </c>
    </row>
    <row r="455" spans="2:15" x14ac:dyDescent="0.25">
      <c r="B455" t="s">
        <v>337</v>
      </c>
      <c r="C455" t="e">
        <f>INDEX(Tabelle132[Zone],MATCH(Tabelle7[[#This Row],[Gesamtcode]],Tabelle132[Gesamtcode],0))</f>
        <v>#N/A</v>
      </c>
      <c r="D455" t="e">
        <f>INDEX(Tabelle132[Raum],MATCH(Tabelle7[[#This Row],[Gesamtcode]],Tabelle132[Gesamtcode],0))</f>
        <v>#N/A</v>
      </c>
      <c r="E455" t="e">
        <f>INDEX(Tabelle132[Bezeichnung],MATCH(Tabelle7[[#This Row],[Gesamtcode]],Tabelle132[Gesamtcode],0))</f>
        <v>#N/A</v>
      </c>
      <c r="F455" t="e">
        <f>"_"&amp;INDEX(Tabelle132[Geräte/Gewerke],MATCH(Tabelle7[[#This Row],[Gesamtcode]],Tabelle132[Gesamtcode],0))</f>
        <v>#N/A</v>
      </c>
      <c r="G455" t="e">
        <f>INDEX(Tabelle13[Gewerknr.],MATCH(Tabelle7[[#This Row],[Gewerke]],Tabelle13[Hauptgruppe],0))</f>
        <v>#N/A</v>
      </c>
      <c r="H455" t="s">
        <v>280</v>
      </c>
      <c r="I455" t="e">
        <f ca="1">INDEX(Tabelle134[Funktionsbereichsnr.],MATCH(Tabelle7[[#This Row],[Funktionsbereiche]],INDIRECT("Tabelle134["&amp;Tabelle7[[#This Row],[Gewerke]]&amp;"]"),0))</f>
        <v>#N/A</v>
      </c>
      <c r="J455" t="e">
        <f>Tabelle7[[#This Row],[Gesamtcode]]&amp;"_"&amp;Tabelle7[[#This Row],[Zone]]&amp;"_"&amp;Tabelle7[[#This Row],[Raum]]&amp;"_"&amp;Tabelle7[[#This Row],[Bezeichnung]]</f>
        <v>#N/A</v>
      </c>
      <c r="K455">
        <v>33</v>
      </c>
      <c r="L455" t="e">
        <f>Tabelle7[[#This Row],[Hauptgruppe]]&amp;"/-/-"</f>
        <v>#N/A</v>
      </c>
      <c r="M455" t="e">
        <f ca="1">Tabelle7[[#This Row],[Hauptgruppe]]&amp;"/"&amp;Tabelle7[[#This Row],[Mittelgruppe]]&amp;"/-"</f>
        <v>#N/A</v>
      </c>
      <c r="N455" t="e">
        <f ca="1">Tabelle7[[#This Row],[Hauptgruppe]]&amp;"/"&amp;Tabelle7[[#This Row],[Mittelgruppe]]&amp;"/"&amp;Tabelle7[[#This Row],[Untergruppe]]</f>
        <v>#N/A</v>
      </c>
      <c r="O455" t="e">
        <f>INDEX(Tabelle6[Aktor],MATCH(Tabelle7[[#This Row],[Gesamtcode]],Tabelle6[Gesamtcode],0))&amp;" "&amp;INDEX(Tabelle6[Aktorkanal],MATCH(Tabelle7[[#This Row],[Gesamtcode]],Tabelle6[Gesamtcode],0))</f>
        <v>#N/A</v>
      </c>
    </row>
    <row r="456" spans="2:15" x14ac:dyDescent="0.25">
      <c r="B456" t="s">
        <v>338</v>
      </c>
      <c r="C456" t="e">
        <f>INDEX(Tabelle132[Zone],MATCH(Tabelle7[[#This Row],[Gesamtcode]],Tabelle132[Gesamtcode],0))</f>
        <v>#N/A</v>
      </c>
      <c r="D456" t="e">
        <f>INDEX(Tabelle132[Raum],MATCH(Tabelle7[[#This Row],[Gesamtcode]],Tabelle132[Gesamtcode],0))</f>
        <v>#N/A</v>
      </c>
      <c r="E456" t="e">
        <f>INDEX(Tabelle132[Bezeichnung],MATCH(Tabelle7[[#This Row],[Gesamtcode]],Tabelle132[Gesamtcode],0))</f>
        <v>#N/A</v>
      </c>
      <c r="F456" t="e">
        <f>"_"&amp;INDEX(Tabelle132[Geräte/Gewerke],MATCH(Tabelle7[[#This Row],[Gesamtcode]],Tabelle132[Gesamtcode],0))</f>
        <v>#N/A</v>
      </c>
      <c r="G456" t="e">
        <f>INDEX(Tabelle13[Gewerknr.],MATCH(Tabelle7[[#This Row],[Gewerke]],Tabelle13[Hauptgruppe],0))</f>
        <v>#N/A</v>
      </c>
      <c r="H456" t="s">
        <v>280</v>
      </c>
      <c r="I456" t="e">
        <f ca="1">INDEX(Tabelle134[Funktionsbereichsnr.],MATCH(Tabelle7[[#This Row],[Funktionsbereiche]],INDIRECT("Tabelle134["&amp;Tabelle7[[#This Row],[Gewerke]]&amp;"]"),0))</f>
        <v>#N/A</v>
      </c>
      <c r="J456" t="e">
        <f>Tabelle7[[#This Row],[Gesamtcode]]&amp;"_"&amp;Tabelle7[[#This Row],[Zone]]&amp;"_"&amp;Tabelle7[[#This Row],[Raum]]&amp;"_"&amp;Tabelle7[[#This Row],[Bezeichnung]]</f>
        <v>#N/A</v>
      </c>
      <c r="K456">
        <v>4</v>
      </c>
      <c r="L456" t="e">
        <f>Tabelle7[[#This Row],[Hauptgruppe]]&amp;"/-/-"</f>
        <v>#N/A</v>
      </c>
      <c r="M456" t="e">
        <f ca="1">Tabelle7[[#This Row],[Hauptgruppe]]&amp;"/"&amp;Tabelle7[[#This Row],[Mittelgruppe]]&amp;"/-"</f>
        <v>#N/A</v>
      </c>
      <c r="N456" t="e">
        <f ca="1">Tabelle7[[#This Row],[Hauptgruppe]]&amp;"/"&amp;Tabelle7[[#This Row],[Mittelgruppe]]&amp;"/"&amp;Tabelle7[[#This Row],[Untergruppe]]</f>
        <v>#N/A</v>
      </c>
      <c r="O456" t="e">
        <f>INDEX(Tabelle6[Aktor],MATCH(Tabelle7[[#This Row],[Gesamtcode]],Tabelle6[Gesamtcode],0))&amp;" "&amp;INDEX(Tabelle6[Aktorkanal],MATCH(Tabelle7[[#This Row],[Gesamtcode]],Tabelle6[Gesamtcode],0))</f>
        <v>#N/A</v>
      </c>
    </row>
    <row r="457" spans="2:15" x14ac:dyDescent="0.25">
      <c r="B457" t="s">
        <v>339</v>
      </c>
      <c r="C457" t="e">
        <f>INDEX(Tabelle132[Zone],MATCH(Tabelle7[[#This Row],[Gesamtcode]],Tabelle132[Gesamtcode],0))</f>
        <v>#N/A</v>
      </c>
      <c r="D457" t="e">
        <f>INDEX(Tabelle132[Raum],MATCH(Tabelle7[[#This Row],[Gesamtcode]],Tabelle132[Gesamtcode],0))</f>
        <v>#N/A</v>
      </c>
      <c r="E457" t="e">
        <f>INDEX(Tabelle132[Bezeichnung],MATCH(Tabelle7[[#This Row],[Gesamtcode]],Tabelle132[Gesamtcode],0))</f>
        <v>#N/A</v>
      </c>
      <c r="F457" t="e">
        <f>"_"&amp;INDEX(Tabelle132[Geräte/Gewerke],MATCH(Tabelle7[[#This Row],[Gesamtcode]],Tabelle132[Gesamtcode],0))</f>
        <v>#N/A</v>
      </c>
      <c r="G457" t="e">
        <f>INDEX(Tabelle13[Gewerknr.],MATCH(Tabelle7[[#This Row],[Gewerke]],Tabelle13[Hauptgruppe],0))</f>
        <v>#N/A</v>
      </c>
      <c r="H457" t="s">
        <v>280</v>
      </c>
      <c r="I457" t="e">
        <f ca="1">INDEX(Tabelle134[Funktionsbereichsnr.],MATCH(Tabelle7[[#This Row],[Funktionsbereiche]],INDIRECT("Tabelle134["&amp;Tabelle7[[#This Row],[Gewerke]]&amp;"]"),0))</f>
        <v>#N/A</v>
      </c>
      <c r="J457" t="e">
        <f>Tabelle7[[#This Row],[Gesamtcode]]&amp;"_"&amp;Tabelle7[[#This Row],[Zone]]&amp;"_"&amp;Tabelle7[[#This Row],[Raum]]&amp;"_"&amp;Tabelle7[[#This Row],[Bezeichnung]]</f>
        <v>#N/A</v>
      </c>
      <c r="K457">
        <v>5</v>
      </c>
      <c r="L457" t="e">
        <f>Tabelle7[[#This Row],[Hauptgruppe]]&amp;"/-/-"</f>
        <v>#N/A</v>
      </c>
      <c r="M457" t="e">
        <f ca="1">Tabelle7[[#This Row],[Hauptgruppe]]&amp;"/"&amp;Tabelle7[[#This Row],[Mittelgruppe]]&amp;"/-"</f>
        <v>#N/A</v>
      </c>
      <c r="N457" t="e">
        <f ca="1">Tabelle7[[#This Row],[Hauptgruppe]]&amp;"/"&amp;Tabelle7[[#This Row],[Mittelgruppe]]&amp;"/"&amp;Tabelle7[[#This Row],[Untergruppe]]</f>
        <v>#N/A</v>
      </c>
      <c r="O457" t="e">
        <f>INDEX(Tabelle6[Aktor],MATCH(Tabelle7[[#This Row],[Gesamtcode]],Tabelle6[Gesamtcode],0))&amp;" "&amp;INDEX(Tabelle6[Aktorkanal],MATCH(Tabelle7[[#This Row],[Gesamtcode]],Tabelle6[Gesamtcode],0))</f>
        <v>#N/A</v>
      </c>
    </row>
    <row r="458" spans="2:15" x14ac:dyDescent="0.25">
      <c r="B458" t="s">
        <v>340</v>
      </c>
      <c r="C458" t="e">
        <f>INDEX(Tabelle132[Zone],MATCH(Tabelle7[[#This Row],[Gesamtcode]],Tabelle132[Gesamtcode],0))</f>
        <v>#N/A</v>
      </c>
      <c r="D458" t="e">
        <f>INDEX(Tabelle132[Raum],MATCH(Tabelle7[[#This Row],[Gesamtcode]],Tabelle132[Gesamtcode],0))</f>
        <v>#N/A</v>
      </c>
      <c r="E458" t="e">
        <f>INDEX(Tabelle132[Bezeichnung],MATCH(Tabelle7[[#This Row],[Gesamtcode]],Tabelle132[Gesamtcode],0))</f>
        <v>#N/A</v>
      </c>
      <c r="F458" t="e">
        <f>"_"&amp;INDEX(Tabelle132[Geräte/Gewerke],MATCH(Tabelle7[[#This Row],[Gesamtcode]],Tabelle132[Gesamtcode],0))</f>
        <v>#N/A</v>
      </c>
      <c r="G458" t="e">
        <f>INDEX(Tabelle13[Gewerknr.],MATCH(Tabelle7[[#This Row],[Gewerke]],Tabelle13[Hauptgruppe],0))</f>
        <v>#N/A</v>
      </c>
      <c r="H458" t="s">
        <v>280</v>
      </c>
      <c r="I458" t="e">
        <f ca="1">INDEX(Tabelle134[Funktionsbereichsnr.],MATCH(Tabelle7[[#This Row],[Funktionsbereiche]],INDIRECT("Tabelle134["&amp;Tabelle7[[#This Row],[Gewerke]]&amp;"]"),0))</f>
        <v>#N/A</v>
      </c>
      <c r="J458" t="e">
        <f>Tabelle7[[#This Row],[Gesamtcode]]&amp;"_"&amp;Tabelle7[[#This Row],[Zone]]&amp;"_"&amp;Tabelle7[[#This Row],[Raum]]&amp;"_"&amp;Tabelle7[[#This Row],[Bezeichnung]]</f>
        <v>#N/A</v>
      </c>
      <c r="K458">
        <v>6</v>
      </c>
      <c r="L458" t="e">
        <f>Tabelle7[[#This Row],[Hauptgruppe]]&amp;"/-/-"</f>
        <v>#N/A</v>
      </c>
      <c r="M458" t="e">
        <f ca="1">Tabelle7[[#This Row],[Hauptgruppe]]&amp;"/"&amp;Tabelle7[[#This Row],[Mittelgruppe]]&amp;"/-"</f>
        <v>#N/A</v>
      </c>
      <c r="N458" t="e">
        <f ca="1">Tabelle7[[#This Row],[Hauptgruppe]]&amp;"/"&amp;Tabelle7[[#This Row],[Mittelgruppe]]&amp;"/"&amp;Tabelle7[[#This Row],[Untergruppe]]</f>
        <v>#N/A</v>
      </c>
      <c r="O458" t="e">
        <f>INDEX(Tabelle6[Aktor],MATCH(Tabelle7[[#This Row],[Gesamtcode]],Tabelle6[Gesamtcode],0))&amp;" "&amp;INDEX(Tabelle6[Aktorkanal],MATCH(Tabelle7[[#This Row],[Gesamtcode]],Tabelle6[Gesamtcode],0))</f>
        <v>#N/A</v>
      </c>
    </row>
    <row r="459" spans="2:15" x14ac:dyDescent="0.25">
      <c r="B459" t="s">
        <v>341</v>
      </c>
      <c r="C459" t="e">
        <f>INDEX(Tabelle132[Zone],MATCH(Tabelle7[[#This Row],[Gesamtcode]],Tabelle132[Gesamtcode],0))</f>
        <v>#N/A</v>
      </c>
      <c r="D459" t="e">
        <f>INDEX(Tabelle132[Raum],MATCH(Tabelle7[[#This Row],[Gesamtcode]],Tabelle132[Gesamtcode],0))</f>
        <v>#N/A</v>
      </c>
      <c r="E459" t="e">
        <f>INDEX(Tabelle132[Bezeichnung],MATCH(Tabelle7[[#This Row],[Gesamtcode]],Tabelle132[Gesamtcode],0))</f>
        <v>#N/A</v>
      </c>
      <c r="F459" t="e">
        <f>"_"&amp;INDEX(Tabelle132[Geräte/Gewerke],MATCH(Tabelle7[[#This Row],[Gesamtcode]],Tabelle132[Gesamtcode],0))</f>
        <v>#N/A</v>
      </c>
      <c r="G459" t="e">
        <f>INDEX(Tabelle13[Gewerknr.],MATCH(Tabelle7[[#This Row],[Gewerke]],Tabelle13[Hauptgruppe],0))</f>
        <v>#N/A</v>
      </c>
      <c r="H459" t="s">
        <v>280</v>
      </c>
      <c r="I459" t="e">
        <f ca="1">INDEX(Tabelle134[Funktionsbereichsnr.],MATCH(Tabelle7[[#This Row],[Funktionsbereiche]],INDIRECT("Tabelle134["&amp;Tabelle7[[#This Row],[Gewerke]]&amp;"]"),0))</f>
        <v>#N/A</v>
      </c>
      <c r="J459" t="e">
        <f>Tabelle7[[#This Row],[Gesamtcode]]&amp;"_"&amp;Tabelle7[[#This Row],[Zone]]&amp;"_"&amp;Tabelle7[[#This Row],[Raum]]&amp;"_"&amp;Tabelle7[[#This Row],[Bezeichnung]]</f>
        <v>#N/A</v>
      </c>
      <c r="K459">
        <v>7</v>
      </c>
      <c r="L459" t="e">
        <f>Tabelle7[[#This Row],[Hauptgruppe]]&amp;"/-/-"</f>
        <v>#N/A</v>
      </c>
      <c r="M459" t="e">
        <f ca="1">Tabelle7[[#This Row],[Hauptgruppe]]&amp;"/"&amp;Tabelle7[[#This Row],[Mittelgruppe]]&amp;"/-"</f>
        <v>#N/A</v>
      </c>
      <c r="N459" t="e">
        <f ca="1">Tabelle7[[#This Row],[Hauptgruppe]]&amp;"/"&amp;Tabelle7[[#This Row],[Mittelgruppe]]&amp;"/"&amp;Tabelle7[[#This Row],[Untergruppe]]</f>
        <v>#N/A</v>
      </c>
      <c r="O459" t="e">
        <f>INDEX(Tabelle6[Aktor],MATCH(Tabelle7[[#This Row],[Gesamtcode]],Tabelle6[Gesamtcode],0))&amp;" "&amp;INDEX(Tabelle6[Aktorkanal],MATCH(Tabelle7[[#This Row],[Gesamtcode]],Tabelle6[Gesamtcode],0))</f>
        <v>#N/A</v>
      </c>
    </row>
    <row r="460" spans="2:15" x14ac:dyDescent="0.25">
      <c r="B460" t="s">
        <v>342</v>
      </c>
      <c r="C460" t="e">
        <f>INDEX(Tabelle132[Zone],MATCH(Tabelle7[[#This Row],[Gesamtcode]],Tabelle132[Gesamtcode],0))</f>
        <v>#N/A</v>
      </c>
      <c r="D460" t="e">
        <f>INDEX(Tabelle132[Raum],MATCH(Tabelle7[[#This Row],[Gesamtcode]],Tabelle132[Gesamtcode],0))</f>
        <v>#N/A</v>
      </c>
      <c r="E460" t="e">
        <f>INDEX(Tabelle132[Bezeichnung],MATCH(Tabelle7[[#This Row],[Gesamtcode]],Tabelle132[Gesamtcode],0))</f>
        <v>#N/A</v>
      </c>
      <c r="F460" t="e">
        <f>"_"&amp;INDEX(Tabelle132[Geräte/Gewerke],MATCH(Tabelle7[[#This Row],[Gesamtcode]],Tabelle132[Gesamtcode],0))</f>
        <v>#N/A</v>
      </c>
      <c r="G460" t="e">
        <f>INDEX(Tabelle13[Gewerknr.],MATCH(Tabelle7[[#This Row],[Gewerke]],Tabelle13[Hauptgruppe],0))</f>
        <v>#N/A</v>
      </c>
      <c r="H460" t="s">
        <v>280</v>
      </c>
      <c r="I460" t="e">
        <f ca="1">INDEX(Tabelle134[Funktionsbereichsnr.],MATCH(Tabelle7[[#This Row],[Funktionsbereiche]],INDIRECT("Tabelle134["&amp;Tabelle7[[#This Row],[Gewerke]]&amp;"]"),0))</f>
        <v>#N/A</v>
      </c>
      <c r="J460" t="e">
        <f>Tabelle7[[#This Row],[Gesamtcode]]&amp;"_"&amp;Tabelle7[[#This Row],[Zone]]&amp;"_"&amp;Tabelle7[[#This Row],[Raum]]&amp;"_"&amp;Tabelle7[[#This Row],[Bezeichnung]]</f>
        <v>#N/A</v>
      </c>
      <c r="K460">
        <v>8</v>
      </c>
      <c r="L460" t="e">
        <f>Tabelle7[[#This Row],[Hauptgruppe]]&amp;"/-/-"</f>
        <v>#N/A</v>
      </c>
      <c r="M460" t="e">
        <f ca="1">Tabelle7[[#This Row],[Hauptgruppe]]&amp;"/"&amp;Tabelle7[[#This Row],[Mittelgruppe]]&amp;"/-"</f>
        <v>#N/A</v>
      </c>
      <c r="N460" t="e">
        <f ca="1">Tabelle7[[#This Row],[Hauptgruppe]]&amp;"/"&amp;Tabelle7[[#This Row],[Mittelgruppe]]&amp;"/"&amp;Tabelle7[[#This Row],[Untergruppe]]</f>
        <v>#N/A</v>
      </c>
      <c r="O460" t="e">
        <f>INDEX(Tabelle6[Aktor],MATCH(Tabelle7[[#This Row],[Gesamtcode]],Tabelle6[Gesamtcode],0))&amp;" "&amp;INDEX(Tabelle6[Aktorkanal],MATCH(Tabelle7[[#This Row],[Gesamtcode]],Tabelle6[Gesamtcode],0))</f>
        <v>#N/A</v>
      </c>
    </row>
    <row r="461" spans="2:15" x14ac:dyDescent="0.25">
      <c r="B461" t="s">
        <v>343</v>
      </c>
      <c r="C461" t="e">
        <f>INDEX(Tabelle132[Zone],MATCH(Tabelle7[[#This Row],[Gesamtcode]],Tabelle132[Gesamtcode],0))</f>
        <v>#N/A</v>
      </c>
      <c r="D461" t="e">
        <f>INDEX(Tabelle132[Raum],MATCH(Tabelle7[[#This Row],[Gesamtcode]],Tabelle132[Gesamtcode],0))</f>
        <v>#N/A</v>
      </c>
      <c r="E461" t="e">
        <f>INDEX(Tabelle132[Bezeichnung],MATCH(Tabelle7[[#This Row],[Gesamtcode]],Tabelle132[Gesamtcode],0))</f>
        <v>#N/A</v>
      </c>
      <c r="F461" t="e">
        <f>"_"&amp;INDEX(Tabelle132[Geräte/Gewerke],MATCH(Tabelle7[[#This Row],[Gesamtcode]],Tabelle132[Gesamtcode],0))</f>
        <v>#N/A</v>
      </c>
      <c r="G461" t="e">
        <f>INDEX(Tabelle13[Gewerknr.],MATCH(Tabelle7[[#This Row],[Gewerke]],Tabelle13[Hauptgruppe],0))</f>
        <v>#N/A</v>
      </c>
      <c r="H461" t="s">
        <v>280</v>
      </c>
      <c r="I461" t="e">
        <f ca="1">INDEX(Tabelle134[Funktionsbereichsnr.],MATCH(Tabelle7[[#This Row],[Funktionsbereiche]],INDIRECT("Tabelle134["&amp;Tabelle7[[#This Row],[Gewerke]]&amp;"]"),0))</f>
        <v>#N/A</v>
      </c>
      <c r="J461" t="e">
        <f>Tabelle7[[#This Row],[Gesamtcode]]&amp;"_"&amp;Tabelle7[[#This Row],[Zone]]&amp;"_"&amp;Tabelle7[[#This Row],[Raum]]&amp;"_"&amp;Tabelle7[[#This Row],[Bezeichnung]]</f>
        <v>#N/A</v>
      </c>
      <c r="K461">
        <v>9</v>
      </c>
      <c r="L461" t="e">
        <f>Tabelle7[[#This Row],[Hauptgruppe]]&amp;"/-/-"</f>
        <v>#N/A</v>
      </c>
      <c r="M461" t="e">
        <f ca="1">Tabelle7[[#This Row],[Hauptgruppe]]&amp;"/"&amp;Tabelle7[[#This Row],[Mittelgruppe]]&amp;"/-"</f>
        <v>#N/A</v>
      </c>
      <c r="N461" t="e">
        <f ca="1">Tabelle7[[#This Row],[Hauptgruppe]]&amp;"/"&amp;Tabelle7[[#This Row],[Mittelgruppe]]&amp;"/"&amp;Tabelle7[[#This Row],[Untergruppe]]</f>
        <v>#N/A</v>
      </c>
      <c r="O461" t="e">
        <f>INDEX(Tabelle6[Aktor],MATCH(Tabelle7[[#This Row],[Gesamtcode]],Tabelle6[Gesamtcode],0))&amp;" "&amp;INDEX(Tabelle6[Aktorkanal],MATCH(Tabelle7[[#This Row],[Gesamtcode]],Tabelle6[Gesamtcode],0))</f>
        <v>#N/A</v>
      </c>
    </row>
    <row r="462" spans="2:15" x14ac:dyDescent="0.25">
      <c r="B462" t="s">
        <v>349</v>
      </c>
      <c r="C462" t="e">
        <f>INDEX(Tabelle132[Zone],MATCH(Tabelle7[[#This Row],[Gesamtcode]],Tabelle132[Gesamtcode],0))</f>
        <v>#N/A</v>
      </c>
      <c r="D462" t="e">
        <f>INDEX(Tabelle132[Raum],MATCH(Tabelle7[[#This Row],[Gesamtcode]],Tabelle132[Gesamtcode],0))</f>
        <v>#N/A</v>
      </c>
      <c r="E462" t="e">
        <f>INDEX(Tabelle132[Bezeichnung],MATCH(Tabelle7[[#This Row],[Gesamtcode]],Tabelle132[Gesamtcode],0))</f>
        <v>#N/A</v>
      </c>
      <c r="F462" t="e">
        <f>"_"&amp;INDEX(Tabelle132[Geräte/Gewerke],MATCH(Tabelle7[[#This Row],[Gesamtcode]],Tabelle132[Gesamtcode],0))</f>
        <v>#N/A</v>
      </c>
      <c r="G462" t="e">
        <f>INDEX(Tabelle13[Gewerknr.],MATCH(Tabelle7[[#This Row],[Gewerke]],Tabelle13[Hauptgruppe],0))</f>
        <v>#N/A</v>
      </c>
      <c r="H462" t="s">
        <v>255</v>
      </c>
      <c r="I462" t="e">
        <f ca="1">INDEX(Tabelle134[Funktionsbereichsnr.],MATCH(Tabelle7[[#This Row],[Funktionsbereiche]],INDIRECT("Tabelle134["&amp;Tabelle7[[#This Row],[Gewerke]]&amp;"]"),0))</f>
        <v>#N/A</v>
      </c>
      <c r="J462" t="e">
        <f>Tabelle7[[#This Row],[Gesamtcode]]&amp;"_"&amp;Tabelle7[[#This Row],[Zone]]&amp;"_"&amp;Tabelle7[[#This Row],[Raum]]&amp;"_"&amp;Tabelle7[[#This Row],[Bezeichnung]]</f>
        <v>#N/A</v>
      </c>
      <c r="K462">
        <v>0</v>
      </c>
      <c r="L462" t="e">
        <f>Tabelle7[[#This Row],[Hauptgruppe]]&amp;"/-/-"</f>
        <v>#N/A</v>
      </c>
      <c r="M462" t="e">
        <f ca="1">Tabelle7[[#This Row],[Hauptgruppe]]&amp;"/"&amp;Tabelle7[[#This Row],[Mittelgruppe]]&amp;"/-"</f>
        <v>#N/A</v>
      </c>
      <c r="N462" t="e">
        <f ca="1">Tabelle7[[#This Row],[Hauptgruppe]]&amp;"/"&amp;Tabelle7[[#This Row],[Mittelgruppe]]&amp;"/"&amp;Tabelle7[[#This Row],[Untergruppe]]</f>
        <v>#N/A</v>
      </c>
      <c r="O462" t="e">
        <f>INDEX(Tabelle6[Aktor],MATCH(Tabelle7[[#This Row],[Gesamtcode]],Tabelle6[Gesamtcode],0))&amp;" "&amp;INDEX(Tabelle6[Aktorkanal],MATCH(Tabelle7[[#This Row],[Gesamtcode]],Tabelle6[Gesamtcode],0))</f>
        <v>#N/A</v>
      </c>
    </row>
    <row r="463" spans="2:15" x14ac:dyDescent="0.25">
      <c r="B463" t="s">
        <v>350</v>
      </c>
      <c r="C463" t="e">
        <f>INDEX(Tabelle132[Zone],MATCH(Tabelle7[[#This Row],[Gesamtcode]],Tabelle132[Gesamtcode],0))</f>
        <v>#N/A</v>
      </c>
      <c r="D463" t="e">
        <f>INDEX(Tabelle132[Raum],MATCH(Tabelle7[[#This Row],[Gesamtcode]],Tabelle132[Gesamtcode],0))</f>
        <v>#N/A</v>
      </c>
      <c r="E463" t="e">
        <f>INDEX(Tabelle132[Bezeichnung],MATCH(Tabelle7[[#This Row],[Gesamtcode]],Tabelle132[Gesamtcode],0))</f>
        <v>#N/A</v>
      </c>
      <c r="F463" t="e">
        <f>"_"&amp;INDEX(Tabelle132[Geräte/Gewerke],MATCH(Tabelle7[[#This Row],[Gesamtcode]],Tabelle132[Gesamtcode],0))</f>
        <v>#N/A</v>
      </c>
      <c r="G463" t="e">
        <f>INDEX(Tabelle13[Gewerknr.],MATCH(Tabelle7[[#This Row],[Gewerke]],Tabelle13[Hauptgruppe],0))</f>
        <v>#N/A</v>
      </c>
      <c r="H463" t="s">
        <v>255</v>
      </c>
      <c r="I463" t="e">
        <f ca="1">INDEX(Tabelle134[Funktionsbereichsnr.],MATCH(Tabelle7[[#This Row],[Funktionsbereiche]],INDIRECT("Tabelle134["&amp;Tabelle7[[#This Row],[Gewerke]]&amp;"]"),0))</f>
        <v>#N/A</v>
      </c>
      <c r="J463" t="e">
        <f>Tabelle7[[#This Row],[Gesamtcode]]&amp;"_"&amp;Tabelle7[[#This Row],[Zone]]&amp;"_"&amp;Tabelle7[[#This Row],[Raum]]&amp;"_"&amp;Tabelle7[[#This Row],[Bezeichnung]]</f>
        <v>#N/A</v>
      </c>
      <c r="K463">
        <v>1</v>
      </c>
      <c r="L463" t="e">
        <f>Tabelle7[[#This Row],[Hauptgruppe]]&amp;"/-/-"</f>
        <v>#N/A</v>
      </c>
      <c r="M463" t="e">
        <f ca="1">Tabelle7[[#This Row],[Hauptgruppe]]&amp;"/"&amp;Tabelle7[[#This Row],[Mittelgruppe]]&amp;"/-"</f>
        <v>#N/A</v>
      </c>
      <c r="N463" t="e">
        <f ca="1">Tabelle7[[#This Row],[Hauptgruppe]]&amp;"/"&amp;Tabelle7[[#This Row],[Mittelgruppe]]&amp;"/"&amp;Tabelle7[[#This Row],[Untergruppe]]</f>
        <v>#N/A</v>
      </c>
      <c r="O463" t="e">
        <f>INDEX(Tabelle6[Aktor],MATCH(Tabelle7[[#This Row],[Gesamtcode]],Tabelle6[Gesamtcode],0))&amp;" "&amp;INDEX(Tabelle6[Aktorkanal],MATCH(Tabelle7[[#This Row],[Gesamtcode]],Tabelle6[Gesamtcode],0))</f>
        <v>#N/A</v>
      </c>
    </row>
    <row r="464" spans="2:15" x14ac:dyDescent="0.25">
      <c r="B464" t="s">
        <v>351</v>
      </c>
      <c r="C464" t="e">
        <f>INDEX(Tabelle132[Zone],MATCH(Tabelle7[[#This Row],[Gesamtcode]],Tabelle132[Gesamtcode],0))</f>
        <v>#N/A</v>
      </c>
      <c r="D464" t="e">
        <f>INDEX(Tabelle132[Raum],MATCH(Tabelle7[[#This Row],[Gesamtcode]],Tabelle132[Gesamtcode],0))</f>
        <v>#N/A</v>
      </c>
      <c r="E464" t="e">
        <f>INDEX(Tabelle132[Bezeichnung],MATCH(Tabelle7[[#This Row],[Gesamtcode]],Tabelle132[Gesamtcode],0))</f>
        <v>#N/A</v>
      </c>
      <c r="F464" t="e">
        <f>"_"&amp;INDEX(Tabelle132[Geräte/Gewerke],MATCH(Tabelle7[[#This Row],[Gesamtcode]],Tabelle132[Gesamtcode],0))</f>
        <v>#N/A</v>
      </c>
      <c r="G464" t="e">
        <f>INDEX(Tabelle13[Gewerknr.],MATCH(Tabelle7[[#This Row],[Gewerke]],Tabelle13[Hauptgruppe],0))</f>
        <v>#N/A</v>
      </c>
      <c r="H464" t="s">
        <v>255</v>
      </c>
      <c r="I464" t="e">
        <f ca="1">INDEX(Tabelle134[Funktionsbereichsnr.],MATCH(Tabelle7[[#This Row],[Funktionsbereiche]],INDIRECT("Tabelle134["&amp;Tabelle7[[#This Row],[Gewerke]]&amp;"]"),0))</f>
        <v>#N/A</v>
      </c>
      <c r="J464" t="e">
        <f>Tabelle7[[#This Row],[Gesamtcode]]&amp;"_"&amp;Tabelle7[[#This Row],[Zone]]&amp;"_"&amp;Tabelle7[[#This Row],[Raum]]&amp;"_"&amp;Tabelle7[[#This Row],[Bezeichnung]]</f>
        <v>#N/A</v>
      </c>
      <c r="K464">
        <v>10</v>
      </c>
      <c r="L464" t="e">
        <f>Tabelle7[[#This Row],[Hauptgruppe]]&amp;"/-/-"</f>
        <v>#N/A</v>
      </c>
      <c r="M464" t="e">
        <f ca="1">Tabelle7[[#This Row],[Hauptgruppe]]&amp;"/"&amp;Tabelle7[[#This Row],[Mittelgruppe]]&amp;"/-"</f>
        <v>#N/A</v>
      </c>
      <c r="N464" t="e">
        <f ca="1">Tabelle7[[#This Row],[Hauptgruppe]]&amp;"/"&amp;Tabelle7[[#This Row],[Mittelgruppe]]&amp;"/"&amp;Tabelle7[[#This Row],[Untergruppe]]</f>
        <v>#N/A</v>
      </c>
      <c r="O464" t="e">
        <f>INDEX(Tabelle6[Aktor],MATCH(Tabelle7[[#This Row],[Gesamtcode]],Tabelle6[Gesamtcode],0))&amp;" "&amp;INDEX(Tabelle6[Aktorkanal],MATCH(Tabelle7[[#This Row],[Gesamtcode]],Tabelle6[Gesamtcode],0))</f>
        <v>#N/A</v>
      </c>
    </row>
    <row r="465" spans="2:15" x14ac:dyDescent="0.25">
      <c r="B465" t="s">
        <v>352</v>
      </c>
      <c r="C465" t="e">
        <f>INDEX(Tabelle132[Zone],MATCH(Tabelle7[[#This Row],[Gesamtcode]],Tabelle132[Gesamtcode],0))</f>
        <v>#N/A</v>
      </c>
      <c r="D465" t="e">
        <f>INDEX(Tabelle132[Raum],MATCH(Tabelle7[[#This Row],[Gesamtcode]],Tabelle132[Gesamtcode],0))</f>
        <v>#N/A</v>
      </c>
      <c r="E465" t="e">
        <f>INDEX(Tabelle132[Bezeichnung],MATCH(Tabelle7[[#This Row],[Gesamtcode]],Tabelle132[Gesamtcode],0))</f>
        <v>#N/A</v>
      </c>
      <c r="F465" t="e">
        <f>"_"&amp;INDEX(Tabelle132[Geräte/Gewerke],MATCH(Tabelle7[[#This Row],[Gesamtcode]],Tabelle132[Gesamtcode],0))</f>
        <v>#N/A</v>
      </c>
      <c r="G465" t="e">
        <f>INDEX(Tabelle13[Gewerknr.],MATCH(Tabelle7[[#This Row],[Gewerke]],Tabelle13[Hauptgruppe],0))</f>
        <v>#N/A</v>
      </c>
      <c r="H465" t="s">
        <v>255</v>
      </c>
      <c r="I465" t="e">
        <f ca="1">INDEX(Tabelle134[Funktionsbereichsnr.],MATCH(Tabelle7[[#This Row],[Funktionsbereiche]],INDIRECT("Tabelle134["&amp;Tabelle7[[#This Row],[Gewerke]]&amp;"]"),0))</f>
        <v>#N/A</v>
      </c>
      <c r="J465" t="e">
        <f>Tabelle7[[#This Row],[Gesamtcode]]&amp;"_"&amp;Tabelle7[[#This Row],[Zone]]&amp;"_"&amp;Tabelle7[[#This Row],[Raum]]&amp;"_"&amp;Tabelle7[[#This Row],[Bezeichnung]]</f>
        <v>#N/A</v>
      </c>
      <c r="K465">
        <v>2</v>
      </c>
      <c r="L465" t="e">
        <f>Tabelle7[[#This Row],[Hauptgruppe]]&amp;"/-/-"</f>
        <v>#N/A</v>
      </c>
      <c r="M465" t="e">
        <f ca="1">Tabelle7[[#This Row],[Hauptgruppe]]&amp;"/"&amp;Tabelle7[[#This Row],[Mittelgruppe]]&amp;"/-"</f>
        <v>#N/A</v>
      </c>
      <c r="N465" t="e">
        <f ca="1">Tabelle7[[#This Row],[Hauptgruppe]]&amp;"/"&amp;Tabelle7[[#This Row],[Mittelgruppe]]&amp;"/"&amp;Tabelle7[[#This Row],[Untergruppe]]</f>
        <v>#N/A</v>
      </c>
      <c r="O465" t="e">
        <f>INDEX(Tabelle6[Aktor],MATCH(Tabelle7[[#This Row],[Gesamtcode]],Tabelle6[Gesamtcode],0))&amp;" "&amp;INDEX(Tabelle6[Aktorkanal],MATCH(Tabelle7[[#This Row],[Gesamtcode]],Tabelle6[Gesamtcode],0))</f>
        <v>#N/A</v>
      </c>
    </row>
    <row r="466" spans="2:15" x14ac:dyDescent="0.25">
      <c r="B466" t="s">
        <v>353</v>
      </c>
      <c r="C466" t="e">
        <f>INDEX(Tabelle132[Zone],MATCH(Tabelle7[[#This Row],[Gesamtcode]],Tabelle132[Gesamtcode],0))</f>
        <v>#N/A</v>
      </c>
      <c r="D466" t="e">
        <f>INDEX(Tabelle132[Raum],MATCH(Tabelle7[[#This Row],[Gesamtcode]],Tabelle132[Gesamtcode],0))</f>
        <v>#N/A</v>
      </c>
      <c r="E466" t="e">
        <f>INDEX(Tabelle132[Bezeichnung],MATCH(Tabelle7[[#This Row],[Gesamtcode]],Tabelle132[Gesamtcode],0))</f>
        <v>#N/A</v>
      </c>
      <c r="F466" t="e">
        <f>"_"&amp;INDEX(Tabelle132[Geräte/Gewerke],MATCH(Tabelle7[[#This Row],[Gesamtcode]],Tabelle132[Gesamtcode],0))</f>
        <v>#N/A</v>
      </c>
      <c r="G466" t="e">
        <f>INDEX(Tabelle13[Gewerknr.],MATCH(Tabelle7[[#This Row],[Gewerke]],Tabelle13[Hauptgruppe],0))</f>
        <v>#N/A</v>
      </c>
      <c r="H466" t="s">
        <v>255</v>
      </c>
      <c r="I466" t="e">
        <f ca="1">INDEX(Tabelle134[Funktionsbereichsnr.],MATCH(Tabelle7[[#This Row],[Funktionsbereiche]],INDIRECT("Tabelle134["&amp;Tabelle7[[#This Row],[Gewerke]]&amp;"]"),0))</f>
        <v>#N/A</v>
      </c>
      <c r="J466" t="e">
        <f>Tabelle7[[#This Row],[Gesamtcode]]&amp;"_"&amp;Tabelle7[[#This Row],[Zone]]&amp;"_"&amp;Tabelle7[[#This Row],[Raum]]&amp;"_"&amp;Tabelle7[[#This Row],[Bezeichnung]]</f>
        <v>#N/A</v>
      </c>
      <c r="K466">
        <v>3</v>
      </c>
      <c r="L466" t="e">
        <f>Tabelle7[[#This Row],[Hauptgruppe]]&amp;"/-/-"</f>
        <v>#N/A</v>
      </c>
      <c r="M466" t="e">
        <f ca="1">Tabelle7[[#This Row],[Hauptgruppe]]&amp;"/"&amp;Tabelle7[[#This Row],[Mittelgruppe]]&amp;"/-"</f>
        <v>#N/A</v>
      </c>
      <c r="N466" t="e">
        <f ca="1">Tabelle7[[#This Row],[Hauptgruppe]]&amp;"/"&amp;Tabelle7[[#This Row],[Mittelgruppe]]&amp;"/"&amp;Tabelle7[[#This Row],[Untergruppe]]</f>
        <v>#N/A</v>
      </c>
      <c r="O466" t="e">
        <f>INDEX(Tabelle6[Aktor],MATCH(Tabelle7[[#This Row],[Gesamtcode]],Tabelle6[Gesamtcode],0))&amp;" "&amp;INDEX(Tabelle6[Aktorkanal],MATCH(Tabelle7[[#This Row],[Gesamtcode]],Tabelle6[Gesamtcode],0))</f>
        <v>#N/A</v>
      </c>
    </row>
    <row r="467" spans="2:15" x14ac:dyDescent="0.25">
      <c r="B467" t="s">
        <v>354</v>
      </c>
      <c r="C467" t="e">
        <f>INDEX(Tabelle132[Zone],MATCH(Tabelle7[[#This Row],[Gesamtcode]],Tabelle132[Gesamtcode],0))</f>
        <v>#N/A</v>
      </c>
      <c r="D467" t="e">
        <f>INDEX(Tabelle132[Raum],MATCH(Tabelle7[[#This Row],[Gesamtcode]],Tabelle132[Gesamtcode],0))</f>
        <v>#N/A</v>
      </c>
      <c r="E467" t="e">
        <f>INDEX(Tabelle132[Bezeichnung],MATCH(Tabelle7[[#This Row],[Gesamtcode]],Tabelle132[Gesamtcode],0))</f>
        <v>#N/A</v>
      </c>
      <c r="F467" t="e">
        <f>"_"&amp;INDEX(Tabelle132[Geräte/Gewerke],MATCH(Tabelle7[[#This Row],[Gesamtcode]],Tabelle132[Gesamtcode],0))</f>
        <v>#N/A</v>
      </c>
      <c r="G467" t="e">
        <f>INDEX(Tabelle13[Gewerknr.],MATCH(Tabelle7[[#This Row],[Gewerke]],Tabelle13[Hauptgruppe],0))</f>
        <v>#N/A</v>
      </c>
      <c r="H467" t="s">
        <v>255</v>
      </c>
      <c r="I467" t="e">
        <f ca="1">INDEX(Tabelle134[Funktionsbereichsnr.],MATCH(Tabelle7[[#This Row],[Funktionsbereiche]],INDIRECT("Tabelle134["&amp;Tabelle7[[#This Row],[Gewerke]]&amp;"]"),0))</f>
        <v>#N/A</v>
      </c>
      <c r="J467" t="e">
        <f>Tabelle7[[#This Row],[Gesamtcode]]&amp;"_"&amp;Tabelle7[[#This Row],[Zone]]&amp;"_"&amp;Tabelle7[[#This Row],[Raum]]&amp;"_"&amp;Tabelle7[[#This Row],[Bezeichnung]]</f>
        <v>#N/A</v>
      </c>
      <c r="K467">
        <v>4</v>
      </c>
      <c r="L467" t="e">
        <f>Tabelle7[[#This Row],[Hauptgruppe]]&amp;"/-/-"</f>
        <v>#N/A</v>
      </c>
      <c r="M467" t="e">
        <f ca="1">Tabelle7[[#This Row],[Hauptgruppe]]&amp;"/"&amp;Tabelle7[[#This Row],[Mittelgruppe]]&amp;"/-"</f>
        <v>#N/A</v>
      </c>
      <c r="N467" t="e">
        <f ca="1">Tabelle7[[#This Row],[Hauptgruppe]]&amp;"/"&amp;Tabelle7[[#This Row],[Mittelgruppe]]&amp;"/"&amp;Tabelle7[[#This Row],[Untergruppe]]</f>
        <v>#N/A</v>
      </c>
      <c r="O467" t="e">
        <f>INDEX(Tabelle6[Aktor],MATCH(Tabelle7[[#This Row],[Gesamtcode]],Tabelle6[Gesamtcode],0))&amp;" "&amp;INDEX(Tabelle6[Aktorkanal],MATCH(Tabelle7[[#This Row],[Gesamtcode]],Tabelle6[Gesamtcode],0))</f>
        <v>#N/A</v>
      </c>
    </row>
    <row r="468" spans="2:15" x14ac:dyDescent="0.25">
      <c r="B468" t="s">
        <v>355</v>
      </c>
      <c r="C468" t="e">
        <f>INDEX(Tabelle132[Zone],MATCH(Tabelle7[[#This Row],[Gesamtcode]],Tabelle132[Gesamtcode],0))</f>
        <v>#N/A</v>
      </c>
      <c r="D468" t="e">
        <f>INDEX(Tabelle132[Raum],MATCH(Tabelle7[[#This Row],[Gesamtcode]],Tabelle132[Gesamtcode],0))</f>
        <v>#N/A</v>
      </c>
      <c r="E468" t="e">
        <f>INDEX(Tabelle132[Bezeichnung],MATCH(Tabelle7[[#This Row],[Gesamtcode]],Tabelle132[Gesamtcode],0))</f>
        <v>#N/A</v>
      </c>
      <c r="F468" t="e">
        <f>"_"&amp;INDEX(Tabelle132[Geräte/Gewerke],MATCH(Tabelle7[[#This Row],[Gesamtcode]],Tabelle132[Gesamtcode],0))</f>
        <v>#N/A</v>
      </c>
      <c r="G468" t="e">
        <f>INDEX(Tabelle13[Gewerknr.],MATCH(Tabelle7[[#This Row],[Gewerke]],Tabelle13[Hauptgruppe],0))</f>
        <v>#N/A</v>
      </c>
      <c r="H468" t="s">
        <v>255</v>
      </c>
      <c r="I468" t="e">
        <f ca="1">INDEX(Tabelle134[Funktionsbereichsnr.],MATCH(Tabelle7[[#This Row],[Funktionsbereiche]],INDIRECT("Tabelle134["&amp;Tabelle7[[#This Row],[Gewerke]]&amp;"]"),0))</f>
        <v>#N/A</v>
      </c>
      <c r="J468" t="e">
        <f>Tabelle7[[#This Row],[Gesamtcode]]&amp;"_"&amp;Tabelle7[[#This Row],[Zone]]&amp;"_"&amp;Tabelle7[[#This Row],[Raum]]&amp;"_"&amp;Tabelle7[[#This Row],[Bezeichnung]]</f>
        <v>#N/A</v>
      </c>
      <c r="K468">
        <v>5</v>
      </c>
      <c r="L468" t="e">
        <f>Tabelle7[[#This Row],[Hauptgruppe]]&amp;"/-/-"</f>
        <v>#N/A</v>
      </c>
      <c r="M468" t="e">
        <f ca="1">Tabelle7[[#This Row],[Hauptgruppe]]&amp;"/"&amp;Tabelle7[[#This Row],[Mittelgruppe]]&amp;"/-"</f>
        <v>#N/A</v>
      </c>
      <c r="N468" t="e">
        <f ca="1">Tabelle7[[#This Row],[Hauptgruppe]]&amp;"/"&amp;Tabelle7[[#This Row],[Mittelgruppe]]&amp;"/"&amp;Tabelle7[[#This Row],[Untergruppe]]</f>
        <v>#N/A</v>
      </c>
      <c r="O468" t="e">
        <f>INDEX(Tabelle6[Aktor],MATCH(Tabelle7[[#This Row],[Gesamtcode]],Tabelle6[Gesamtcode],0))&amp;" "&amp;INDEX(Tabelle6[Aktorkanal],MATCH(Tabelle7[[#This Row],[Gesamtcode]],Tabelle6[Gesamtcode],0))</f>
        <v>#N/A</v>
      </c>
    </row>
    <row r="469" spans="2:15" x14ac:dyDescent="0.25">
      <c r="B469" t="s">
        <v>356</v>
      </c>
      <c r="C469" t="e">
        <f>INDEX(Tabelle132[Zone],MATCH(Tabelle7[[#This Row],[Gesamtcode]],Tabelle132[Gesamtcode],0))</f>
        <v>#N/A</v>
      </c>
      <c r="D469" t="e">
        <f>INDEX(Tabelle132[Raum],MATCH(Tabelle7[[#This Row],[Gesamtcode]],Tabelle132[Gesamtcode],0))</f>
        <v>#N/A</v>
      </c>
      <c r="E469" t="e">
        <f>INDEX(Tabelle132[Bezeichnung],MATCH(Tabelle7[[#This Row],[Gesamtcode]],Tabelle132[Gesamtcode],0))</f>
        <v>#N/A</v>
      </c>
      <c r="F469" t="e">
        <f>"_"&amp;INDEX(Tabelle132[Geräte/Gewerke],MATCH(Tabelle7[[#This Row],[Gesamtcode]],Tabelle132[Gesamtcode],0))</f>
        <v>#N/A</v>
      </c>
      <c r="G469" t="e">
        <f>INDEX(Tabelle13[Gewerknr.],MATCH(Tabelle7[[#This Row],[Gewerke]],Tabelle13[Hauptgruppe],0))</f>
        <v>#N/A</v>
      </c>
      <c r="H469" t="s">
        <v>255</v>
      </c>
      <c r="I469" t="e">
        <f ca="1">INDEX(Tabelle134[Funktionsbereichsnr.],MATCH(Tabelle7[[#This Row],[Funktionsbereiche]],INDIRECT("Tabelle134["&amp;Tabelle7[[#This Row],[Gewerke]]&amp;"]"),0))</f>
        <v>#N/A</v>
      </c>
      <c r="J469" t="e">
        <f>Tabelle7[[#This Row],[Gesamtcode]]&amp;"_"&amp;Tabelle7[[#This Row],[Zone]]&amp;"_"&amp;Tabelle7[[#This Row],[Raum]]&amp;"_"&amp;Tabelle7[[#This Row],[Bezeichnung]]</f>
        <v>#N/A</v>
      </c>
      <c r="K469">
        <v>6</v>
      </c>
      <c r="L469" t="e">
        <f>Tabelle7[[#This Row],[Hauptgruppe]]&amp;"/-/-"</f>
        <v>#N/A</v>
      </c>
      <c r="M469" t="e">
        <f ca="1">Tabelle7[[#This Row],[Hauptgruppe]]&amp;"/"&amp;Tabelle7[[#This Row],[Mittelgruppe]]&amp;"/-"</f>
        <v>#N/A</v>
      </c>
      <c r="N469" t="e">
        <f ca="1">Tabelle7[[#This Row],[Hauptgruppe]]&amp;"/"&amp;Tabelle7[[#This Row],[Mittelgruppe]]&amp;"/"&amp;Tabelle7[[#This Row],[Untergruppe]]</f>
        <v>#N/A</v>
      </c>
      <c r="O469" t="e">
        <f>INDEX(Tabelle6[Aktor],MATCH(Tabelle7[[#This Row],[Gesamtcode]],Tabelle6[Gesamtcode],0))&amp;" "&amp;INDEX(Tabelle6[Aktorkanal],MATCH(Tabelle7[[#This Row],[Gesamtcode]],Tabelle6[Gesamtcode],0))</f>
        <v>#N/A</v>
      </c>
    </row>
    <row r="470" spans="2:15" x14ac:dyDescent="0.25">
      <c r="B470" t="s">
        <v>357</v>
      </c>
      <c r="C470" t="e">
        <f>INDEX(Tabelle132[Zone],MATCH(Tabelle7[[#This Row],[Gesamtcode]],Tabelle132[Gesamtcode],0))</f>
        <v>#N/A</v>
      </c>
      <c r="D470" t="e">
        <f>INDEX(Tabelle132[Raum],MATCH(Tabelle7[[#This Row],[Gesamtcode]],Tabelle132[Gesamtcode],0))</f>
        <v>#N/A</v>
      </c>
      <c r="E470" t="e">
        <f>INDEX(Tabelle132[Bezeichnung],MATCH(Tabelle7[[#This Row],[Gesamtcode]],Tabelle132[Gesamtcode],0))</f>
        <v>#N/A</v>
      </c>
      <c r="F470" t="e">
        <f>"_"&amp;INDEX(Tabelle132[Geräte/Gewerke],MATCH(Tabelle7[[#This Row],[Gesamtcode]],Tabelle132[Gesamtcode],0))</f>
        <v>#N/A</v>
      </c>
      <c r="G470" t="e">
        <f>INDEX(Tabelle13[Gewerknr.],MATCH(Tabelle7[[#This Row],[Gewerke]],Tabelle13[Hauptgruppe],0))</f>
        <v>#N/A</v>
      </c>
      <c r="H470" t="s">
        <v>255</v>
      </c>
      <c r="I470" t="e">
        <f ca="1">INDEX(Tabelle134[Funktionsbereichsnr.],MATCH(Tabelle7[[#This Row],[Funktionsbereiche]],INDIRECT("Tabelle134["&amp;Tabelle7[[#This Row],[Gewerke]]&amp;"]"),0))</f>
        <v>#N/A</v>
      </c>
      <c r="J470" t="e">
        <f>Tabelle7[[#This Row],[Gesamtcode]]&amp;"_"&amp;Tabelle7[[#This Row],[Zone]]&amp;"_"&amp;Tabelle7[[#This Row],[Raum]]&amp;"_"&amp;Tabelle7[[#This Row],[Bezeichnung]]</f>
        <v>#N/A</v>
      </c>
      <c r="K470">
        <v>7</v>
      </c>
      <c r="L470" t="e">
        <f>Tabelle7[[#This Row],[Hauptgruppe]]&amp;"/-/-"</f>
        <v>#N/A</v>
      </c>
      <c r="M470" t="e">
        <f ca="1">Tabelle7[[#This Row],[Hauptgruppe]]&amp;"/"&amp;Tabelle7[[#This Row],[Mittelgruppe]]&amp;"/-"</f>
        <v>#N/A</v>
      </c>
      <c r="N470" t="e">
        <f ca="1">Tabelle7[[#This Row],[Hauptgruppe]]&amp;"/"&amp;Tabelle7[[#This Row],[Mittelgruppe]]&amp;"/"&amp;Tabelle7[[#This Row],[Untergruppe]]</f>
        <v>#N/A</v>
      </c>
      <c r="O470" t="e">
        <f>INDEX(Tabelle6[Aktor],MATCH(Tabelle7[[#This Row],[Gesamtcode]],Tabelle6[Gesamtcode],0))&amp;" "&amp;INDEX(Tabelle6[Aktorkanal],MATCH(Tabelle7[[#This Row],[Gesamtcode]],Tabelle6[Gesamtcode],0))</f>
        <v>#N/A</v>
      </c>
    </row>
    <row r="471" spans="2:15" x14ac:dyDescent="0.25">
      <c r="B471" t="s">
        <v>358</v>
      </c>
      <c r="C471" t="e">
        <f>INDEX(Tabelle132[Zone],MATCH(Tabelle7[[#This Row],[Gesamtcode]],Tabelle132[Gesamtcode],0))</f>
        <v>#N/A</v>
      </c>
      <c r="D471" t="e">
        <f>INDEX(Tabelle132[Raum],MATCH(Tabelle7[[#This Row],[Gesamtcode]],Tabelle132[Gesamtcode],0))</f>
        <v>#N/A</v>
      </c>
      <c r="E471" t="e">
        <f>INDEX(Tabelle132[Bezeichnung],MATCH(Tabelle7[[#This Row],[Gesamtcode]],Tabelle132[Gesamtcode],0))</f>
        <v>#N/A</v>
      </c>
      <c r="F471" t="e">
        <f>"_"&amp;INDEX(Tabelle132[Geräte/Gewerke],MATCH(Tabelle7[[#This Row],[Gesamtcode]],Tabelle132[Gesamtcode],0))</f>
        <v>#N/A</v>
      </c>
      <c r="G471" t="e">
        <f>INDEX(Tabelle13[Gewerknr.],MATCH(Tabelle7[[#This Row],[Gewerke]],Tabelle13[Hauptgruppe],0))</f>
        <v>#N/A</v>
      </c>
      <c r="H471" t="s">
        <v>255</v>
      </c>
      <c r="I471" t="e">
        <f ca="1">INDEX(Tabelle134[Funktionsbereichsnr.],MATCH(Tabelle7[[#This Row],[Funktionsbereiche]],INDIRECT("Tabelle134["&amp;Tabelle7[[#This Row],[Gewerke]]&amp;"]"),0))</f>
        <v>#N/A</v>
      </c>
      <c r="J471" t="e">
        <f>Tabelle7[[#This Row],[Gesamtcode]]&amp;"_"&amp;Tabelle7[[#This Row],[Zone]]&amp;"_"&amp;Tabelle7[[#This Row],[Raum]]&amp;"_"&amp;Tabelle7[[#This Row],[Bezeichnung]]</f>
        <v>#N/A</v>
      </c>
      <c r="K471">
        <v>8</v>
      </c>
      <c r="L471" t="e">
        <f>Tabelle7[[#This Row],[Hauptgruppe]]&amp;"/-/-"</f>
        <v>#N/A</v>
      </c>
      <c r="M471" t="e">
        <f ca="1">Tabelle7[[#This Row],[Hauptgruppe]]&amp;"/"&amp;Tabelle7[[#This Row],[Mittelgruppe]]&amp;"/-"</f>
        <v>#N/A</v>
      </c>
      <c r="N471" t="e">
        <f ca="1">Tabelle7[[#This Row],[Hauptgruppe]]&amp;"/"&amp;Tabelle7[[#This Row],[Mittelgruppe]]&amp;"/"&amp;Tabelle7[[#This Row],[Untergruppe]]</f>
        <v>#N/A</v>
      </c>
      <c r="O471" t="e">
        <f>INDEX(Tabelle6[Aktor],MATCH(Tabelle7[[#This Row],[Gesamtcode]],Tabelle6[Gesamtcode],0))&amp;" "&amp;INDEX(Tabelle6[Aktorkanal],MATCH(Tabelle7[[#This Row],[Gesamtcode]],Tabelle6[Gesamtcode],0))</f>
        <v>#N/A</v>
      </c>
    </row>
    <row r="472" spans="2:15" x14ac:dyDescent="0.25">
      <c r="B472" t="s">
        <v>359</v>
      </c>
      <c r="C472" t="e">
        <f>INDEX(Tabelle132[Zone],MATCH(Tabelle7[[#This Row],[Gesamtcode]],Tabelle132[Gesamtcode],0))</f>
        <v>#N/A</v>
      </c>
      <c r="D472" t="e">
        <f>INDEX(Tabelle132[Raum],MATCH(Tabelle7[[#This Row],[Gesamtcode]],Tabelle132[Gesamtcode],0))</f>
        <v>#N/A</v>
      </c>
      <c r="E472" t="e">
        <f>INDEX(Tabelle132[Bezeichnung],MATCH(Tabelle7[[#This Row],[Gesamtcode]],Tabelle132[Gesamtcode],0))</f>
        <v>#N/A</v>
      </c>
      <c r="F472" t="e">
        <f>"_"&amp;INDEX(Tabelle132[Geräte/Gewerke],MATCH(Tabelle7[[#This Row],[Gesamtcode]],Tabelle132[Gesamtcode],0))</f>
        <v>#N/A</v>
      </c>
      <c r="G472" t="e">
        <f>INDEX(Tabelle13[Gewerknr.],MATCH(Tabelle7[[#This Row],[Gewerke]],Tabelle13[Hauptgruppe],0))</f>
        <v>#N/A</v>
      </c>
      <c r="H472" t="s">
        <v>255</v>
      </c>
      <c r="I472" t="e">
        <f ca="1">INDEX(Tabelle134[Funktionsbereichsnr.],MATCH(Tabelle7[[#This Row],[Funktionsbereiche]],INDIRECT("Tabelle134["&amp;Tabelle7[[#This Row],[Gewerke]]&amp;"]"),0))</f>
        <v>#N/A</v>
      </c>
      <c r="J472" t="e">
        <f>Tabelle7[[#This Row],[Gesamtcode]]&amp;"_"&amp;Tabelle7[[#This Row],[Zone]]&amp;"_"&amp;Tabelle7[[#This Row],[Raum]]&amp;"_"&amp;Tabelle7[[#This Row],[Bezeichnung]]</f>
        <v>#N/A</v>
      </c>
      <c r="K472">
        <v>9</v>
      </c>
      <c r="L472" t="e">
        <f>Tabelle7[[#This Row],[Hauptgruppe]]&amp;"/-/-"</f>
        <v>#N/A</v>
      </c>
      <c r="M472" t="e">
        <f ca="1">Tabelle7[[#This Row],[Hauptgruppe]]&amp;"/"&amp;Tabelle7[[#This Row],[Mittelgruppe]]&amp;"/-"</f>
        <v>#N/A</v>
      </c>
      <c r="N472" t="e">
        <f ca="1">Tabelle7[[#This Row],[Hauptgruppe]]&amp;"/"&amp;Tabelle7[[#This Row],[Mittelgruppe]]&amp;"/"&amp;Tabelle7[[#This Row],[Untergruppe]]</f>
        <v>#N/A</v>
      </c>
      <c r="O472" t="e">
        <f>INDEX(Tabelle6[Aktor],MATCH(Tabelle7[[#This Row],[Gesamtcode]],Tabelle6[Gesamtcode],0))&amp;" "&amp;INDEX(Tabelle6[Aktorkanal],MATCH(Tabelle7[[#This Row],[Gesamtcode]],Tabelle6[Gesamtcode],0))</f>
        <v>#N/A</v>
      </c>
    </row>
    <row r="473" spans="2:15" x14ac:dyDescent="0.25">
      <c r="B473" t="s">
        <v>349</v>
      </c>
      <c r="C473" t="e">
        <f>INDEX(Tabelle132[Zone],MATCH(Tabelle7[[#This Row],[Gesamtcode]],Tabelle132[Gesamtcode],0))</f>
        <v>#N/A</v>
      </c>
      <c r="D473" t="e">
        <f>INDEX(Tabelle132[Raum],MATCH(Tabelle7[[#This Row],[Gesamtcode]],Tabelle132[Gesamtcode],0))</f>
        <v>#N/A</v>
      </c>
      <c r="E473" t="e">
        <f>INDEX(Tabelle132[Bezeichnung],MATCH(Tabelle7[[#This Row],[Gesamtcode]],Tabelle132[Gesamtcode],0))</f>
        <v>#N/A</v>
      </c>
      <c r="F473" t="e">
        <f>"_"&amp;INDEX(Tabelle132[Geräte/Gewerke],MATCH(Tabelle7[[#This Row],[Gesamtcode]],Tabelle132[Gesamtcode],0))</f>
        <v>#N/A</v>
      </c>
      <c r="G473" t="e">
        <f>INDEX(Tabelle13[Gewerknr.],MATCH(Tabelle7[[#This Row],[Gewerke]],Tabelle13[Hauptgruppe],0))</f>
        <v>#N/A</v>
      </c>
      <c r="H473" t="s">
        <v>360</v>
      </c>
      <c r="I473" t="e">
        <f ca="1">INDEX(Tabelle134[Funktionsbereichsnr.],MATCH(Tabelle7[[#This Row],[Funktionsbereiche]],INDIRECT("Tabelle134["&amp;Tabelle7[[#This Row],[Gewerke]]&amp;"]"),0))</f>
        <v>#N/A</v>
      </c>
      <c r="J473" t="e">
        <f>Tabelle7[[#This Row],[Gesamtcode]]&amp;"_"&amp;Tabelle7[[#This Row],[Zone]]&amp;"_"&amp;Tabelle7[[#This Row],[Raum]]&amp;"_"&amp;Tabelle7[[#This Row],[Bezeichnung]]</f>
        <v>#N/A</v>
      </c>
      <c r="K473">
        <v>0</v>
      </c>
      <c r="L473" t="e">
        <f>Tabelle7[[#This Row],[Hauptgruppe]]&amp;"/-/-"</f>
        <v>#N/A</v>
      </c>
      <c r="M473" t="e">
        <f ca="1">Tabelle7[[#This Row],[Hauptgruppe]]&amp;"/"&amp;Tabelle7[[#This Row],[Mittelgruppe]]&amp;"/-"</f>
        <v>#N/A</v>
      </c>
      <c r="N473" t="e">
        <f ca="1">Tabelle7[[#This Row],[Hauptgruppe]]&amp;"/"&amp;Tabelle7[[#This Row],[Mittelgruppe]]&amp;"/"&amp;Tabelle7[[#This Row],[Untergruppe]]</f>
        <v>#N/A</v>
      </c>
      <c r="O473" t="e">
        <f>INDEX(Tabelle6[Aktor],MATCH(Tabelle7[[#This Row],[Gesamtcode]],Tabelle6[Gesamtcode],0))&amp;" "&amp;INDEX(Tabelle6[Aktorkanal],MATCH(Tabelle7[[#This Row],[Gesamtcode]],Tabelle6[Gesamtcode],0))</f>
        <v>#N/A</v>
      </c>
    </row>
    <row r="474" spans="2:15" x14ac:dyDescent="0.25">
      <c r="B474" t="s">
        <v>350</v>
      </c>
      <c r="C474" t="e">
        <f>INDEX(Tabelle132[Zone],MATCH(Tabelle7[[#This Row],[Gesamtcode]],Tabelle132[Gesamtcode],0))</f>
        <v>#N/A</v>
      </c>
      <c r="D474" t="e">
        <f>INDEX(Tabelle132[Raum],MATCH(Tabelle7[[#This Row],[Gesamtcode]],Tabelle132[Gesamtcode],0))</f>
        <v>#N/A</v>
      </c>
      <c r="E474" t="e">
        <f>INDEX(Tabelle132[Bezeichnung],MATCH(Tabelle7[[#This Row],[Gesamtcode]],Tabelle132[Gesamtcode],0))</f>
        <v>#N/A</v>
      </c>
      <c r="F474" t="e">
        <f>"_"&amp;INDEX(Tabelle132[Geräte/Gewerke],MATCH(Tabelle7[[#This Row],[Gesamtcode]],Tabelle132[Gesamtcode],0))</f>
        <v>#N/A</v>
      </c>
      <c r="G474" t="e">
        <f>INDEX(Tabelle13[Gewerknr.],MATCH(Tabelle7[[#This Row],[Gewerke]],Tabelle13[Hauptgruppe],0))</f>
        <v>#N/A</v>
      </c>
      <c r="H474" t="s">
        <v>360</v>
      </c>
      <c r="I474" t="e">
        <f ca="1">INDEX(Tabelle134[Funktionsbereichsnr.],MATCH(Tabelle7[[#This Row],[Funktionsbereiche]],INDIRECT("Tabelle134["&amp;Tabelle7[[#This Row],[Gewerke]]&amp;"]"),0))</f>
        <v>#N/A</v>
      </c>
      <c r="J474" t="e">
        <f>Tabelle7[[#This Row],[Gesamtcode]]&amp;"_"&amp;Tabelle7[[#This Row],[Zone]]&amp;"_"&amp;Tabelle7[[#This Row],[Raum]]&amp;"_"&amp;Tabelle7[[#This Row],[Bezeichnung]]</f>
        <v>#N/A</v>
      </c>
      <c r="K474">
        <v>1</v>
      </c>
      <c r="L474" t="e">
        <f>Tabelle7[[#This Row],[Hauptgruppe]]&amp;"/-/-"</f>
        <v>#N/A</v>
      </c>
      <c r="M474" t="e">
        <f ca="1">Tabelle7[[#This Row],[Hauptgruppe]]&amp;"/"&amp;Tabelle7[[#This Row],[Mittelgruppe]]&amp;"/-"</f>
        <v>#N/A</v>
      </c>
      <c r="N474" t="e">
        <f ca="1">Tabelle7[[#This Row],[Hauptgruppe]]&amp;"/"&amp;Tabelle7[[#This Row],[Mittelgruppe]]&amp;"/"&amp;Tabelle7[[#This Row],[Untergruppe]]</f>
        <v>#N/A</v>
      </c>
      <c r="O474" t="e">
        <f>INDEX(Tabelle6[Aktor],MATCH(Tabelle7[[#This Row],[Gesamtcode]],Tabelle6[Gesamtcode],0))&amp;" "&amp;INDEX(Tabelle6[Aktorkanal],MATCH(Tabelle7[[#This Row],[Gesamtcode]],Tabelle6[Gesamtcode],0))</f>
        <v>#N/A</v>
      </c>
    </row>
    <row r="475" spans="2:15" x14ac:dyDescent="0.25">
      <c r="B475" t="s">
        <v>351</v>
      </c>
      <c r="C475" t="e">
        <f>INDEX(Tabelle132[Zone],MATCH(Tabelle7[[#This Row],[Gesamtcode]],Tabelle132[Gesamtcode],0))</f>
        <v>#N/A</v>
      </c>
      <c r="D475" t="e">
        <f>INDEX(Tabelle132[Raum],MATCH(Tabelle7[[#This Row],[Gesamtcode]],Tabelle132[Gesamtcode],0))</f>
        <v>#N/A</v>
      </c>
      <c r="E475" t="e">
        <f>INDEX(Tabelle132[Bezeichnung],MATCH(Tabelle7[[#This Row],[Gesamtcode]],Tabelle132[Gesamtcode],0))</f>
        <v>#N/A</v>
      </c>
      <c r="F475" t="e">
        <f>"_"&amp;INDEX(Tabelle132[Geräte/Gewerke],MATCH(Tabelle7[[#This Row],[Gesamtcode]],Tabelle132[Gesamtcode],0))</f>
        <v>#N/A</v>
      </c>
      <c r="G475" t="e">
        <f>INDEX(Tabelle13[Gewerknr.],MATCH(Tabelle7[[#This Row],[Gewerke]],Tabelle13[Hauptgruppe],0))</f>
        <v>#N/A</v>
      </c>
      <c r="H475" t="s">
        <v>360</v>
      </c>
      <c r="I475" t="e">
        <f ca="1">INDEX(Tabelle134[Funktionsbereichsnr.],MATCH(Tabelle7[[#This Row],[Funktionsbereiche]],INDIRECT("Tabelle134["&amp;Tabelle7[[#This Row],[Gewerke]]&amp;"]"),0))</f>
        <v>#N/A</v>
      </c>
      <c r="J475" t="e">
        <f>Tabelle7[[#This Row],[Gesamtcode]]&amp;"_"&amp;Tabelle7[[#This Row],[Zone]]&amp;"_"&amp;Tabelle7[[#This Row],[Raum]]&amp;"_"&amp;Tabelle7[[#This Row],[Bezeichnung]]</f>
        <v>#N/A</v>
      </c>
      <c r="K475">
        <v>10</v>
      </c>
      <c r="L475" t="e">
        <f>Tabelle7[[#This Row],[Hauptgruppe]]&amp;"/-/-"</f>
        <v>#N/A</v>
      </c>
      <c r="M475" t="e">
        <f ca="1">Tabelle7[[#This Row],[Hauptgruppe]]&amp;"/"&amp;Tabelle7[[#This Row],[Mittelgruppe]]&amp;"/-"</f>
        <v>#N/A</v>
      </c>
      <c r="N475" t="e">
        <f ca="1">Tabelle7[[#This Row],[Hauptgruppe]]&amp;"/"&amp;Tabelle7[[#This Row],[Mittelgruppe]]&amp;"/"&amp;Tabelle7[[#This Row],[Untergruppe]]</f>
        <v>#N/A</v>
      </c>
      <c r="O475" t="e">
        <f>INDEX(Tabelle6[Aktor],MATCH(Tabelle7[[#This Row],[Gesamtcode]],Tabelle6[Gesamtcode],0))&amp;" "&amp;INDEX(Tabelle6[Aktorkanal],MATCH(Tabelle7[[#This Row],[Gesamtcode]],Tabelle6[Gesamtcode],0))</f>
        <v>#N/A</v>
      </c>
    </row>
    <row r="476" spans="2:15" x14ac:dyDescent="0.25">
      <c r="B476" t="s">
        <v>352</v>
      </c>
      <c r="C476" t="e">
        <f>INDEX(Tabelle132[Zone],MATCH(Tabelle7[[#This Row],[Gesamtcode]],Tabelle132[Gesamtcode],0))</f>
        <v>#N/A</v>
      </c>
      <c r="D476" t="e">
        <f>INDEX(Tabelle132[Raum],MATCH(Tabelle7[[#This Row],[Gesamtcode]],Tabelle132[Gesamtcode],0))</f>
        <v>#N/A</v>
      </c>
      <c r="E476" t="e">
        <f>INDEX(Tabelle132[Bezeichnung],MATCH(Tabelle7[[#This Row],[Gesamtcode]],Tabelle132[Gesamtcode],0))</f>
        <v>#N/A</v>
      </c>
      <c r="F476" t="e">
        <f>"_"&amp;INDEX(Tabelle132[Geräte/Gewerke],MATCH(Tabelle7[[#This Row],[Gesamtcode]],Tabelle132[Gesamtcode],0))</f>
        <v>#N/A</v>
      </c>
      <c r="G476" t="e">
        <f>INDEX(Tabelle13[Gewerknr.],MATCH(Tabelle7[[#This Row],[Gewerke]],Tabelle13[Hauptgruppe],0))</f>
        <v>#N/A</v>
      </c>
      <c r="H476" t="s">
        <v>360</v>
      </c>
      <c r="I476" t="e">
        <f ca="1">INDEX(Tabelle134[Funktionsbereichsnr.],MATCH(Tabelle7[[#This Row],[Funktionsbereiche]],INDIRECT("Tabelle134["&amp;Tabelle7[[#This Row],[Gewerke]]&amp;"]"),0))</f>
        <v>#N/A</v>
      </c>
      <c r="J476" t="e">
        <f>Tabelle7[[#This Row],[Gesamtcode]]&amp;"_"&amp;Tabelle7[[#This Row],[Zone]]&amp;"_"&amp;Tabelle7[[#This Row],[Raum]]&amp;"_"&amp;Tabelle7[[#This Row],[Bezeichnung]]</f>
        <v>#N/A</v>
      </c>
      <c r="K476">
        <v>2</v>
      </c>
      <c r="L476" t="e">
        <f>Tabelle7[[#This Row],[Hauptgruppe]]&amp;"/-/-"</f>
        <v>#N/A</v>
      </c>
      <c r="M476" t="e">
        <f ca="1">Tabelle7[[#This Row],[Hauptgruppe]]&amp;"/"&amp;Tabelle7[[#This Row],[Mittelgruppe]]&amp;"/-"</f>
        <v>#N/A</v>
      </c>
      <c r="N476" t="e">
        <f ca="1">Tabelle7[[#This Row],[Hauptgruppe]]&amp;"/"&amp;Tabelle7[[#This Row],[Mittelgruppe]]&amp;"/"&amp;Tabelle7[[#This Row],[Untergruppe]]</f>
        <v>#N/A</v>
      </c>
      <c r="O476" t="e">
        <f>INDEX(Tabelle6[Aktor],MATCH(Tabelle7[[#This Row],[Gesamtcode]],Tabelle6[Gesamtcode],0))&amp;" "&amp;INDEX(Tabelle6[Aktorkanal],MATCH(Tabelle7[[#This Row],[Gesamtcode]],Tabelle6[Gesamtcode],0))</f>
        <v>#N/A</v>
      </c>
    </row>
    <row r="477" spans="2:15" x14ac:dyDescent="0.25">
      <c r="B477" t="s">
        <v>353</v>
      </c>
      <c r="C477" t="e">
        <f>INDEX(Tabelle132[Zone],MATCH(Tabelle7[[#This Row],[Gesamtcode]],Tabelle132[Gesamtcode],0))</f>
        <v>#N/A</v>
      </c>
      <c r="D477" t="e">
        <f>INDEX(Tabelle132[Raum],MATCH(Tabelle7[[#This Row],[Gesamtcode]],Tabelle132[Gesamtcode],0))</f>
        <v>#N/A</v>
      </c>
      <c r="E477" t="e">
        <f>INDEX(Tabelle132[Bezeichnung],MATCH(Tabelle7[[#This Row],[Gesamtcode]],Tabelle132[Gesamtcode],0))</f>
        <v>#N/A</v>
      </c>
      <c r="F477" t="e">
        <f>"_"&amp;INDEX(Tabelle132[Geräte/Gewerke],MATCH(Tabelle7[[#This Row],[Gesamtcode]],Tabelle132[Gesamtcode],0))</f>
        <v>#N/A</v>
      </c>
      <c r="G477" t="e">
        <f>INDEX(Tabelle13[Gewerknr.],MATCH(Tabelle7[[#This Row],[Gewerke]],Tabelle13[Hauptgruppe],0))</f>
        <v>#N/A</v>
      </c>
      <c r="H477" t="s">
        <v>360</v>
      </c>
      <c r="I477" t="e">
        <f ca="1">INDEX(Tabelle134[Funktionsbereichsnr.],MATCH(Tabelle7[[#This Row],[Funktionsbereiche]],INDIRECT("Tabelle134["&amp;Tabelle7[[#This Row],[Gewerke]]&amp;"]"),0))</f>
        <v>#N/A</v>
      </c>
      <c r="J477" t="e">
        <f>Tabelle7[[#This Row],[Gesamtcode]]&amp;"_"&amp;Tabelle7[[#This Row],[Zone]]&amp;"_"&amp;Tabelle7[[#This Row],[Raum]]&amp;"_"&amp;Tabelle7[[#This Row],[Bezeichnung]]</f>
        <v>#N/A</v>
      </c>
      <c r="K477">
        <v>3</v>
      </c>
      <c r="L477" t="e">
        <f>Tabelle7[[#This Row],[Hauptgruppe]]&amp;"/-/-"</f>
        <v>#N/A</v>
      </c>
      <c r="M477" t="e">
        <f ca="1">Tabelle7[[#This Row],[Hauptgruppe]]&amp;"/"&amp;Tabelle7[[#This Row],[Mittelgruppe]]&amp;"/-"</f>
        <v>#N/A</v>
      </c>
      <c r="N477" t="e">
        <f ca="1">Tabelle7[[#This Row],[Hauptgruppe]]&amp;"/"&amp;Tabelle7[[#This Row],[Mittelgruppe]]&amp;"/"&amp;Tabelle7[[#This Row],[Untergruppe]]</f>
        <v>#N/A</v>
      </c>
      <c r="O477" t="e">
        <f>INDEX(Tabelle6[Aktor],MATCH(Tabelle7[[#This Row],[Gesamtcode]],Tabelle6[Gesamtcode],0))&amp;" "&amp;INDEX(Tabelle6[Aktorkanal],MATCH(Tabelle7[[#This Row],[Gesamtcode]],Tabelle6[Gesamtcode],0))</f>
        <v>#N/A</v>
      </c>
    </row>
    <row r="478" spans="2:15" x14ac:dyDescent="0.25">
      <c r="B478" t="s">
        <v>354</v>
      </c>
      <c r="C478" t="e">
        <f>INDEX(Tabelle132[Zone],MATCH(Tabelle7[[#This Row],[Gesamtcode]],Tabelle132[Gesamtcode],0))</f>
        <v>#N/A</v>
      </c>
      <c r="D478" t="e">
        <f>INDEX(Tabelle132[Raum],MATCH(Tabelle7[[#This Row],[Gesamtcode]],Tabelle132[Gesamtcode],0))</f>
        <v>#N/A</v>
      </c>
      <c r="E478" t="e">
        <f>INDEX(Tabelle132[Bezeichnung],MATCH(Tabelle7[[#This Row],[Gesamtcode]],Tabelle132[Gesamtcode],0))</f>
        <v>#N/A</v>
      </c>
      <c r="F478" t="e">
        <f>"_"&amp;INDEX(Tabelle132[Geräte/Gewerke],MATCH(Tabelle7[[#This Row],[Gesamtcode]],Tabelle132[Gesamtcode],0))</f>
        <v>#N/A</v>
      </c>
      <c r="G478" t="e">
        <f>INDEX(Tabelle13[Gewerknr.],MATCH(Tabelle7[[#This Row],[Gewerke]],Tabelle13[Hauptgruppe],0))</f>
        <v>#N/A</v>
      </c>
      <c r="H478" t="s">
        <v>360</v>
      </c>
      <c r="I478" t="e">
        <f ca="1">INDEX(Tabelle134[Funktionsbereichsnr.],MATCH(Tabelle7[[#This Row],[Funktionsbereiche]],INDIRECT("Tabelle134["&amp;Tabelle7[[#This Row],[Gewerke]]&amp;"]"),0))</f>
        <v>#N/A</v>
      </c>
      <c r="J478" t="e">
        <f>Tabelle7[[#This Row],[Gesamtcode]]&amp;"_"&amp;Tabelle7[[#This Row],[Zone]]&amp;"_"&amp;Tabelle7[[#This Row],[Raum]]&amp;"_"&amp;Tabelle7[[#This Row],[Bezeichnung]]</f>
        <v>#N/A</v>
      </c>
      <c r="K478">
        <v>4</v>
      </c>
      <c r="L478" t="e">
        <f>Tabelle7[[#This Row],[Hauptgruppe]]&amp;"/-/-"</f>
        <v>#N/A</v>
      </c>
      <c r="M478" t="e">
        <f ca="1">Tabelle7[[#This Row],[Hauptgruppe]]&amp;"/"&amp;Tabelle7[[#This Row],[Mittelgruppe]]&amp;"/-"</f>
        <v>#N/A</v>
      </c>
      <c r="N478" t="e">
        <f ca="1">Tabelle7[[#This Row],[Hauptgruppe]]&amp;"/"&amp;Tabelle7[[#This Row],[Mittelgruppe]]&amp;"/"&amp;Tabelle7[[#This Row],[Untergruppe]]</f>
        <v>#N/A</v>
      </c>
      <c r="O478" t="e">
        <f>INDEX(Tabelle6[Aktor],MATCH(Tabelle7[[#This Row],[Gesamtcode]],Tabelle6[Gesamtcode],0))&amp;" "&amp;INDEX(Tabelle6[Aktorkanal],MATCH(Tabelle7[[#This Row],[Gesamtcode]],Tabelle6[Gesamtcode],0))</f>
        <v>#N/A</v>
      </c>
    </row>
    <row r="479" spans="2:15" x14ac:dyDescent="0.25">
      <c r="B479" t="s">
        <v>355</v>
      </c>
      <c r="C479" t="e">
        <f>INDEX(Tabelle132[Zone],MATCH(Tabelle7[[#This Row],[Gesamtcode]],Tabelle132[Gesamtcode],0))</f>
        <v>#N/A</v>
      </c>
      <c r="D479" t="e">
        <f>INDEX(Tabelle132[Raum],MATCH(Tabelle7[[#This Row],[Gesamtcode]],Tabelle132[Gesamtcode],0))</f>
        <v>#N/A</v>
      </c>
      <c r="E479" t="e">
        <f>INDEX(Tabelle132[Bezeichnung],MATCH(Tabelle7[[#This Row],[Gesamtcode]],Tabelle132[Gesamtcode],0))</f>
        <v>#N/A</v>
      </c>
      <c r="F479" t="e">
        <f>"_"&amp;INDEX(Tabelle132[Geräte/Gewerke],MATCH(Tabelle7[[#This Row],[Gesamtcode]],Tabelle132[Gesamtcode],0))</f>
        <v>#N/A</v>
      </c>
      <c r="G479" t="e">
        <f>INDEX(Tabelle13[Gewerknr.],MATCH(Tabelle7[[#This Row],[Gewerke]],Tabelle13[Hauptgruppe],0))</f>
        <v>#N/A</v>
      </c>
      <c r="H479" t="s">
        <v>360</v>
      </c>
      <c r="I479" t="e">
        <f ca="1">INDEX(Tabelle134[Funktionsbereichsnr.],MATCH(Tabelle7[[#This Row],[Funktionsbereiche]],INDIRECT("Tabelle134["&amp;Tabelle7[[#This Row],[Gewerke]]&amp;"]"),0))</f>
        <v>#N/A</v>
      </c>
      <c r="J479" t="e">
        <f>Tabelle7[[#This Row],[Gesamtcode]]&amp;"_"&amp;Tabelle7[[#This Row],[Zone]]&amp;"_"&amp;Tabelle7[[#This Row],[Raum]]&amp;"_"&amp;Tabelle7[[#This Row],[Bezeichnung]]</f>
        <v>#N/A</v>
      </c>
      <c r="K479">
        <v>5</v>
      </c>
      <c r="L479" t="e">
        <f>Tabelle7[[#This Row],[Hauptgruppe]]&amp;"/-/-"</f>
        <v>#N/A</v>
      </c>
      <c r="M479" t="e">
        <f ca="1">Tabelle7[[#This Row],[Hauptgruppe]]&amp;"/"&amp;Tabelle7[[#This Row],[Mittelgruppe]]&amp;"/-"</f>
        <v>#N/A</v>
      </c>
      <c r="N479" t="e">
        <f ca="1">Tabelle7[[#This Row],[Hauptgruppe]]&amp;"/"&amp;Tabelle7[[#This Row],[Mittelgruppe]]&amp;"/"&amp;Tabelle7[[#This Row],[Untergruppe]]</f>
        <v>#N/A</v>
      </c>
      <c r="O479" t="e">
        <f>INDEX(Tabelle6[Aktor],MATCH(Tabelle7[[#This Row],[Gesamtcode]],Tabelle6[Gesamtcode],0))&amp;" "&amp;INDEX(Tabelle6[Aktorkanal],MATCH(Tabelle7[[#This Row],[Gesamtcode]],Tabelle6[Gesamtcode],0))</f>
        <v>#N/A</v>
      </c>
    </row>
    <row r="480" spans="2:15" x14ac:dyDescent="0.25">
      <c r="B480" t="s">
        <v>356</v>
      </c>
      <c r="C480" t="e">
        <f>INDEX(Tabelle132[Zone],MATCH(Tabelle7[[#This Row],[Gesamtcode]],Tabelle132[Gesamtcode],0))</f>
        <v>#N/A</v>
      </c>
      <c r="D480" t="e">
        <f>INDEX(Tabelle132[Raum],MATCH(Tabelle7[[#This Row],[Gesamtcode]],Tabelle132[Gesamtcode],0))</f>
        <v>#N/A</v>
      </c>
      <c r="E480" t="e">
        <f>INDEX(Tabelle132[Bezeichnung],MATCH(Tabelle7[[#This Row],[Gesamtcode]],Tabelle132[Gesamtcode],0))</f>
        <v>#N/A</v>
      </c>
      <c r="F480" t="e">
        <f>"_"&amp;INDEX(Tabelle132[Geräte/Gewerke],MATCH(Tabelle7[[#This Row],[Gesamtcode]],Tabelle132[Gesamtcode],0))</f>
        <v>#N/A</v>
      </c>
      <c r="G480" t="e">
        <f>INDEX(Tabelle13[Gewerknr.],MATCH(Tabelle7[[#This Row],[Gewerke]],Tabelle13[Hauptgruppe],0))</f>
        <v>#N/A</v>
      </c>
      <c r="H480" t="s">
        <v>360</v>
      </c>
      <c r="I480" t="e">
        <f ca="1">INDEX(Tabelle134[Funktionsbereichsnr.],MATCH(Tabelle7[[#This Row],[Funktionsbereiche]],INDIRECT("Tabelle134["&amp;Tabelle7[[#This Row],[Gewerke]]&amp;"]"),0))</f>
        <v>#N/A</v>
      </c>
      <c r="J480" t="e">
        <f>Tabelle7[[#This Row],[Gesamtcode]]&amp;"_"&amp;Tabelle7[[#This Row],[Zone]]&amp;"_"&amp;Tabelle7[[#This Row],[Raum]]&amp;"_"&amp;Tabelle7[[#This Row],[Bezeichnung]]</f>
        <v>#N/A</v>
      </c>
      <c r="K480">
        <v>6</v>
      </c>
      <c r="L480" t="e">
        <f>Tabelle7[[#This Row],[Hauptgruppe]]&amp;"/-/-"</f>
        <v>#N/A</v>
      </c>
      <c r="M480" t="e">
        <f ca="1">Tabelle7[[#This Row],[Hauptgruppe]]&amp;"/"&amp;Tabelle7[[#This Row],[Mittelgruppe]]&amp;"/-"</f>
        <v>#N/A</v>
      </c>
      <c r="N480" t="e">
        <f ca="1">Tabelle7[[#This Row],[Hauptgruppe]]&amp;"/"&amp;Tabelle7[[#This Row],[Mittelgruppe]]&amp;"/"&amp;Tabelle7[[#This Row],[Untergruppe]]</f>
        <v>#N/A</v>
      </c>
      <c r="O480" t="e">
        <f>INDEX(Tabelle6[Aktor],MATCH(Tabelle7[[#This Row],[Gesamtcode]],Tabelle6[Gesamtcode],0))&amp;" "&amp;INDEX(Tabelle6[Aktorkanal],MATCH(Tabelle7[[#This Row],[Gesamtcode]],Tabelle6[Gesamtcode],0))</f>
        <v>#N/A</v>
      </c>
    </row>
    <row r="481" spans="2:15" x14ac:dyDescent="0.25">
      <c r="B481" t="s">
        <v>357</v>
      </c>
      <c r="C481" t="e">
        <f>INDEX(Tabelle132[Zone],MATCH(Tabelle7[[#This Row],[Gesamtcode]],Tabelle132[Gesamtcode],0))</f>
        <v>#N/A</v>
      </c>
      <c r="D481" t="e">
        <f>INDEX(Tabelle132[Raum],MATCH(Tabelle7[[#This Row],[Gesamtcode]],Tabelle132[Gesamtcode],0))</f>
        <v>#N/A</v>
      </c>
      <c r="E481" t="e">
        <f>INDEX(Tabelle132[Bezeichnung],MATCH(Tabelle7[[#This Row],[Gesamtcode]],Tabelle132[Gesamtcode],0))</f>
        <v>#N/A</v>
      </c>
      <c r="F481" t="e">
        <f>"_"&amp;INDEX(Tabelle132[Geräte/Gewerke],MATCH(Tabelle7[[#This Row],[Gesamtcode]],Tabelle132[Gesamtcode],0))</f>
        <v>#N/A</v>
      </c>
      <c r="G481" t="e">
        <f>INDEX(Tabelle13[Gewerknr.],MATCH(Tabelle7[[#This Row],[Gewerke]],Tabelle13[Hauptgruppe],0))</f>
        <v>#N/A</v>
      </c>
      <c r="H481" t="s">
        <v>360</v>
      </c>
      <c r="I481" t="e">
        <f ca="1">INDEX(Tabelle134[Funktionsbereichsnr.],MATCH(Tabelle7[[#This Row],[Funktionsbereiche]],INDIRECT("Tabelle134["&amp;Tabelle7[[#This Row],[Gewerke]]&amp;"]"),0))</f>
        <v>#N/A</v>
      </c>
      <c r="J481" t="e">
        <f>Tabelle7[[#This Row],[Gesamtcode]]&amp;"_"&amp;Tabelle7[[#This Row],[Zone]]&amp;"_"&amp;Tabelle7[[#This Row],[Raum]]&amp;"_"&amp;Tabelle7[[#This Row],[Bezeichnung]]</f>
        <v>#N/A</v>
      </c>
      <c r="K481">
        <v>7</v>
      </c>
      <c r="L481" t="e">
        <f>Tabelle7[[#This Row],[Hauptgruppe]]&amp;"/-/-"</f>
        <v>#N/A</v>
      </c>
      <c r="M481" t="e">
        <f ca="1">Tabelle7[[#This Row],[Hauptgruppe]]&amp;"/"&amp;Tabelle7[[#This Row],[Mittelgruppe]]&amp;"/-"</f>
        <v>#N/A</v>
      </c>
      <c r="N481" t="e">
        <f ca="1">Tabelle7[[#This Row],[Hauptgruppe]]&amp;"/"&amp;Tabelle7[[#This Row],[Mittelgruppe]]&amp;"/"&amp;Tabelle7[[#This Row],[Untergruppe]]</f>
        <v>#N/A</v>
      </c>
      <c r="O481" t="e">
        <f>INDEX(Tabelle6[Aktor],MATCH(Tabelle7[[#This Row],[Gesamtcode]],Tabelle6[Gesamtcode],0))&amp;" "&amp;INDEX(Tabelle6[Aktorkanal],MATCH(Tabelle7[[#This Row],[Gesamtcode]],Tabelle6[Gesamtcode],0))</f>
        <v>#N/A</v>
      </c>
    </row>
    <row r="482" spans="2:15" x14ac:dyDescent="0.25">
      <c r="B482" t="s">
        <v>358</v>
      </c>
      <c r="C482" t="e">
        <f>INDEX(Tabelle132[Zone],MATCH(Tabelle7[[#This Row],[Gesamtcode]],Tabelle132[Gesamtcode],0))</f>
        <v>#N/A</v>
      </c>
      <c r="D482" t="e">
        <f>INDEX(Tabelle132[Raum],MATCH(Tabelle7[[#This Row],[Gesamtcode]],Tabelle132[Gesamtcode],0))</f>
        <v>#N/A</v>
      </c>
      <c r="E482" t="e">
        <f>INDEX(Tabelle132[Bezeichnung],MATCH(Tabelle7[[#This Row],[Gesamtcode]],Tabelle132[Gesamtcode],0))</f>
        <v>#N/A</v>
      </c>
      <c r="F482" t="e">
        <f>"_"&amp;INDEX(Tabelle132[Geräte/Gewerke],MATCH(Tabelle7[[#This Row],[Gesamtcode]],Tabelle132[Gesamtcode],0))</f>
        <v>#N/A</v>
      </c>
      <c r="G482" t="e">
        <f>INDEX(Tabelle13[Gewerknr.],MATCH(Tabelle7[[#This Row],[Gewerke]],Tabelle13[Hauptgruppe],0))</f>
        <v>#N/A</v>
      </c>
      <c r="H482" t="s">
        <v>360</v>
      </c>
      <c r="I482" t="e">
        <f ca="1">INDEX(Tabelle134[Funktionsbereichsnr.],MATCH(Tabelle7[[#This Row],[Funktionsbereiche]],INDIRECT("Tabelle134["&amp;Tabelle7[[#This Row],[Gewerke]]&amp;"]"),0))</f>
        <v>#N/A</v>
      </c>
      <c r="J482" t="e">
        <f>Tabelle7[[#This Row],[Gesamtcode]]&amp;"_"&amp;Tabelle7[[#This Row],[Zone]]&amp;"_"&amp;Tabelle7[[#This Row],[Raum]]&amp;"_"&amp;Tabelle7[[#This Row],[Bezeichnung]]</f>
        <v>#N/A</v>
      </c>
      <c r="K482">
        <v>8</v>
      </c>
      <c r="L482" t="e">
        <f>Tabelle7[[#This Row],[Hauptgruppe]]&amp;"/-/-"</f>
        <v>#N/A</v>
      </c>
      <c r="M482" t="e">
        <f ca="1">Tabelle7[[#This Row],[Hauptgruppe]]&amp;"/"&amp;Tabelle7[[#This Row],[Mittelgruppe]]&amp;"/-"</f>
        <v>#N/A</v>
      </c>
      <c r="N482" t="e">
        <f ca="1">Tabelle7[[#This Row],[Hauptgruppe]]&amp;"/"&amp;Tabelle7[[#This Row],[Mittelgruppe]]&amp;"/"&amp;Tabelle7[[#This Row],[Untergruppe]]</f>
        <v>#N/A</v>
      </c>
      <c r="O482" t="e">
        <f>INDEX(Tabelle6[Aktor],MATCH(Tabelle7[[#This Row],[Gesamtcode]],Tabelle6[Gesamtcode],0))&amp;" "&amp;INDEX(Tabelle6[Aktorkanal],MATCH(Tabelle7[[#This Row],[Gesamtcode]],Tabelle6[Gesamtcode],0))</f>
        <v>#N/A</v>
      </c>
    </row>
    <row r="483" spans="2:15" x14ac:dyDescent="0.25">
      <c r="B483" t="s">
        <v>359</v>
      </c>
      <c r="C483" t="e">
        <f>INDEX(Tabelle132[Zone],MATCH(Tabelle7[[#This Row],[Gesamtcode]],Tabelle132[Gesamtcode],0))</f>
        <v>#N/A</v>
      </c>
      <c r="D483" t="e">
        <f>INDEX(Tabelle132[Raum],MATCH(Tabelle7[[#This Row],[Gesamtcode]],Tabelle132[Gesamtcode],0))</f>
        <v>#N/A</v>
      </c>
      <c r="E483" t="e">
        <f>INDEX(Tabelle132[Bezeichnung],MATCH(Tabelle7[[#This Row],[Gesamtcode]],Tabelle132[Gesamtcode],0))</f>
        <v>#N/A</v>
      </c>
      <c r="F483" t="e">
        <f>"_"&amp;INDEX(Tabelle132[Geräte/Gewerke],MATCH(Tabelle7[[#This Row],[Gesamtcode]],Tabelle132[Gesamtcode],0))</f>
        <v>#N/A</v>
      </c>
      <c r="G483" t="e">
        <f>INDEX(Tabelle13[Gewerknr.],MATCH(Tabelle7[[#This Row],[Gewerke]],Tabelle13[Hauptgruppe],0))</f>
        <v>#N/A</v>
      </c>
      <c r="H483" t="s">
        <v>360</v>
      </c>
      <c r="I483" t="e">
        <f ca="1">INDEX(Tabelle134[Funktionsbereichsnr.],MATCH(Tabelle7[[#This Row],[Funktionsbereiche]],INDIRECT("Tabelle134["&amp;Tabelle7[[#This Row],[Gewerke]]&amp;"]"),0))</f>
        <v>#N/A</v>
      </c>
      <c r="J483" t="e">
        <f>Tabelle7[[#This Row],[Gesamtcode]]&amp;"_"&amp;Tabelle7[[#This Row],[Zone]]&amp;"_"&amp;Tabelle7[[#This Row],[Raum]]&amp;"_"&amp;Tabelle7[[#This Row],[Bezeichnung]]</f>
        <v>#N/A</v>
      </c>
      <c r="K483">
        <v>9</v>
      </c>
      <c r="L483" t="e">
        <f>Tabelle7[[#This Row],[Hauptgruppe]]&amp;"/-/-"</f>
        <v>#N/A</v>
      </c>
      <c r="M483" t="e">
        <f ca="1">Tabelle7[[#This Row],[Hauptgruppe]]&amp;"/"&amp;Tabelle7[[#This Row],[Mittelgruppe]]&amp;"/-"</f>
        <v>#N/A</v>
      </c>
      <c r="N483" t="e">
        <f ca="1">Tabelle7[[#This Row],[Hauptgruppe]]&amp;"/"&amp;Tabelle7[[#This Row],[Mittelgruppe]]&amp;"/"&amp;Tabelle7[[#This Row],[Untergruppe]]</f>
        <v>#N/A</v>
      </c>
      <c r="O483" t="e">
        <f>INDEX(Tabelle6[Aktor],MATCH(Tabelle7[[#This Row],[Gesamtcode]],Tabelle6[Gesamtcode],0))&amp;" "&amp;INDEX(Tabelle6[Aktorkanal],MATCH(Tabelle7[[#This Row],[Gesamtcode]],Tabelle6[Gesamtcode],0))</f>
        <v>#N/A</v>
      </c>
    </row>
    <row r="484" spans="2:15" x14ac:dyDescent="0.25">
      <c r="B484" t="s">
        <v>349</v>
      </c>
      <c r="C484" t="e">
        <f>INDEX(Tabelle132[Zone],MATCH(Tabelle7[[#This Row],[Gesamtcode]],Tabelle132[Gesamtcode],0))</f>
        <v>#N/A</v>
      </c>
      <c r="D484" t="e">
        <f>INDEX(Tabelle132[Raum],MATCH(Tabelle7[[#This Row],[Gesamtcode]],Tabelle132[Gesamtcode],0))</f>
        <v>#N/A</v>
      </c>
      <c r="E484" t="e">
        <f>INDEX(Tabelle132[Bezeichnung],MATCH(Tabelle7[[#This Row],[Gesamtcode]],Tabelle132[Gesamtcode],0))</f>
        <v>#N/A</v>
      </c>
      <c r="F484" t="e">
        <f>"_"&amp;INDEX(Tabelle132[Geräte/Gewerke],MATCH(Tabelle7[[#This Row],[Gesamtcode]],Tabelle132[Gesamtcode],0))</f>
        <v>#N/A</v>
      </c>
      <c r="G484" t="e">
        <f>INDEX(Tabelle13[Gewerknr.],MATCH(Tabelle7[[#This Row],[Gewerke]],Tabelle13[Hauptgruppe],0))</f>
        <v>#N/A</v>
      </c>
      <c r="H484" t="s">
        <v>361</v>
      </c>
      <c r="I484" t="e">
        <f ca="1">INDEX(Tabelle134[Funktionsbereichsnr.],MATCH(Tabelle7[[#This Row],[Funktionsbereiche]],INDIRECT("Tabelle134["&amp;Tabelle7[[#This Row],[Gewerke]]&amp;"]"),0))</f>
        <v>#N/A</v>
      </c>
      <c r="J484" t="e">
        <f>Tabelle7[[#This Row],[Gesamtcode]]&amp;"_"&amp;Tabelle7[[#This Row],[Zone]]&amp;"_"&amp;Tabelle7[[#This Row],[Raum]]&amp;"_"&amp;Tabelle7[[#This Row],[Bezeichnung]]</f>
        <v>#N/A</v>
      </c>
      <c r="K484">
        <v>0</v>
      </c>
      <c r="L484" t="e">
        <f>Tabelle7[[#This Row],[Hauptgruppe]]&amp;"/-/-"</f>
        <v>#N/A</v>
      </c>
      <c r="M484" t="e">
        <f ca="1">Tabelle7[[#This Row],[Hauptgruppe]]&amp;"/"&amp;Tabelle7[[#This Row],[Mittelgruppe]]&amp;"/-"</f>
        <v>#N/A</v>
      </c>
      <c r="N484" t="e">
        <f ca="1">Tabelle7[[#This Row],[Hauptgruppe]]&amp;"/"&amp;Tabelle7[[#This Row],[Mittelgruppe]]&amp;"/"&amp;Tabelle7[[#This Row],[Untergruppe]]</f>
        <v>#N/A</v>
      </c>
      <c r="O484" t="e">
        <f>INDEX(Tabelle6[Aktor],MATCH(Tabelle7[[#This Row],[Gesamtcode]],Tabelle6[Gesamtcode],0))&amp;" "&amp;INDEX(Tabelle6[Aktorkanal],MATCH(Tabelle7[[#This Row],[Gesamtcode]],Tabelle6[Gesamtcode],0))</f>
        <v>#N/A</v>
      </c>
    </row>
    <row r="485" spans="2:15" x14ac:dyDescent="0.25">
      <c r="B485" t="s">
        <v>350</v>
      </c>
      <c r="C485" t="e">
        <f>INDEX(Tabelle132[Zone],MATCH(Tabelle7[[#This Row],[Gesamtcode]],Tabelle132[Gesamtcode],0))</f>
        <v>#N/A</v>
      </c>
      <c r="D485" t="e">
        <f>INDEX(Tabelle132[Raum],MATCH(Tabelle7[[#This Row],[Gesamtcode]],Tabelle132[Gesamtcode],0))</f>
        <v>#N/A</v>
      </c>
      <c r="E485" t="e">
        <f>INDEX(Tabelle132[Bezeichnung],MATCH(Tabelle7[[#This Row],[Gesamtcode]],Tabelle132[Gesamtcode],0))</f>
        <v>#N/A</v>
      </c>
      <c r="F485" t="e">
        <f>"_"&amp;INDEX(Tabelle132[Geräte/Gewerke],MATCH(Tabelle7[[#This Row],[Gesamtcode]],Tabelle132[Gesamtcode],0))</f>
        <v>#N/A</v>
      </c>
      <c r="G485" t="e">
        <f>INDEX(Tabelle13[Gewerknr.],MATCH(Tabelle7[[#This Row],[Gewerke]],Tabelle13[Hauptgruppe],0))</f>
        <v>#N/A</v>
      </c>
      <c r="H485" t="s">
        <v>361</v>
      </c>
      <c r="I485" t="e">
        <f ca="1">INDEX(Tabelle134[Funktionsbereichsnr.],MATCH(Tabelle7[[#This Row],[Funktionsbereiche]],INDIRECT("Tabelle134["&amp;Tabelle7[[#This Row],[Gewerke]]&amp;"]"),0))</f>
        <v>#N/A</v>
      </c>
      <c r="J485" t="e">
        <f>Tabelle7[[#This Row],[Gesamtcode]]&amp;"_"&amp;Tabelle7[[#This Row],[Zone]]&amp;"_"&amp;Tabelle7[[#This Row],[Raum]]&amp;"_"&amp;Tabelle7[[#This Row],[Bezeichnung]]</f>
        <v>#N/A</v>
      </c>
      <c r="K485">
        <v>1</v>
      </c>
      <c r="L485" t="e">
        <f>Tabelle7[[#This Row],[Hauptgruppe]]&amp;"/-/-"</f>
        <v>#N/A</v>
      </c>
      <c r="M485" t="e">
        <f ca="1">Tabelle7[[#This Row],[Hauptgruppe]]&amp;"/"&amp;Tabelle7[[#This Row],[Mittelgruppe]]&amp;"/-"</f>
        <v>#N/A</v>
      </c>
      <c r="N485" t="e">
        <f ca="1">Tabelle7[[#This Row],[Hauptgruppe]]&amp;"/"&amp;Tabelle7[[#This Row],[Mittelgruppe]]&amp;"/"&amp;Tabelle7[[#This Row],[Untergruppe]]</f>
        <v>#N/A</v>
      </c>
      <c r="O485" t="e">
        <f>INDEX(Tabelle6[Aktor],MATCH(Tabelle7[[#This Row],[Gesamtcode]],Tabelle6[Gesamtcode],0))&amp;" "&amp;INDEX(Tabelle6[Aktorkanal],MATCH(Tabelle7[[#This Row],[Gesamtcode]],Tabelle6[Gesamtcode],0))</f>
        <v>#N/A</v>
      </c>
    </row>
    <row r="486" spans="2:15" x14ac:dyDescent="0.25">
      <c r="B486" t="s">
        <v>351</v>
      </c>
      <c r="C486" t="e">
        <f>INDEX(Tabelle132[Zone],MATCH(Tabelle7[[#This Row],[Gesamtcode]],Tabelle132[Gesamtcode],0))</f>
        <v>#N/A</v>
      </c>
      <c r="D486" t="e">
        <f>INDEX(Tabelle132[Raum],MATCH(Tabelle7[[#This Row],[Gesamtcode]],Tabelle132[Gesamtcode],0))</f>
        <v>#N/A</v>
      </c>
      <c r="E486" t="e">
        <f>INDEX(Tabelle132[Bezeichnung],MATCH(Tabelle7[[#This Row],[Gesamtcode]],Tabelle132[Gesamtcode],0))</f>
        <v>#N/A</v>
      </c>
      <c r="F486" t="e">
        <f>"_"&amp;INDEX(Tabelle132[Geräte/Gewerke],MATCH(Tabelle7[[#This Row],[Gesamtcode]],Tabelle132[Gesamtcode],0))</f>
        <v>#N/A</v>
      </c>
      <c r="G486" t="e">
        <f>INDEX(Tabelle13[Gewerknr.],MATCH(Tabelle7[[#This Row],[Gewerke]],Tabelle13[Hauptgruppe],0))</f>
        <v>#N/A</v>
      </c>
      <c r="H486" t="s">
        <v>361</v>
      </c>
      <c r="I486" t="e">
        <f ca="1">INDEX(Tabelle134[Funktionsbereichsnr.],MATCH(Tabelle7[[#This Row],[Funktionsbereiche]],INDIRECT("Tabelle134["&amp;Tabelle7[[#This Row],[Gewerke]]&amp;"]"),0))</f>
        <v>#N/A</v>
      </c>
      <c r="J486" t="e">
        <f>Tabelle7[[#This Row],[Gesamtcode]]&amp;"_"&amp;Tabelle7[[#This Row],[Zone]]&amp;"_"&amp;Tabelle7[[#This Row],[Raum]]&amp;"_"&amp;Tabelle7[[#This Row],[Bezeichnung]]</f>
        <v>#N/A</v>
      </c>
      <c r="K486">
        <v>10</v>
      </c>
      <c r="L486" t="e">
        <f>Tabelle7[[#This Row],[Hauptgruppe]]&amp;"/-/-"</f>
        <v>#N/A</v>
      </c>
      <c r="M486" t="e">
        <f ca="1">Tabelle7[[#This Row],[Hauptgruppe]]&amp;"/"&amp;Tabelle7[[#This Row],[Mittelgruppe]]&amp;"/-"</f>
        <v>#N/A</v>
      </c>
      <c r="N486" t="e">
        <f ca="1">Tabelle7[[#This Row],[Hauptgruppe]]&amp;"/"&amp;Tabelle7[[#This Row],[Mittelgruppe]]&amp;"/"&amp;Tabelle7[[#This Row],[Untergruppe]]</f>
        <v>#N/A</v>
      </c>
      <c r="O486" t="e">
        <f>INDEX(Tabelle6[Aktor],MATCH(Tabelle7[[#This Row],[Gesamtcode]],Tabelle6[Gesamtcode],0))&amp;" "&amp;INDEX(Tabelle6[Aktorkanal],MATCH(Tabelle7[[#This Row],[Gesamtcode]],Tabelle6[Gesamtcode],0))</f>
        <v>#N/A</v>
      </c>
    </row>
    <row r="487" spans="2:15" x14ac:dyDescent="0.25">
      <c r="B487" t="s">
        <v>352</v>
      </c>
      <c r="C487" t="e">
        <f>INDEX(Tabelle132[Zone],MATCH(Tabelle7[[#This Row],[Gesamtcode]],Tabelle132[Gesamtcode],0))</f>
        <v>#N/A</v>
      </c>
      <c r="D487" t="e">
        <f>INDEX(Tabelle132[Raum],MATCH(Tabelle7[[#This Row],[Gesamtcode]],Tabelle132[Gesamtcode],0))</f>
        <v>#N/A</v>
      </c>
      <c r="E487" t="e">
        <f>INDEX(Tabelle132[Bezeichnung],MATCH(Tabelle7[[#This Row],[Gesamtcode]],Tabelle132[Gesamtcode],0))</f>
        <v>#N/A</v>
      </c>
      <c r="F487" t="e">
        <f>"_"&amp;INDEX(Tabelle132[Geräte/Gewerke],MATCH(Tabelle7[[#This Row],[Gesamtcode]],Tabelle132[Gesamtcode],0))</f>
        <v>#N/A</v>
      </c>
      <c r="G487" t="e">
        <f>INDEX(Tabelle13[Gewerknr.],MATCH(Tabelle7[[#This Row],[Gewerke]],Tabelle13[Hauptgruppe],0))</f>
        <v>#N/A</v>
      </c>
      <c r="H487" t="s">
        <v>361</v>
      </c>
      <c r="I487" t="e">
        <f ca="1">INDEX(Tabelle134[Funktionsbereichsnr.],MATCH(Tabelle7[[#This Row],[Funktionsbereiche]],INDIRECT("Tabelle134["&amp;Tabelle7[[#This Row],[Gewerke]]&amp;"]"),0))</f>
        <v>#N/A</v>
      </c>
      <c r="J487" t="e">
        <f>Tabelle7[[#This Row],[Gesamtcode]]&amp;"_"&amp;Tabelle7[[#This Row],[Zone]]&amp;"_"&amp;Tabelle7[[#This Row],[Raum]]&amp;"_"&amp;Tabelle7[[#This Row],[Bezeichnung]]</f>
        <v>#N/A</v>
      </c>
      <c r="K487">
        <v>2</v>
      </c>
      <c r="L487" t="e">
        <f>Tabelle7[[#This Row],[Hauptgruppe]]&amp;"/-/-"</f>
        <v>#N/A</v>
      </c>
      <c r="M487" t="e">
        <f ca="1">Tabelle7[[#This Row],[Hauptgruppe]]&amp;"/"&amp;Tabelle7[[#This Row],[Mittelgruppe]]&amp;"/-"</f>
        <v>#N/A</v>
      </c>
      <c r="N487" t="e">
        <f ca="1">Tabelle7[[#This Row],[Hauptgruppe]]&amp;"/"&amp;Tabelle7[[#This Row],[Mittelgruppe]]&amp;"/"&amp;Tabelle7[[#This Row],[Untergruppe]]</f>
        <v>#N/A</v>
      </c>
      <c r="O487" t="e">
        <f>INDEX(Tabelle6[Aktor],MATCH(Tabelle7[[#This Row],[Gesamtcode]],Tabelle6[Gesamtcode],0))&amp;" "&amp;INDEX(Tabelle6[Aktorkanal],MATCH(Tabelle7[[#This Row],[Gesamtcode]],Tabelle6[Gesamtcode],0))</f>
        <v>#N/A</v>
      </c>
    </row>
    <row r="488" spans="2:15" x14ac:dyDescent="0.25">
      <c r="B488" t="s">
        <v>353</v>
      </c>
      <c r="C488" t="e">
        <f>INDEX(Tabelle132[Zone],MATCH(Tabelle7[[#This Row],[Gesamtcode]],Tabelle132[Gesamtcode],0))</f>
        <v>#N/A</v>
      </c>
      <c r="D488" t="e">
        <f>INDEX(Tabelle132[Raum],MATCH(Tabelle7[[#This Row],[Gesamtcode]],Tabelle132[Gesamtcode],0))</f>
        <v>#N/A</v>
      </c>
      <c r="E488" t="e">
        <f>INDEX(Tabelle132[Bezeichnung],MATCH(Tabelle7[[#This Row],[Gesamtcode]],Tabelle132[Gesamtcode],0))</f>
        <v>#N/A</v>
      </c>
      <c r="F488" t="e">
        <f>"_"&amp;INDEX(Tabelle132[Geräte/Gewerke],MATCH(Tabelle7[[#This Row],[Gesamtcode]],Tabelle132[Gesamtcode],0))</f>
        <v>#N/A</v>
      </c>
      <c r="G488" t="e">
        <f>INDEX(Tabelle13[Gewerknr.],MATCH(Tabelle7[[#This Row],[Gewerke]],Tabelle13[Hauptgruppe],0))</f>
        <v>#N/A</v>
      </c>
      <c r="H488" t="s">
        <v>361</v>
      </c>
      <c r="I488" t="e">
        <f ca="1">INDEX(Tabelle134[Funktionsbereichsnr.],MATCH(Tabelle7[[#This Row],[Funktionsbereiche]],INDIRECT("Tabelle134["&amp;Tabelle7[[#This Row],[Gewerke]]&amp;"]"),0))</f>
        <v>#N/A</v>
      </c>
      <c r="J488" t="e">
        <f>Tabelle7[[#This Row],[Gesamtcode]]&amp;"_"&amp;Tabelle7[[#This Row],[Zone]]&amp;"_"&amp;Tabelle7[[#This Row],[Raum]]&amp;"_"&amp;Tabelle7[[#This Row],[Bezeichnung]]</f>
        <v>#N/A</v>
      </c>
      <c r="K488">
        <v>3</v>
      </c>
      <c r="L488" t="e">
        <f>Tabelle7[[#This Row],[Hauptgruppe]]&amp;"/-/-"</f>
        <v>#N/A</v>
      </c>
      <c r="M488" t="e">
        <f ca="1">Tabelle7[[#This Row],[Hauptgruppe]]&amp;"/"&amp;Tabelle7[[#This Row],[Mittelgruppe]]&amp;"/-"</f>
        <v>#N/A</v>
      </c>
      <c r="N488" t="e">
        <f ca="1">Tabelle7[[#This Row],[Hauptgruppe]]&amp;"/"&amp;Tabelle7[[#This Row],[Mittelgruppe]]&amp;"/"&amp;Tabelle7[[#This Row],[Untergruppe]]</f>
        <v>#N/A</v>
      </c>
      <c r="O488" t="e">
        <f>INDEX(Tabelle6[Aktor],MATCH(Tabelle7[[#This Row],[Gesamtcode]],Tabelle6[Gesamtcode],0))&amp;" "&amp;INDEX(Tabelle6[Aktorkanal],MATCH(Tabelle7[[#This Row],[Gesamtcode]],Tabelle6[Gesamtcode],0))</f>
        <v>#N/A</v>
      </c>
    </row>
    <row r="489" spans="2:15" x14ac:dyDescent="0.25">
      <c r="B489" t="s">
        <v>354</v>
      </c>
      <c r="C489" t="e">
        <f>INDEX(Tabelle132[Zone],MATCH(Tabelle7[[#This Row],[Gesamtcode]],Tabelle132[Gesamtcode],0))</f>
        <v>#N/A</v>
      </c>
      <c r="D489" t="e">
        <f>INDEX(Tabelle132[Raum],MATCH(Tabelle7[[#This Row],[Gesamtcode]],Tabelle132[Gesamtcode],0))</f>
        <v>#N/A</v>
      </c>
      <c r="E489" t="e">
        <f>INDEX(Tabelle132[Bezeichnung],MATCH(Tabelle7[[#This Row],[Gesamtcode]],Tabelle132[Gesamtcode],0))</f>
        <v>#N/A</v>
      </c>
      <c r="F489" t="e">
        <f>"_"&amp;INDEX(Tabelle132[Geräte/Gewerke],MATCH(Tabelle7[[#This Row],[Gesamtcode]],Tabelle132[Gesamtcode],0))</f>
        <v>#N/A</v>
      </c>
      <c r="G489" t="e">
        <f>INDEX(Tabelle13[Gewerknr.],MATCH(Tabelle7[[#This Row],[Gewerke]],Tabelle13[Hauptgruppe],0))</f>
        <v>#N/A</v>
      </c>
      <c r="H489" t="s">
        <v>361</v>
      </c>
      <c r="I489" t="e">
        <f ca="1">INDEX(Tabelle134[Funktionsbereichsnr.],MATCH(Tabelle7[[#This Row],[Funktionsbereiche]],INDIRECT("Tabelle134["&amp;Tabelle7[[#This Row],[Gewerke]]&amp;"]"),0))</f>
        <v>#N/A</v>
      </c>
      <c r="J489" t="e">
        <f>Tabelle7[[#This Row],[Gesamtcode]]&amp;"_"&amp;Tabelle7[[#This Row],[Zone]]&amp;"_"&amp;Tabelle7[[#This Row],[Raum]]&amp;"_"&amp;Tabelle7[[#This Row],[Bezeichnung]]</f>
        <v>#N/A</v>
      </c>
      <c r="K489">
        <v>4</v>
      </c>
      <c r="L489" t="e">
        <f>Tabelle7[[#This Row],[Hauptgruppe]]&amp;"/-/-"</f>
        <v>#N/A</v>
      </c>
      <c r="M489" t="e">
        <f ca="1">Tabelle7[[#This Row],[Hauptgruppe]]&amp;"/"&amp;Tabelle7[[#This Row],[Mittelgruppe]]&amp;"/-"</f>
        <v>#N/A</v>
      </c>
      <c r="N489" t="e">
        <f ca="1">Tabelle7[[#This Row],[Hauptgruppe]]&amp;"/"&amp;Tabelle7[[#This Row],[Mittelgruppe]]&amp;"/"&amp;Tabelle7[[#This Row],[Untergruppe]]</f>
        <v>#N/A</v>
      </c>
      <c r="O489" t="e">
        <f>INDEX(Tabelle6[Aktor],MATCH(Tabelle7[[#This Row],[Gesamtcode]],Tabelle6[Gesamtcode],0))&amp;" "&amp;INDEX(Tabelle6[Aktorkanal],MATCH(Tabelle7[[#This Row],[Gesamtcode]],Tabelle6[Gesamtcode],0))</f>
        <v>#N/A</v>
      </c>
    </row>
    <row r="490" spans="2:15" x14ac:dyDescent="0.25">
      <c r="B490" t="s">
        <v>355</v>
      </c>
      <c r="C490" t="e">
        <f>INDEX(Tabelle132[Zone],MATCH(Tabelle7[[#This Row],[Gesamtcode]],Tabelle132[Gesamtcode],0))</f>
        <v>#N/A</v>
      </c>
      <c r="D490" t="e">
        <f>INDEX(Tabelle132[Raum],MATCH(Tabelle7[[#This Row],[Gesamtcode]],Tabelle132[Gesamtcode],0))</f>
        <v>#N/A</v>
      </c>
      <c r="E490" t="e">
        <f>INDEX(Tabelle132[Bezeichnung],MATCH(Tabelle7[[#This Row],[Gesamtcode]],Tabelle132[Gesamtcode],0))</f>
        <v>#N/A</v>
      </c>
      <c r="F490" t="e">
        <f>"_"&amp;INDEX(Tabelle132[Geräte/Gewerke],MATCH(Tabelle7[[#This Row],[Gesamtcode]],Tabelle132[Gesamtcode],0))</f>
        <v>#N/A</v>
      </c>
      <c r="G490" t="e">
        <f>INDEX(Tabelle13[Gewerknr.],MATCH(Tabelle7[[#This Row],[Gewerke]],Tabelle13[Hauptgruppe],0))</f>
        <v>#N/A</v>
      </c>
      <c r="H490" t="s">
        <v>361</v>
      </c>
      <c r="I490" t="e">
        <f ca="1">INDEX(Tabelle134[Funktionsbereichsnr.],MATCH(Tabelle7[[#This Row],[Funktionsbereiche]],INDIRECT("Tabelle134["&amp;Tabelle7[[#This Row],[Gewerke]]&amp;"]"),0))</f>
        <v>#N/A</v>
      </c>
      <c r="J490" t="e">
        <f>Tabelle7[[#This Row],[Gesamtcode]]&amp;"_"&amp;Tabelle7[[#This Row],[Zone]]&amp;"_"&amp;Tabelle7[[#This Row],[Raum]]&amp;"_"&amp;Tabelle7[[#This Row],[Bezeichnung]]</f>
        <v>#N/A</v>
      </c>
      <c r="K490">
        <v>5</v>
      </c>
      <c r="L490" t="e">
        <f>Tabelle7[[#This Row],[Hauptgruppe]]&amp;"/-/-"</f>
        <v>#N/A</v>
      </c>
      <c r="M490" t="e">
        <f ca="1">Tabelle7[[#This Row],[Hauptgruppe]]&amp;"/"&amp;Tabelle7[[#This Row],[Mittelgruppe]]&amp;"/-"</f>
        <v>#N/A</v>
      </c>
      <c r="N490" t="e">
        <f ca="1">Tabelle7[[#This Row],[Hauptgruppe]]&amp;"/"&amp;Tabelle7[[#This Row],[Mittelgruppe]]&amp;"/"&amp;Tabelle7[[#This Row],[Untergruppe]]</f>
        <v>#N/A</v>
      </c>
      <c r="O490" t="e">
        <f>INDEX(Tabelle6[Aktor],MATCH(Tabelle7[[#This Row],[Gesamtcode]],Tabelle6[Gesamtcode],0))&amp;" "&amp;INDEX(Tabelle6[Aktorkanal],MATCH(Tabelle7[[#This Row],[Gesamtcode]],Tabelle6[Gesamtcode],0))</f>
        <v>#N/A</v>
      </c>
    </row>
    <row r="491" spans="2:15" x14ac:dyDescent="0.25">
      <c r="B491" t="s">
        <v>356</v>
      </c>
      <c r="C491" t="e">
        <f>INDEX(Tabelle132[Zone],MATCH(Tabelle7[[#This Row],[Gesamtcode]],Tabelle132[Gesamtcode],0))</f>
        <v>#N/A</v>
      </c>
      <c r="D491" t="e">
        <f>INDEX(Tabelle132[Raum],MATCH(Tabelle7[[#This Row],[Gesamtcode]],Tabelle132[Gesamtcode],0))</f>
        <v>#N/A</v>
      </c>
      <c r="E491" t="e">
        <f>INDEX(Tabelle132[Bezeichnung],MATCH(Tabelle7[[#This Row],[Gesamtcode]],Tabelle132[Gesamtcode],0))</f>
        <v>#N/A</v>
      </c>
      <c r="F491" t="e">
        <f>"_"&amp;INDEX(Tabelle132[Geräte/Gewerke],MATCH(Tabelle7[[#This Row],[Gesamtcode]],Tabelle132[Gesamtcode],0))</f>
        <v>#N/A</v>
      </c>
      <c r="G491" t="e">
        <f>INDEX(Tabelle13[Gewerknr.],MATCH(Tabelle7[[#This Row],[Gewerke]],Tabelle13[Hauptgruppe],0))</f>
        <v>#N/A</v>
      </c>
      <c r="H491" t="s">
        <v>361</v>
      </c>
      <c r="I491" t="e">
        <f ca="1">INDEX(Tabelle134[Funktionsbereichsnr.],MATCH(Tabelle7[[#This Row],[Funktionsbereiche]],INDIRECT("Tabelle134["&amp;Tabelle7[[#This Row],[Gewerke]]&amp;"]"),0))</f>
        <v>#N/A</v>
      </c>
      <c r="J491" t="e">
        <f>Tabelle7[[#This Row],[Gesamtcode]]&amp;"_"&amp;Tabelle7[[#This Row],[Zone]]&amp;"_"&amp;Tabelle7[[#This Row],[Raum]]&amp;"_"&amp;Tabelle7[[#This Row],[Bezeichnung]]</f>
        <v>#N/A</v>
      </c>
      <c r="K491">
        <v>6</v>
      </c>
      <c r="L491" t="e">
        <f>Tabelle7[[#This Row],[Hauptgruppe]]&amp;"/-/-"</f>
        <v>#N/A</v>
      </c>
      <c r="M491" t="e">
        <f ca="1">Tabelle7[[#This Row],[Hauptgruppe]]&amp;"/"&amp;Tabelle7[[#This Row],[Mittelgruppe]]&amp;"/-"</f>
        <v>#N/A</v>
      </c>
      <c r="N491" t="e">
        <f ca="1">Tabelle7[[#This Row],[Hauptgruppe]]&amp;"/"&amp;Tabelle7[[#This Row],[Mittelgruppe]]&amp;"/"&amp;Tabelle7[[#This Row],[Untergruppe]]</f>
        <v>#N/A</v>
      </c>
      <c r="O491" t="e">
        <f>INDEX(Tabelle6[Aktor],MATCH(Tabelle7[[#This Row],[Gesamtcode]],Tabelle6[Gesamtcode],0))&amp;" "&amp;INDEX(Tabelle6[Aktorkanal],MATCH(Tabelle7[[#This Row],[Gesamtcode]],Tabelle6[Gesamtcode],0))</f>
        <v>#N/A</v>
      </c>
    </row>
    <row r="492" spans="2:15" x14ac:dyDescent="0.25">
      <c r="B492" t="s">
        <v>357</v>
      </c>
      <c r="C492" t="e">
        <f>INDEX(Tabelle132[Zone],MATCH(Tabelle7[[#This Row],[Gesamtcode]],Tabelle132[Gesamtcode],0))</f>
        <v>#N/A</v>
      </c>
      <c r="D492" t="e">
        <f>INDEX(Tabelle132[Raum],MATCH(Tabelle7[[#This Row],[Gesamtcode]],Tabelle132[Gesamtcode],0))</f>
        <v>#N/A</v>
      </c>
      <c r="E492" t="e">
        <f>INDEX(Tabelle132[Bezeichnung],MATCH(Tabelle7[[#This Row],[Gesamtcode]],Tabelle132[Gesamtcode],0))</f>
        <v>#N/A</v>
      </c>
      <c r="F492" t="e">
        <f>"_"&amp;INDEX(Tabelle132[Geräte/Gewerke],MATCH(Tabelle7[[#This Row],[Gesamtcode]],Tabelle132[Gesamtcode],0))</f>
        <v>#N/A</v>
      </c>
      <c r="G492" t="e">
        <f>INDEX(Tabelle13[Gewerknr.],MATCH(Tabelle7[[#This Row],[Gewerke]],Tabelle13[Hauptgruppe],0))</f>
        <v>#N/A</v>
      </c>
      <c r="H492" t="s">
        <v>361</v>
      </c>
      <c r="I492" t="e">
        <f ca="1">INDEX(Tabelle134[Funktionsbereichsnr.],MATCH(Tabelle7[[#This Row],[Funktionsbereiche]],INDIRECT("Tabelle134["&amp;Tabelle7[[#This Row],[Gewerke]]&amp;"]"),0))</f>
        <v>#N/A</v>
      </c>
      <c r="J492" t="e">
        <f>Tabelle7[[#This Row],[Gesamtcode]]&amp;"_"&amp;Tabelle7[[#This Row],[Zone]]&amp;"_"&amp;Tabelle7[[#This Row],[Raum]]&amp;"_"&amp;Tabelle7[[#This Row],[Bezeichnung]]</f>
        <v>#N/A</v>
      </c>
      <c r="K492">
        <v>7</v>
      </c>
      <c r="L492" t="e">
        <f>Tabelle7[[#This Row],[Hauptgruppe]]&amp;"/-/-"</f>
        <v>#N/A</v>
      </c>
      <c r="M492" t="e">
        <f ca="1">Tabelle7[[#This Row],[Hauptgruppe]]&amp;"/"&amp;Tabelle7[[#This Row],[Mittelgruppe]]&amp;"/-"</f>
        <v>#N/A</v>
      </c>
      <c r="N492" t="e">
        <f ca="1">Tabelle7[[#This Row],[Hauptgruppe]]&amp;"/"&amp;Tabelle7[[#This Row],[Mittelgruppe]]&amp;"/"&amp;Tabelle7[[#This Row],[Untergruppe]]</f>
        <v>#N/A</v>
      </c>
      <c r="O492" t="e">
        <f>INDEX(Tabelle6[Aktor],MATCH(Tabelle7[[#This Row],[Gesamtcode]],Tabelle6[Gesamtcode],0))&amp;" "&amp;INDEX(Tabelle6[Aktorkanal],MATCH(Tabelle7[[#This Row],[Gesamtcode]],Tabelle6[Gesamtcode],0))</f>
        <v>#N/A</v>
      </c>
    </row>
    <row r="493" spans="2:15" x14ac:dyDescent="0.25">
      <c r="B493" t="s">
        <v>358</v>
      </c>
      <c r="C493" t="e">
        <f>INDEX(Tabelle132[Zone],MATCH(Tabelle7[[#This Row],[Gesamtcode]],Tabelle132[Gesamtcode],0))</f>
        <v>#N/A</v>
      </c>
      <c r="D493" t="e">
        <f>INDEX(Tabelle132[Raum],MATCH(Tabelle7[[#This Row],[Gesamtcode]],Tabelle132[Gesamtcode],0))</f>
        <v>#N/A</v>
      </c>
      <c r="E493" t="e">
        <f>INDEX(Tabelle132[Bezeichnung],MATCH(Tabelle7[[#This Row],[Gesamtcode]],Tabelle132[Gesamtcode],0))</f>
        <v>#N/A</v>
      </c>
      <c r="F493" t="e">
        <f>"_"&amp;INDEX(Tabelle132[Geräte/Gewerke],MATCH(Tabelle7[[#This Row],[Gesamtcode]],Tabelle132[Gesamtcode],0))</f>
        <v>#N/A</v>
      </c>
      <c r="G493" t="e">
        <f>INDEX(Tabelle13[Gewerknr.],MATCH(Tabelle7[[#This Row],[Gewerke]],Tabelle13[Hauptgruppe],0))</f>
        <v>#N/A</v>
      </c>
      <c r="H493" t="s">
        <v>361</v>
      </c>
      <c r="I493" t="e">
        <f ca="1">INDEX(Tabelle134[Funktionsbereichsnr.],MATCH(Tabelle7[[#This Row],[Funktionsbereiche]],INDIRECT("Tabelle134["&amp;Tabelle7[[#This Row],[Gewerke]]&amp;"]"),0))</f>
        <v>#N/A</v>
      </c>
      <c r="J493" t="e">
        <f>Tabelle7[[#This Row],[Gesamtcode]]&amp;"_"&amp;Tabelle7[[#This Row],[Zone]]&amp;"_"&amp;Tabelle7[[#This Row],[Raum]]&amp;"_"&amp;Tabelle7[[#This Row],[Bezeichnung]]</f>
        <v>#N/A</v>
      </c>
      <c r="K493">
        <v>8</v>
      </c>
      <c r="L493" t="e">
        <f>Tabelle7[[#This Row],[Hauptgruppe]]&amp;"/-/-"</f>
        <v>#N/A</v>
      </c>
      <c r="M493" t="e">
        <f ca="1">Tabelle7[[#This Row],[Hauptgruppe]]&amp;"/"&amp;Tabelle7[[#This Row],[Mittelgruppe]]&amp;"/-"</f>
        <v>#N/A</v>
      </c>
      <c r="N493" t="e">
        <f ca="1">Tabelle7[[#This Row],[Hauptgruppe]]&amp;"/"&amp;Tabelle7[[#This Row],[Mittelgruppe]]&amp;"/"&amp;Tabelle7[[#This Row],[Untergruppe]]</f>
        <v>#N/A</v>
      </c>
      <c r="O493" t="e">
        <f>INDEX(Tabelle6[Aktor],MATCH(Tabelle7[[#This Row],[Gesamtcode]],Tabelle6[Gesamtcode],0))&amp;" "&amp;INDEX(Tabelle6[Aktorkanal],MATCH(Tabelle7[[#This Row],[Gesamtcode]],Tabelle6[Gesamtcode],0))</f>
        <v>#N/A</v>
      </c>
    </row>
    <row r="494" spans="2:15" x14ac:dyDescent="0.25">
      <c r="B494" t="s">
        <v>359</v>
      </c>
      <c r="C494" t="e">
        <f>INDEX(Tabelle132[Zone],MATCH(Tabelle7[[#This Row],[Gesamtcode]],Tabelle132[Gesamtcode],0))</f>
        <v>#N/A</v>
      </c>
      <c r="D494" t="e">
        <f>INDEX(Tabelle132[Raum],MATCH(Tabelle7[[#This Row],[Gesamtcode]],Tabelle132[Gesamtcode],0))</f>
        <v>#N/A</v>
      </c>
      <c r="E494" t="e">
        <f>INDEX(Tabelle132[Bezeichnung],MATCH(Tabelle7[[#This Row],[Gesamtcode]],Tabelle132[Gesamtcode],0))</f>
        <v>#N/A</v>
      </c>
      <c r="F494" t="e">
        <f>"_"&amp;INDEX(Tabelle132[Geräte/Gewerke],MATCH(Tabelle7[[#This Row],[Gesamtcode]],Tabelle132[Gesamtcode],0))</f>
        <v>#N/A</v>
      </c>
      <c r="G494" t="e">
        <f>INDEX(Tabelle13[Gewerknr.],MATCH(Tabelle7[[#This Row],[Gewerke]],Tabelle13[Hauptgruppe],0))</f>
        <v>#N/A</v>
      </c>
      <c r="H494" t="s">
        <v>361</v>
      </c>
      <c r="I494" t="e">
        <f ca="1">INDEX(Tabelle134[Funktionsbereichsnr.],MATCH(Tabelle7[[#This Row],[Funktionsbereiche]],INDIRECT("Tabelle134["&amp;Tabelle7[[#This Row],[Gewerke]]&amp;"]"),0))</f>
        <v>#N/A</v>
      </c>
      <c r="J494" t="e">
        <f>Tabelle7[[#This Row],[Gesamtcode]]&amp;"_"&amp;Tabelle7[[#This Row],[Zone]]&amp;"_"&amp;Tabelle7[[#This Row],[Raum]]&amp;"_"&amp;Tabelle7[[#This Row],[Bezeichnung]]</f>
        <v>#N/A</v>
      </c>
      <c r="K494">
        <v>9</v>
      </c>
      <c r="L494" t="e">
        <f>Tabelle7[[#This Row],[Hauptgruppe]]&amp;"/-/-"</f>
        <v>#N/A</v>
      </c>
      <c r="M494" t="e">
        <f ca="1">Tabelle7[[#This Row],[Hauptgruppe]]&amp;"/"&amp;Tabelle7[[#This Row],[Mittelgruppe]]&amp;"/-"</f>
        <v>#N/A</v>
      </c>
      <c r="N494" t="e">
        <f ca="1">Tabelle7[[#This Row],[Hauptgruppe]]&amp;"/"&amp;Tabelle7[[#This Row],[Mittelgruppe]]&amp;"/"&amp;Tabelle7[[#This Row],[Untergruppe]]</f>
        <v>#N/A</v>
      </c>
      <c r="O494" t="e">
        <f>INDEX(Tabelle6[Aktor],MATCH(Tabelle7[[#This Row],[Gesamtcode]],Tabelle6[Gesamtcode],0))&amp;" "&amp;INDEX(Tabelle6[Aktorkanal],MATCH(Tabelle7[[#This Row],[Gesamtcode]],Tabelle6[Gesamtcode],0))</f>
        <v>#N/A</v>
      </c>
    </row>
    <row r="495" spans="2:15" x14ac:dyDescent="0.25">
      <c r="B495" t="s">
        <v>349</v>
      </c>
      <c r="C495" t="e">
        <f>INDEX(Tabelle132[Zone],MATCH(Tabelle7[[#This Row],[Gesamtcode]],Tabelle132[Gesamtcode],0))</f>
        <v>#N/A</v>
      </c>
      <c r="D495" t="e">
        <f>INDEX(Tabelle132[Raum],MATCH(Tabelle7[[#This Row],[Gesamtcode]],Tabelle132[Gesamtcode],0))</f>
        <v>#N/A</v>
      </c>
      <c r="E495" t="e">
        <f>INDEX(Tabelle132[Bezeichnung],MATCH(Tabelle7[[#This Row],[Gesamtcode]],Tabelle132[Gesamtcode],0))</f>
        <v>#N/A</v>
      </c>
      <c r="F495" t="e">
        <f>"_"&amp;INDEX(Tabelle132[Geräte/Gewerke],MATCH(Tabelle7[[#This Row],[Gesamtcode]],Tabelle132[Gesamtcode],0))</f>
        <v>#N/A</v>
      </c>
      <c r="G495" t="e">
        <f>INDEX(Tabelle13[Gewerknr.],MATCH(Tabelle7[[#This Row],[Gewerke]],Tabelle13[Hauptgruppe],0))</f>
        <v>#N/A</v>
      </c>
      <c r="H495" t="s">
        <v>362</v>
      </c>
      <c r="I495" t="e">
        <f ca="1">INDEX(Tabelle134[Funktionsbereichsnr.],MATCH(Tabelle7[[#This Row],[Funktionsbereiche]],INDIRECT("Tabelle134["&amp;Tabelle7[[#This Row],[Gewerke]]&amp;"]"),0))</f>
        <v>#N/A</v>
      </c>
      <c r="J495" t="e">
        <f>Tabelle7[[#This Row],[Gesamtcode]]&amp;"_"&amp;Tabelle7[[#This Row],[Zone]]&amp;"_"&amp;Tabelle7[[#This Row],[Raum]]&amp;"_"&amp;Tabelle7[[#This Row],[Bezeichnung]]</f>
        <v>#N/A</v>
      </c>
      <c r="K495">
        <v>0</v>
      </c>
      <c r="L495" t="e">
        <f>Tabelle7[[#This Row],[Hauptgruppe]]&amp;"/-/-"</f>
        <v>#N/A</v>
      </c>
      <c r="M495" t="e">
        <f ca="1">Tabelle7[[#This Row],[Hauptgruppe]]&amp;"/"&amp;Tabelle7[[#This Row],[Mittelgruppe]]&amp;"/-"</f>
        <v>#N/A</v>
      </c>
      <c r="N495" t="e">
        <f ca="1">Tabelle7[[#This Row],[Hauptgruppe]]&amp;"/"&amp;Tabelle7[[#This Row],[Mittelgruppe]]&amp;"/"&amp;Tabelle7[[#This Row],[Untergruppe]]</f>
        <v>#N/A</v>
      </c>
      <c r="O495" t="e">
        <f>INDEX(Tabelle6[Aktor],MATCH(Tabelle7[[#This Row],[Gesamtcode]],Tabelle6[Gesamtcode],0))&amp;" "&amp;INDEX(Tabelle6[Aktorkanal],MATCH(Tabelle7[[#This Row],[Gesamtcode]],Tabelle6[Gesamtcode],0))</f>
        <v>#N/A</v>
      </c>
    </row>
    <row r="496" spans="2:15" x14ac:dyDescent="0.25">
      <c r="B496" t="s">
        <v>350</v>
      </c>
      <c r="C496" t="e">
        <f>INDEX(Tabelle132[Zone],MATCH(Tabelle7[[#This Row],[Gesamtcode]],Tabelle132[Gesamtcode],0))</f>
        <v>#N/A</v>
      </c>
      <c r="D496" t="e">
        <f>INDEX(Tabelle132[Raum],MATCH(Tabelle7[[#This Row],[Gesamtcode]],Tabelle132[Gesamtcode],0))</f>
        <v>#N/A</v>
      </c>
      <c r="E496" t="e">
        <f>INDEX(Tabelle132[Bezeichnung],MATCH(Tabelle7[[#This Row],[Gesamtcode]],Tabelle132[Gesamtcode],0))</f>
        <v>#N/A</v>
      </c>
      <c r="F496" t="e">
        <f>"_"&amp;INDEX(Tabelle132[Geräte/Gewerke],MATCH(Tabelle7[[#This Row],[Gesamtcode]],Tabelle132[Gesamtcode],0))</f>
        <v>#N/A</v>
      </c>
      <c r="G496" t="e">
        <f>INDEX(Tabelle13[Gewerknr.],MATCH(Tabelle7[[#This Row],[Gewerke]],Tabelle13[Hauptgruppe],0))</f>
        <v>#N/A</v>
      </c>
      <c r="H496" t="s">
        <v>362</v>
      </c>
      <c r="I496" t="e">
        <f ca="1">INDEX(Tabelle134[Funktionsbereichsnr.],MATCH(Tabelle7[[#This Row],[Funktionsbereiche]],INDIRECT("Tabelle134["&amp;Tabelle7[[#This Row],[Gewerke]]&amp;"]"),0))</f>
        <v>#N/A</v>
      </c>
      <c r="J496" t="e">
        <f>Tabelle7[[#This Row],[Gesamtcode]]&amp;"_"&amp;Tabelle7[[#This Row],[Zone]]&amp;"_"&amp;Tabelle7[[#This Row],[Raum]]&amp;"_"&amp;Tabelle7[[#This Row],[Bezeichnung]]</f>
        <v>#N/A</v>
      </c>
      <c r="K496">
        <v>1</v>
      </c>
      <c r="L496" t="e">
        <f>Tabelle7[[#This Row],[Hauptgruppe]]&amp;"/-/-"</f>
        <v>#N/A</v>
      </c>
      <c r="M496" t="e">
        <f ca="1">Tabelle7[[#This Row],[Hauptgruppe]]&amp;"/"&amp;Tabelle7[[#This Row],[Mittelgruppe]]&amp;"/-"</f>
        <v>#N/A</v>
      </c>
      <c r="N496" t="e">
        <f ca="1">Tabelle7[[#This Row],[Hauptgruppe]]&amp;"/"&amp;Tabelle7[[#This Row],[Mittelgruppe]]&amp;"/"&amp;Tabelle7[[#This Row],[Untergruppe]]</f>
        <v>#N/A</v>
      </c>
      <c r="O496" t="e">
        <f>INDEX(Tabelle6[Aktor],MATCH(Tabelle7[[#This Row],[Gesamtcode]],Tabelle6[Gesamtcode],0))&amp;" "&amp;INDEX(Tabelle6[Aktorkanal],MATCH(Tabelle7[[#This Row],[Gesamtcode]],Tabelle6[Gesamtcode],0))</f>
        <v>#N/A</v>
      </c>
    </row>
    <row r="497" spans="2:15" x14ac:dyDescent="0.25">
      <c r="B497" t="s">
        <v>351</v>
      </c>
      <c r="C497" t="e">
        <f>INDEX(Tabelle132[Zone],MATCH(Tabelle7[[#This Row],[Gesamtcode]],Tabelle132[Gesamtcode],0))</f>
        <v>#N/A</v>
      </c>
      <c r="D497" t="e">
        <f>INDEX(Tabelle132[Raum],MATCH(Tabelle7[[#This Row],[Gesamtcode]],Tabelle132[Gesamtcode],0))</f>
        <v>#N/A</v>
      </c>
      <c r="E497" t="e">
        <f>INDEX(Tabelle132[Bezeichnung],MATCH(Tabelle7[[#This Row],[Gesamtcode]],Tabelle132[Gesamtcode],0))</f>
        <v>#N/A</v>
      </c>
      <c r="F497" t="e">
        <f>"_"&amp;INDEX(Tabelle132[Geräte/Gewerke],MATCH(Tabelle7[[#This Row],[Gesamtcode]],Tabelle132[Gesamtcode],0))</f>
        <v>#N/A</v>
      </c>
      <c r="G497" t="e">
        <f>INDEX(Tabelle13[Gewerknr.],MATCH(Tabelle7[[#This Row],[Gewerke]],Tabelle13[Hauptgruppe],0))</f>
        <v>#N/A</v>
      </c>
      <c r="H497" t="s">
        <v>362</v>
      </c>
      <c r="I497" t="e">
        <f ca="1">INDEX(Tabelle134[Funktionsbereichsnr.],MATCH(Tabelle7[[#This Row],[Funktionsbereiche]],INDIRECT("Tabelle134["&amp;Tabelle7[[#This Row],[Gewerke]]&amp;"]"),0))</f>
        <v>#N/A</v>
      </c>
      <c r="J497" t="e">
        <f>Tabelle7[[#This Row],[Gesamtcode]]&amp;"_"&amp;Tabelle7[[#This Row],[Zone]]&amp;"_"&amp;Tabelle7[[#This Row],[Raum]]&amp;"_"&amp;Tabelle7[[#This Row],[Bezeichnung]]</f>
        <v>#N/A</v>
      </c>
      <c r="K497">
        <v>10</v>
      </c>
      <c r="L497" t="e">
        <f>Tabelle7[[#This Row],[Hauptgruppe]]&amp;"/-/-"</f>
        <v>#N/A</v>
      </c>
      <c r="M497" t="e">
        <f ca="1">Tabelle7[[#This Row],[Hauptgruppe]]&amp;"/"&amp;Tabelle7[[#This Row],[Mittelgruppe]]&amp;"/-"</f>
        <v>#N/A</v>
      </c>
      <c r="N497" t="e">
        <f ca="1">Tabelle7[[#This Row],[Hauptgruppe]]&amp;"/"&amp;Tabelle7[[#This Row],[Mittelgruppe]]&amp;"/"&amp;Tabelle7[[#This Row],[Untergruppe]]</f>
        <v>#N/A</v>
      </c>
      <c r="O497" t="e">
        <f>INDEX(Tabelle6[Aktor],MATCH(Tabelle7[[#This Row],[Gesamtcode]],Tabelle6[Gesamtcode],0))&amp;" "&amp;INDEX(Tabelle6[Aktorkanal],MATCH(Tabelle7[[#This Row],[Gesamtcode]],Tabelle6[Gesamtcode],0))</f>
        <v>#N/A</v>
      </c>
    </row>
    <row r="498" spans="2:15" x14ac:dyDescent="0.25">
      <c r="B498" t="s">
        <v>352</v>
      </c>
      <c r="C498" t="e">
        <f>INDEX(Tabelle132[Zone],MATCH(Tabelle7[[#This Row],[Gesamtcode]],Tabelle132[Gesamtcode],0))</f>
        <v>#N/A</v>
      </c>
      <c r="D498" t="e">
        <f>INDEX(Tabelle132[Raum],MATCH(Tabelle7[[#This Row],[Gesamtcode]],Tabelle132[Gesamtcode],0))</f>
        <v>#N/A</v>
      </c>
      <c r="E498" t="e">
        <f>INDEX(Tabelle132[Bezeichnung],MATCH(Tabelle7[[#This Row],[Gesamtcode]],Tabelle132[Gesamtcode],0))</f>
        <v>#N/A</v>
      </c>
      <c r="F498" t="e">
        <f>"_"&amp;INDEX(Tabelle132[Geräte/Gewerke],MATCH(Tabelle7[[#This Row],[Gesamtcode]],Tabelle132[Gesamtcode],0))</f>
        <v>#N/A</v>
      </c>
      <c r="G498" t="e">
        <f>INDEX(Tabelle13[Gewerknr.],MATCH(Tabelle7[[#This Row],[Gewerke]],Tabelle13[Hauptgruppe],0))</f>
        <v>#N/A</v>
      </c>
      <c r="H498" t="s">
        <v>362</v>
      </c>
      <c r="I498" t="e">
        <f ca="1">INDEX(Tabelle134[Funktionsbereichsnr.],MATCH(Tabelle7[[#This Row],[Funktionsbereiche]],INDIRECT("Tabelle134["&amp;Tabelle7[[#This Row],[Gewerke]]&amp;"]"),0))</f>
        <v>#N/A</v>
      </c>
      <c r="J498" t="e">
        <f>Tabelle7[[#This Row],[Gesamtcode]]&amp;"_"&amp;Tabelle7[[#This Row],[Zone]]&amp;"_"&amp;Tabelle7[[#This Row],[Raum]]&amp;"_"&amp;Tabelle7[[#This Row],[Bezeichnung]]</f>
        <v>#N/A</v>
      </c>
      <c r="K498">
        <v>2</v>
      </c>
      <c r="L498" t="e">
        <f>Tabelle7[[#This Row],[Hauptgruppe]]&amp;"/-/-"</f>
        <v>#N/A</v>
      </c>
      <c r="M498" t="e">
        <f ca="1">Tabelle7[[#This Row],[Hauptgruppe]]&amp;"/"&amp;Tabelle7[[#This Row],[Mittelgruppe]]&amp;"/-"</f>
        <v>#N/A</v>
      </c>
      <c r="N498" t="e">
        <f ca="1">Tabelle7[[#This Row],[Hauptgruppe]]&amp;"/"&amp;Tabelle7[[#This Row],[Mittelgruppe]]&amp;"/"&amp;Tabelle7[[#This Row],[Untergruppe]]</f>
        <v>#N/A</v>
      </c>
      <c r="O498" t="e">
        <f>INDEX(Tabelle6[Aktor],MATCH(Tabelle7[[#This Row],[Gesamtcode]],Tabelle6[Gesamtcode],0))&amp;" "&amp;INDEX(Tabelle6[Aktorkanal],MATCH(Tabelle7[[#This Row],[Gesamtcode]],Tabelle6[Gesamtcode],0))</f>
        <v>#N/A</v>
      </c>
    </row>
    <row r="499" spans="2:15" x14ac:dyDescent="0.25">
      <c r="B499" t="s">
        <v>353</v>
      </c>
      <c r="C499" t="e">
        <f>INDEX(Tabelle132[Zone],MATCH(Tabelle7[[#This Row],[Gesamtcode]],Tabelle132[Gesamtcode],0))</f>
        <v>#N/A</v>
      </c>
      <c r="D499" t="e">
        <f>INDEX(Tabelle132[Raum],MATCH(Tabelle7[[#This Row],[Gesamtcode]],Tabelle132[Gesamtcode],0))</f>
        <v>#N/A</v>
      </c>
      <c r="E499" t="e">
        <f>INDEX(Tabelle132[Bezeichnung],MATCH(Tabelle7[[#This Row],[Gesamtcode]],Tabelle132[Gesamtcode],0))</f>
        <v>#N/A</v>
      </c>
      <c r="F499" t="e">
        <f>"_"&amp;INDEX(Tabelle132[Geräte/Gewerke],MATCH(Tabelle7[[#This Row],[Gesamtcode]],Tabelle132[Gesamtcode],0))</f>
        <v>#N/A</v>
      </c>
      <c r="G499" t="e">
        <f>INDEX(Tabelle13[Gewerknr.],MATCH(Tabelle7[[#This Row],[Gewerke]],Tabelle13[Hauptgruppe],0))</f>
        <v>#N/A</v>
      </c>
      <c r="H499" t="s">
        <v>362</v>
      </c>
      <c r="I499" t="e">
        <f ca="1">INDEX(Tabelle134[Funktionsbereichsnr.],MATCH(Tabelle7[[#This Row],[Funktionsbereiche]],INDIRECT("Tabelle134["&amp;Tabelle7[[#This Row],[Gewerke]]&amp;"]"),0))</f>
        <v>#N/A</v>
      </c>
      <c r="J499" t="e">
        <f>Tabelle7[[#This Row],[Gesamtcode]]&amp;"_"&amp;Tabelle7[[#This Row],[Zone]]&amp;"_"&amp;Tabelle7[[#This Row],[Raum]]&amp;"_"&amp;Tabelle7[[#This Row],[Bezeichnung]]</f>
        <v>#N/A</v>
      </c>
      <c r="K499">
        <v>3</v>
      </c>
      <c r="L499" t="e">
        <f>Tabelle7[[#This Row],[Hauptgruppe]]&amp;"/-/-"</f>
        <v>#N/A</v>
      </c>
      <c r="M499" t="e">
        <f ca="1">Tabelle7[[#This Row],[Hauptgruppe]]&amp;"/"&amp;Tabelle7[[#This Row],[Mittelgruppe]]&amp;"/-"</f>
        <v>#N/A</v>
      </c>
      <c r="N499" t="e">
        <f ca="1">Tabelle7[[#This Row],[Hauptgruppe]]&amp;"/"&amp;Tabelle7[[#This Row],[Mittelgruppe]]&amp;"/"&amp;Tabelle7[[#This Row],[Untergruppe]]</f>
        <v>#N/A</v>
      </c>
      <c r="O499" t="e">
        <f>INDEX(Tabelle6[Aktor],MATCH(Tabelle7[[#This Row],[Gesamtcode]],Tabelle6[Gesamtcode],0))&amp;" "&amp;INDEX(Tabelle6[Aktorkanal],MATCH(Tabelle7[[#This Row],[Gesamtcode]],Tabelle6[Gesamtcode],0))</f>
        <v>#N/A</v>
      </c>
    </row>
    <row r="500" spans="2:15" x14ac:dyDescent="0.25">
      <c r="B500" t="s">
        <v>354</v>
      </c>
      <c r="C500" t="e">
        <f>INDEX(Tabelle132[Zone],MATCH(Tabelle7[[#This Row],[Gesamtcode]],Tabelle132[Gesamtcode],0))</f>
        <v>#N/A</v>
      </c>
      <c r="D500" t="e">
        <f>INDEX(Tabelle132[Raum],MATCH(Tabelle7[[#This Row],[Gesamtcode]],Tabelle132[Gesamtcode],0))</f>
        <v>#N/A</v>
      </c>
      <c r="E500" t="e">
        <f>INDEX(Tabelle132[Bezeichnung],MATCH(Tabelle7[[#This Row],[Gesamtcode]],Tabelle132[Gesamtcode],0))</f>
        <v>#N/A</v>
      </c>
      <c r="F500" t="e">
        <f>"_"&amp;INDEX(Tabelle132[Geräte/Gewerke],MATCH(Tabelle7[[#This Row],[Gesamtcode]],Tabelle132[Gesamtcode],0))</f>
        <v>#N/A</v>
      </c>
      <c r="G500" t="e">
        <f>INDEX(Tabelle13[Gewerknr.],MATCH(Tabelle7[[#This Row],[Gewerke]],Tabelle13[Hauptgruppe],0))</f>
        <v>#N/A</v>
      </c>
      <c r="H500" t="s">
        <v>362</v>
      </c>
      <c r="I500" t="e">
        <f ca="1">INDEX(Tabelle134[Funktionsbereichsnr.],MATCH(Tabelle7[[#This Row],[Funktionsbereiche]],INDIRECT("Tabelle134["&amp;Tabelle7[[#This Row],[Gewerke]]&amp;"]"),0))</f>
        <v>#N/A</v>
      </c>
      <c r="J500" t="e">
        <f>Tabelle7[[#This Row],[Gesamtcode]]&amp;"_"&amp;Tabelle7[[#This Row],[Zone]]&amp;"_"&amp;Tabelle7[[#This Row],[Raum]]&amp;"_"&amp;Tabelle7[[#This Row],[Bezeichnung]]</f>
        <v>#N/A</v>
      </c>
      <c r="K500">
        <v>4</v>
      </c>
      <c r="L500" t="e">
        <f>Tabelle7[[#This Row],[Hauptgruppe]]&amp;"/-/-"</f>
        <v>#N/A</v>
      </c>
      <c r="M500" t="e">
        <f ca="1">Tabelle7[[#This Row],[Hauptgruppe]]&amp;"/"&amp;Tabelle7[[#This Row],[Mittelgruppe]]&amp;"/-"</f>
        <v>#N/A</v>
      </c>
      <c r="N500" t="e">
        <f ca="1">Tabelle7[[#This Row],[Hauptgruppe]]&amp;"/"&amp;Tabelle7[[#This Row],[Mittelgruppe]]&amp;"/"&amp;Tabelle7[[#This Row],[Untergruppe]]</f>
        <v>#N/A</v>
      </c>
      <c r="O500" t="e">
        <f>INDEX(Tabelle6[Aktor],MATCH(Tabelle7[[#This Row],[Gesamtcode]],Tabelle6[Gesamtcode],0))&amp;" "&amp;INDEX(Tabelle6[Aktorkanal],MATCH(Tabelle7[[#This Row],[Gesamtcode]],Tabelle6[Gesamtcode],0))</f>
        <v>#N/A</v>
      </c>
    </row>
    <row r="501" spans="2:15" x14ac:dyDescent="0.25">
      <c r="B501" t="s">
        <v>355</v>
      </c>
      <c r="C501" t="e">
        <f>INDEX(Tabelle132[Zone],MATCH(Tabelle7[[#This Row],[Gesamtcode]],Tabelle132[Gesamtcode],0))</f>
        <v>#N/A</v>
      </c>
      <c r="D501" t="e">
        <f>INDEX(Tabelle132[Raum],MATCH(Tabelle7[[#This Row],[Gesamtcode]],Tabelle132[Gesamtcode],0))</f>
        <v>#N/A</v>
      </c>
      <c r="E501" t="e">
        <f>INDEX(Tabelle132[Bezeichnung],MATCH(Tabelle7[[#This Row],[Gesamtcode]],Tabelle132[Gesamtcode],0))</f>
        <v>#N/A</v>
      </c>
      <c r="F501" t="e">
        <f>"_"&amp;INDEX(Tabelle132[Geräte/Gewerke],MATCH(Tabelle7[[#This Row],[Gesamtcode]],Tabelle132[Gesamtcode],0))</f>
        <v>#N/A</v>
      </c>
      <c r="G501" t="e">
        <f>INDEX(Tabelle13[Gewerknr.],MATCH(Tabelle7[[#This Row],[Gewerke]],Tabelle13[Hauptgruppe],0))</f>
        <v>#N/A</v>
      </c>
      <c r="H501" t="s">
        <v>362</v>
      </c>
      <c r="I501" t="e">
        <f ca="1">INDEX(Tabelle134[Funktionsbereichsnr.],MATCH(Tabelle7[[#This Row],[Funktionsbereiche]],INDIRECT("Tabelle134["&amp;Tabelle7[[#This Row],[Gewerke]]&amp;"]"),0))</f>
        <v>#N/A</v>
      </c>
      <c r="J501" t="e">
        <f>Tabelle7[[#This Row],[Gesamtcode]]&amp;"_"&amp;Tabelle7[[#This Row],[Zone]]&amp;"_"&amp;Tabelle7[[#This Row],[Raum]]&amp;"_"&amp;Tabelle7[[#This Row],[Bezeichnung]]</f>
        <v>#N/A</v>
      </c>
      <c r="K501">
        <v>5</v>
      </c>
      <c r="L501" t="e">
        <f>Tabelle7[[#This Row],[Hauptgruppe]]&amp;"/-/-"</f>
        <v>#N/A</v>
      </c>
      <c r="M501" t="e">
        <f ca="1">Tabelle7[[#This Row],[Hauptgruppe]]&amp;"/"&amp;Tabelle7[[#This Row],[Mittelgruppe]]&amp;"/-"</f>
        <v>#N/A</v>
      </c>
      <c r="N501" t="e">
        <f ca="1">Tabelle7[[#This Row],[Hauptgruppe]]&amp;"/"&amp;Tabelle7[[#This Row],[Mittelgruppe]]&amp;"/"&amp;Tabelle7[[#This Row],[Untergruppe]]</f>
        <v>#N/A</v>
      </c>
      <c r="O501" t="e">
        <f>INDEX(Tabelle6[Aktor],MATCH(Tabelle7[[#This Row],[Gesamtcode]],Tabelle6[Gesamtcode],0))&amp;" "&amp;INDEX(Tabelle6[Aktorkanal],MATCH(Tabelle7[[#This Row],[Gesamtcode]],Tabelle6[Gesamtcode],0))</f>
        <v>#N/A</v>
      </c>
    </row>
    <row r="502" spans="2:15" x14ac:dyDescent="0.25">
      <c r="B502" t="s">
        <v>356</v>
      </c>
      <c r="C502" t="e">
        <f>INDEX(Tabelle132[Zone],MATCH(Tabelle7[[#This Row],[Gesamtcode]],Tabelle132[Gesamtcode],0))</f>
        <v>#N/A</v>
      </c>
      <c r="D502" t="e">
        <f>INDEX(Tabelle132[Raum],MATCH(Tabelle7[[#This Row],[Gesamtcode]],Tabelle132[Gesamtcode],0))</f>
        <v>#N/A</v>
      </c>
      <c r="E502" t="e">
        <f>INDEX(Tabelle132[Bezeichnung],MATCH(Tabelle7[[#This Row],[Gesamtcode]],Tabelle132[Gesamtcode],0))</f>
        <v>#N/A</v>
      </c>
      <c r="F502" t="e">
        <f>"_"&amp;INDEX(Tabelle132[Geräte/Gewerke],MATCH(Tabelle7[[#This Row],[Gesamtcode]],Tabelle132[Gesamtcode],0))</f>
        <v>#N/A</v>
      </c>
      <c r="G502" t="e">
        <f>INDEX(Tabelle13[Gewerknr.],MATCH(Tabelle7[[#This Row],[Gewerke]],Tabelle13[Hauptgruppe],0))</f>
        <v>#N/A</v>
      </c>
      <c r="H502" t="s">
        <v>362</v>
      </c>
      <c r="I502" t="e">
        <f ca="1">INDEX(Tabelle134[Funktionsbereichsnr.],MATCH(Tabelle7[[#This Row],[Funktionsbereiche]],INDIRECT("Tabelle134["&amp;Tabelle7[[#This Row],[Gewerke]]&amp;"]"),0))</f>
        <v>#N/A</v>
      </c>
      <c r="J502" t="e">
        <f>Tabelle7[[#This Row],[Gesamtcode]]&amp;"_"&amp;Tabelle7[[#This Row],[Zone]]&amp;"_"&amp;Tabelle7[[#This Row],[Raum]]&amp;"_"&amp;Tabelle7[[#This Row],[Bezeichnung]]</f>
        <v>#N/A</v>
      </c>
      <c r="K502">
        <v>6</v>
      </c>
      <c r="L502" t="e">
        <f>Tabelle7[[#This Row],[Hauptgruppe]]&amp;"/-/-"</f>
        <v>#N/A</v>
      </c>
      <c r="M502" t="e">
        <f ca="1">Tabelle7[[#This Row],[Hauptgruppe]]&amp;"/"&amp;Tabelle7[[#This Row],[Mittelgruppe]]&amp;"/-"</f>
        <v>#N/A</v>
      </c>
      <c r="N502" t="e">
        <f ca="1">Tabelle7[[#This Row],[Hauptgruppe]]&amp;"/"&amp;Tabelle7[[#This Row],[Mittelgruppe]]&amp;"/"&amp;Tabelle7[[#This Row],[Untergruppe]]</f>
        <v>#N/A</v>
      </c>
      <c r="O502" t="e">
        <f>INDEX(Tabelle6[Aktor],MATCH(Tabelle7[[#This Row],[Gesamtcode]],Tabelle6[Gesamtcode],0))&amp;" "&amp;INDEX(Tabelle6[Aktorkanal],MATCH(Tabelle7[[#This Row],[Gesamtcode]],Tabelle6[Gesamtcode],0))</f>
        <v>#N/A</v>
      </c>
    </row>
    <row r="503" spans="2:15" x14ac:dyDescent="0.25">
      <c r="B503" t="s">
        <v>357</v>
      </c>
      <c r="C503" t="e">
        <f>INDEX(Tabelle132[Zone],MATCH(Tabelle7[[#This Row],[Gesamtcode]],Tabelle132[Gesamtcode],0))</f>
        <v>#N/A</v>
      </c>
      <c r="D503" t="e">
        <f>INDEX(Tabelle132[Raum],MATCH(Tabelle7[[#This Row],[Gesamtcode]],Tabelle132[Gesamtcode],0))</f>
        <v>#N/A</v>
      </c>
      <c r="E503" t="e">
        <f>INDEX(Tabelle132[Bezeichnung],MATCH(Tabelle7[[#This Row],[Gesamtcode]],Tabelle132[Gesamtcode],0))</f>
        <v>#N/A</v>
      </c>
      <c r="F503" t="e">
        <f>"_"&amp;INDEX(Tabelle132[Geräte/Gewerke],MATCH(Tabelle7[[#This Row],[Gesamtcode]],Tabelle132[Gesamtcode],0))</f>
        <v>#N/A</v>
      </c>
      <c r="G503" t="e">
        <f>INDEX(Tabelle13[Gewerknr.],MATCH(Tabelle7[[#This Row],[Gewerke]],Tabelle13[Hauptgruppe],0))</f>
        <v>#N/A</v>
      </c>
      <c r="H503" t="s">
        <v>362</v>
      </c>
      <c r="I503" t="e">
        <f ca="1">INDEX(Tabelle134[Funktionsbereichsnr.],MATCH(Tabelle7[[#This Row],[Funktionsbereiche]],INDIRECT("Tabelle134["&amp;Tabelle7[[#This Row],[Gewerke]]&amp;"]"),0))</f>
        <v>#N/A</v>
      </c>
      <c r="J503" t="e">
        <f>Tabelle7[[#This Row],[Gesamtcode]]&amp;"_"&amp;Tabelle7[[#This Row],[Zone]]&amp;"_"&amp;Tabelle7[[#This Row],[Raum]]&amp;"_"&amp;Tabelle7[[#This Row],[Bezeichnung]]</f>
        <v>#N/A</v>
      </c>
      <c r="K503">
        <v>7</v>
      </c>
      <c r="L503" t="e">
        <f>Tabelle7[[#This Row],[Hauptgruppe]]&amp;"/-/-"</f>
        <v>#N/A</v>
      </c>
      <c r="M503" t="e">
        <f ca="1">Tabelle7[[#This Row],[Hauptgruppe]]&amp;"/"&amp;Tabelle7[[#This Row],[Mittelgruppe]]&amp;"/-"</f>
        <v>#N/A</v>
      </c>
      <c r="N503" t="e">
        <f ca="1">Tabelle7[[#This Row],[Hauptgruppe]]&amp;"/"&amp;Tabelle7[[#This Row],[Mittelgruppe]]&amp;"/"&amp;Tabelle7[[#This Row],[Untergruppe]]</f>
        <v>#N/A</v>
      </c>
      <c r="O503" t="e">
        <f>INDEX(Tabelle6[Aktor],MATCH(Tabelle7[[#This Row],[Gesamtcode]],Tabelle6[Gesamtcode],0))&amp;" "&amp;INDEX(Tabelle6[Aktorkanal],MATCH(Tabelle7[[#This Row],[Gesamtcode]],Tabelle6[Gesamtcode],0))</f>
        <v>#N/A</v>
      </c>
    </row>
    <row r="504" spans="2:15" x14ac:dyDescent="0.25">
      <c r="B504" t="s">
        <v>358</v>
      </c>
      <c r="C504" t="e">
        <f>INDEX(Tabelle132[Zone],MATCH(Tabelle7[[#This Row],[Gesamtcode]],Tabelle132[Gesamtcode],0))</f>
        <v>#N/A</v>
      </c>
      <c r="D504" t="e">
        <f>INDEX(Tabelle132[Raum],MATCH(Tabelle7[[#This Row],[Gesamtcode]],Tabelle132[Gesamtcode],0))</f>
        <v>#N/A</v>
      </c>
      <c r="E504" t="e">
        <f>INDEX(Tabelle132[Bezeichnung],MATCH(Tabelle7[[#This Row],[Gesamtcode]],Tabelle132[Gesamtcode],0))</f>
        <v>#N/A</v>
      </c>
      <c r="F504" t="e">
        <f>"_"&amp;INDEX(Tabelle132[Geräte/Gewerke],MATCH(Tabelle7[[#This Row],[Gesamtcode]],Tabelle132[Gesamtcode],0))</f>
        <v>#N/A</v>
      </c>
      <c r="G504" t="e">
        <f>INDEX(Tabelle13[Gewerknr.],MATCH(Tabelle7[[#This Row],[Gewerke]],Tabelle13[Hauptgruppe],0))</f>
        <v>#N/A</v>
      </c>
      <c r="H504" t="s">
        <v>362</v>
      </c>
      <c r="I504" t="e">
        <f ca="1">INDEX(Tabelle134[Funktionsbereichsnr.],MATCH(Tabelle7[[#This Row],[Funktionsbereiche]],INDIRECT("Tabelle134["&amp;Tabelle7[[#This Row],[Gewerke]]&amp;"]"),0))</f>
        <v>#N/A</v>
      </c>
      <c r="J504" t="e">
        <f>Tabelle7[[#This Row],[Gesamtcode]]&amp;"_"&amp;Tabelle7[[#This Row],[Zone]]&amp;"_"&amp;Tabelle7[[#This Row],[Raum]]&amp;"_"&amp;Tabelle7[[#This Row],[Bezeichnung]]</f>
        <v>#N/A</v>
      </c>
      <c r="K504">
        <v>8</v>
      </c>
      <c r="L504" t="e">
        <f>Tabelle7[[#This Row],[Hauptgruppe]]&amp;"/-/-"</f>
        <v>#N/A</v>
      </c>
      <c r="M504" t="e">
        <f ca="1">Tabelle7[[#This Row],[Hauptgruppe]]&amp;"/"&amp;Tabelle7[[#This Row],[Mittelgruppe]]&amp;"/-"</f>
        <v>#N/A</v>
      </c>
      <c r="N504" t="e">
        <f ca="1">Tabelle7[[#This Row],[Hauptgruppe]]&amp;"/"&amp;Tabelle7[[#This Row],[Mittelgruppe]]&amp;"/"&amp;Tabelle7[[#This Row],[Untergruppe]]</f>
        <v>#N/A</v>
      </c>
      <c r="O504" t="e">
        <f>INDEX(Tabelle6[Aktor],MATCH(Tabelle7[[#This Row],[Gesamtcode]],Tabelle6[Gesamtcode],0))&amp;" "&amp;INDEX(Tabelle6[Aktorkanal],MATCH(Tabelle7[[#This Row],[Gesamtcode]],Tabelle6[Gesamtcode],0))</f>
        <v>#N/A</v>
      </c>
    </row>
    <row r="505" spans="2:15" x14ac:dyDescent="0.25">
      <c r="B505" t="s">
        <v>359</v>
      </c>
      <c r="C505" t="e">
        <f>INDEX(Tabelle132[Zone],MATCH(Tabelle7[[#This Row],[Gesamtcode]],Tabelle132[Gesamtcode],0))</f>
        <v>#N/A</v>
      </c>
      <c r="D505" t="e">
        <f>INDEX(Tabelle132[Raum],MATCH(Tabelle7[[#This Row],[Gesamtcode]],Tabelle132[Gesamtcode],0))</f>
        <v>#N/A</v>
      </c>
      <c r="E505" t="e">
        <f>INDEX(Tabelle132[Bezeichnung],MATCH(Tabelle7[[#This Row],[Gesamtcode]],Tabelle132[Gesamtcode],0))</f>
        <v>#N/A</v>
      </c>
      <c r="F505" t="e">
        <f>"_"&amp;INDEX(Tabelle132[Geräte/Gewerke],MATCH(Tabelle7[[#This Row],[Gesamtcode]],Tabelle132[Gesamtcode],0))</f>
        <v>#N/A</v>
      </c>
      <c r="G505" t="e">
        <f>INDEX(Tabelle13[Gewerknr.],MATCH(Tabelle7[[#This Row],[Gewerke]],Tabelle13[Hauptgruppe],0))</f>
        <v>#N/A</v>
      </c>
      <c r="H505" t="s">
        <v>362</v>
      </c>
      <c r="I505" t="e">
        <f ca="1">INDEX(Tabelle134[Funktionsbereichsnr.],MATCH(Tabelle7[[#This Row],[Funktionsbereiche]],INDIRECT("Tabelle134["&amp;Tabelle7[[#This Row],[Gewerke]]&amp;"]"),0))</f>
        <v>#N/A</v>
      </c>
      <c r="J505" t="e">
        <f>Tabelle7[[#This Row],[Gesamtcode]]&amp;"_"&amp;Tabelle7[[#This Row],[Zone]]&amp;"_"&amp;Tabelle7[[#This Row],[Raum]]&amp;"_"&amp;Tabelle7[[#This Row],[Bezeichnung]]</f>
        <v>#N/A</v>
      </c>
      <c r="K505">
        <v>9</v>
      </c>
      <c r="L505" t="e">
        <f>Tabelle7[[#This Row],[Hauptgruppe]]&amp;"/-/-"</f>
        <v>#N/A</v>
      </c>
      <c r="M505" t="e">
        <f ca="1">Tabelle7[[#This Row],[Hauptgruppe]]&amp;"/"&amp;Tabelle7[[#This Row],[Mittelgruppe]]&amp;"/-"</f>
        <v>#N/A</v>
      </c>
      <c r="N505" t="e">
        <f ca="1">Tabelle7[[#This Row],[Hauptgruppe]]&amp;"/"&amp;Tabelle7[[#This Row],[Mittelgruppe]]&amp;"/"&amp;Tabelle7[[#This Row],[Untergruppe]]</f>
        <v>#N/A</v>
      </c>
      <c r="O505" t="e">
        <f>INDEX(Tabelle6[Aktor],MATCH(Tabelle7[[#This Row],[Gesamtcode]],Tabelle6[Gesamtcode],0))&amp;" "&amp;INDEX(Tabelle6[Aktorkanal],MATCH(Tabelle7[[#This Row],[Gesamtcode]],Tabelle6[Gesamtcode],0))</f>
        <v>#N/A</v>
      </c>
    </row>
    <row r="506" spans="2:15" x14ac:dyDescent="0.25">
      <c r="B506" t="s">
        <v>349</v>
      </c>
      <c r="C506" t="e">
        <f>INDEX(Tabelle132[Zone],MATCH(Tabelle7[[#This Row],[Gesamtcode]],Tabelle132[Gesamtcode],0))</f>
        <v>#N/A</v>
      </c>
      <c r="D506" t="e">
        <f>INDEX(Tabelle132[Raum],MATCH(Tabelle7[[#This Row],[Gesamtcode]],Tabelle132[Gesamtcode],0))</f>
        <v>#N/A</v>
      </c>
      <c r="E506" t="e">
        <f>INDEX(Tabelle132[Bezeichnung],MATCH(Tabelle7[[#This Row],[Gesamtcode]],Tabelle132[Gesamtcode],0))</f>
        <v>#N/A</v>
      </c>
      <c r="F506" t="e">
        <f>"_"&amp;INDEX(Tabelle132[Geräte/Gewerke],MATCH(Tabelle7[[#This Row],[Gesamtcode]],Tabelle132[Gesamtcode],0))</f>
        <v>#N/A</v>
      </c>
      <c r="G506" t="e">
        <f>INDEX(Tabelle13[Gewerknr.],MATCH(Tabelle7[[#This Row],[Gewerke]],Tabelle13[Hauptgruppe],0))</f>
        <v>#N/A</v>
      </c>
      <c r="H506" t="s">
        <v>363</v>
      </c>
      <c r="I506" t="e">
        <f ca="1">INDEX(Tabelle134[Funktionsbereichsnr.],MATCH(Tabelle7[[#This Row],[Funktionsbereiche]],INDIRECT("Tabelle134["&amp;Tabelle7[[#This Row],[Gewerke]]&amp;"]"),0))</f>
        <v>#N/A</v>
      </c>
      <c r="J506" t="e">
        <f>Tabelle7[[#This Row],[Gesamtcode]]&amp;"_"&amp;Tabelle7[[#This Row],[Zone]]&amp;"_"&amp;Tabelle7[[#This Row],[Raum]]&amp;"_"&amp;Tabelle7[[#This Row],[Bezeichnung]]</f>
        <v>#N/A</v>
      </c>
      <c r="K506">
        <v>0</v>
      </c>
      <c r="L506" t="e">
        <f>Tabelle7[[#This Row],[Hauptgruppe]]&amp;"/-/-"</f>
        <v>#N/A</v>
      </c>
      <c r="M506" t="e">
        <f ca="1">Tabelle7[[#This Row],[Hauptgruppe]]&amp;"/"&amp;Tabelle7[[#This Row],[Mittelgruppe]]&amp;"/-"</f>
        <v>#N/A</v>
      </c>
      <c r="N506" t="e">
        <f ca="1">Tabelle7[[#This Row],[Hauptgruppe]]&amp;"/"&amp;Tabelle7[[#This Row],[Mittelgruppe]]&amp;"/"&amp;Tabelle7[[#This Row],[Untergruppe]]</f>
        <v>#N/A</v>
      </c>
      <c r="O506" t="e">
        <f>INDEX(Tabelle6[Aktor],MATCH(Tabelle7[[#This Row],[Gesamtcode]],Tabelle6[Gesamtcode],0))&amp;" "&amp;INDEX(Tabelle6[Aktorkanal],MATCH(Tabelle7[[#This Row],[Gesamtcode]],Tabelle6[Gesamtcode],0))</f>
        <v>#N/A</v>
      </c>
    </row>
    <row r="507" spans="2:15" x14ac:dyDescent="0.25">
      <c r="B507" t="s">
        <v>350</v>
      </c>
      <c r="C507" t="e">
        <f>INDEX(Tabelle132[Zone],MATCH(Tabelle7[[#This Row],[Gesamtcode]],Tabelle132[Gesamtcode],0))</f>
        <v>#N/A</v>
      </c>
      <c r="D507" t="e">
        <f>INDEX(Tabelle132[Raum],MATCH(Tabelle7[[#This Row],[Gesamtcode]],Tabelle132[Gesamtcode],0))</f>
        <v>#N/A</v>
      </c>
      <c r="E507" t="e">
        <f>INDEX(Tabelle132[Bezeichnung],MATCH(Tabelle7[[#This Row],[Gesamtcode]],Tabelle132[Gesamtcode],0))</f>
        <v>#N/A</v>
      </c>
      <c r="F507" t="e">
        <f>"_"&amp;INDEX(Tabelle132[Geräte/Gewerke],MATCH(Tabelle7[[#This Row],[Gesamtcode]],Tabelle132[Gesamtcode],0))</f>
        <v>#N/A</v>
      </c>
      <c r="G507" t="e">
        <f>INDEX(Tabelle13[Gewerknr.],MATCH(Tabelle7[[#This Row],[Gewerke]],Tabelle13[Hauptgruppe],0))</f>
        <v>#N/A</v>
      </c>
      <c r="H507" t="s">
        <v>363</v>
      </c>
      <c r="I507" t="e">
        <f ca="1">INDEX(Tabelle134[Funktionsbereichsnr.],MATCH(Tabelle7[[#This Row],[Funktionsbereiche]],INDIRECT("Tabelle134["&amp;Tabelle7[[#This Row],[Gewerke]]&amp;"]"),0))</f>
        <v>#N/A</v>
      </c>
      <c r="J507" t="e">
        <f>Tabelle7[[#This Row],[Gesamtcode]]&amp;"_"&amp;Tabelle7[[#This Row],[Zone]]&amp;"_"&amp;Tabelle7[[#This Row],[Raum]]&amp;"_"&amp;Tabelle7[[#This Row],[Bezeichnung]]</f>
        <v>#N/A</v>
      </c>
      <c r="K507">
        <v>1</v>
      </c>
      <c r="L507" t="e">
        <f>Tabelle7[[#This Row],[Hauptgruppe]]&amp;"/-/-"</f>
        <v>#N/A</v>
      </c>
      <c r="M507" t="e">
        <f ca="1">Tabelle7[[#This Row],[Hauptgruppe]]&amp;"/"&amp;Tabelle7[[#This Row],[Mittelgruppe]]&amp;"/-"</f>
        <v>#N/A</v>
      </c>
      <c r="N507" t="e">
        <f ca="1">Tabelle7[[#This Row],[Hauptgruppe]]&amp;"/"&amp;Tabelle7[[#This Row],[Mittelgruppe]]&amp;"/"&amp;Tabelle7[[#This Row],[Untergruppe]]</f>
        <v>#N/A</v>
      </c>
      <c r="O507" t="e">
        <f>INDEX(Tabelle6[Aktor],MATCH(Tabelle7[[#This Row],[Gesamtcode]],Tabelle6[Gesamtcode],0))&amp;" "&amp;INDEX(Tabelle6[Aktorkanal],MATCH(Tabelle7[[#This Row],[Gesamtcode]],Tabelle6[Gesamtcode],0))</f>
        <v>#N/A</v>
      </c>
    </row>
    <row r="508" spans="2:15" x14ac:dyDescent="0.25">
      <c r="B508" t="s">
        <v>351</v>
      </c>
      <c r="C508" t="e">
        <f>INDEX(Tabelle132[Zone],MATCH(Tabelle7[[#This Row],[Gesamtcode]],Tabelle132[Gesamtcode],0))</f>
        <v>#N/A</v>
      </c>
      <c r="D508" t="e">
        <f>INDEX(Tabelle132[Raum],MATCH(Tabelle7[[#This Row],[Gesamtcode]],Tabelle132[Gesamtcode],0))</f>
        <v>#N/A</v>
      </c>
      <c r="E508" t="e">
        <f>INDEX(Tabelle132[Bezeichnung],MATCH(Tabelle7[[#This Row],[Gesamtcode]],Tabelle132[Gesamtcode],0))</f>
        <v>#N/A</v>
      </c>
      <c r="F508" t="e">
        <f>"_"&amp;INDEX(Tabelle132[Geräte/Gewerke],MATCH(Tabelle7[[#This Row],[Gesamtcode]],Tabelle132[Gesamtcode],0))</f>
        <v>#N/A</v>
      </c>
      <c r="G508" t="e">
        <f>INDEX(Tabelle13[Gewerknr.],MATCH(Tabelle7[[#This Row],[Gewerke]],Tabelle13[Hauptgruppe],0))</f>
        <v>#N/A</v>
      </c>
      <c r="H508" t="s">
        <v>363</v>
      </c>
      <c r="I508" t="e">
        <f ca="1">INDEX(Tabelle134[Funktionsbereichsnr.],MATCH(Tabelle7[[#This Row],[Funktionsbereiche]],INDIRECT("Tabelle134["&amp;Tabelle7[[#This Row],[Gewerke]]&amp;"]"),0))</f>
        <v>#N/A</v>
      </c>
      <c r="J508" t="e">
        <f>Tabelle7[[#This Row],[Gesamtcode]]&amp;"_"&amp;Tabelle7[[#This Row],[Zone]]&amp;"_"&amp;Tabelle7[[#This Row],[Raum]]&amp;"_"&amp;Tabelle7[[#This Row],[Bezeichnung]]</f>
        <v>#N/A</v>
      </c>
      <c r="K508">
        <v>10</v>
      </c>
      <c r="L508" t="e">
        <f>Tabelle7[[#This Row],[Hauptgruppe]]&amp;"/-/-"</f>
        <v>#N/A</v>
      </c>
      <c r="M508" t="e">
        <f ca="1">Tabelle7[[#This Row],[Hauptgruppe]]&amp;"/"&amp;Tabelle7[[#This Row],[Mittelgruppe]]&amp;"/-"</f>
        <v>#N/A</v>
      </c>
      <c r="N508" t="e">
        <f ca="1">Tabelle7[[#This Row],[Hauptgruppe]]&amp;"/"&amp;Tabelle7[[#This Row],[Mittelgruppe]]&amp;"/"&amp;Tabelle7[[#This Row],[Untergruppe]]</f>
        <v>#N/A</v>
      </c>
      <c r="O508" t="e">
        <f>INDEX(Tabelle6[Aktor],MATCH(Tabelle7[[#This Row],[Gesamtcode]],Tabelle6[Gesamtcode],0))&amp;" "&amp;INDEX(Tabelle6[Aktorkanal],MATCH(Tabelle7[[#This Row],[Gesamtcode]],Tabelle6[Gesamtcode],0))</f>
        <v>#N/A</v>
      </c>
    </row>
    <row r="509" spans="2:15" x14ac:dyDescent="0.25">
      <c r="B509" t="s">
        <v>352</v>
      </c>
      <c r="C509" t="e">
        <f>INDEX(Tabelle132[Zone],MATCH(Tabelle7[[#This Row],[Gesamtcode]],Tabelle132[Gesamtcode],0))</f>
        <v>#N/A</v>
      </c>
      <c r="D509" t="e">
        <f>INDEX(Tabelle132[Raum],MATCH(Tabelle7[[#This Row],[Gesamtcode]],Tabelle132[Gesamtcode],0))</f>
        <v>#N/A</v>
      </c>
      <c r="E509" t="e">
        <f>INDEX(Tabelle132[Bezeichnung],MATCH(Tabelle7[[#This Row],[Gesamtcode]],Tabelle132[Gesamtcode],0))</f>
        <v>#N/A</v>
      </c>
      <c r="F509" t="e">
        <f>"_"&amp;INDEX(Tabelle132[Geräte/Gewerke],MATCH(Tabelle7[[#This Row],[Gesamtcode]],Tabelle132[Gesamtcode],0))</f>
        <v>#N/A</v>
      </c>
      <c r="G509" t="e">
        <f>INDEX(Tabelle13[Gewerknr.],MATCH(Tabelle7[[#This Row],[Gewerke]],Tabelle13[Hauptgruppe],0))</f>
        <v>#N/A</v>
      </c>
      <c r="H509" t="s">
        <v>363</v>
      </c>
      <c r="I509" t="e">
        <f ca="1">INDEX(Tabelle134[Funktionsbereichsnr.],MATCH(Tabelle7[[#This Row],[Funktionsbereiche]],INDIRECT("Tabelle134["&amp;Tabelle7[[#This Row],[Gewerke]]&amp;"]"),0))</f>
        <v>#N/A</v>
      </c>
      <c r="J509" t="e">
        <f>Tabelle7[[#This Row],[Gesamtcode]]&amp;"_"&amp;Tabelle7[[#This Row],[Zone]]&amp;"_"&amp;Tabelle7[[#This Row],[Raum]]&amp;"_"&amp;Tabelle7[[#This Row],[Bezeichnung]]</f>
        <v>#N/A</v>
      </c>
      <c r="K509">
        <v>2</v>
      </c>
      <c r="L509" t="e">
        <f>Tabelle7[[#This Row],[Hauptgruppe]]&amp;"/-/-"</f>
        <v>#N/A</v>
      </c>
      <c r="M509" t="e">
        <f ca="1">Tabelle7[[#This Row],[Hauptgruppe]]&amp;"/"&amp;Tabelle7[[#This Row],[Mittelgruppe]]&amp;"/-"</f>
        <v>#N/A</v>
      </c>
      <c r="N509" t="e">
        <f ca="1">Tabelle7[[#This Row],[Hauptgruppe]]&amp;"/"&amp;Tabelle7[[#This Row],[Mittelgruppe]]&amp;"/"&amp;Tabelle7[[#This Row],[Untergruppe]]</f>
        <v>#N/A</v>
      </c>
      <c r="O509" t="e">
        <f>INDEX(Tabelle6[Aktor],MATCH(Tabelle7[[#This Row],[Gesamtcode]],Tabelle6[Gesamtcode],0))&amp;" "&amp;INDEX(Tabelle6[Aktorkanal],MATCH(Tabelle7[[#This Row],[Gesamtcode]],Tabelle6[Gesamtcode],0))</f>
        <v>#N/A</v>
      </c>
    </row>
    <row r="510" spans="2:15" x14ac:dyDescent="0.25">
      <c r="B510" t="s">
        <v>353</v>
      </c>
      <c r="C510" t="e">
        <f>INDEX(Tabelle132[Zone],MATCH(Tabelle7[[#This Row],[Gesamtcode]],Tabelle132[Gesamtcode],0))</f>
        <v>#N/A</v>
      </c>
      <c r="D510" t="e">
        <f>INDEX(Tabelle132[Raum],MATCH(Tabelle7[[#This Row],[Gesamtcode]],Tabelle132[Gesamtcode],0))</f>
        <v>#N/A</v>
      </c>
      <c r="E510" t="e">
        <f>INDEX(Tabelle132[Bezeichnung],MATCH(Tabelle7[[#This Row],[Gesamtcode]],Tabelle132[Gesamtcode],0))</f>
        <v>#N/A</v>
      </c>
      <c r="F510" t="e">
        <f>"_"&amp;INDEX(Tabelle132[Geräte/Gewerke],MATCH(Tabelle7[[#This Row],[Gesamtcode]],Tabelle132[Gesamtcode],0))</f>
        <v>#N/A</v>
      </c>
      <c r="G510" t="e">
        <f>INDEX(Tabelle13[Gewerknr.],MATCH(Tabelle7[[#This Row],[Gewerke]],Tabelle13[Hauptgruppe],0))</f>
        <v>#N/A</v>
      </c>
      <c r="H510" t="s">
        <v>363</v>
      </c>
      <c r="I510" t="e">
        <f ca="1">INDEX(Tabelle134[Funktionsbereichsnr.],MATCH(Tabelle7[[#This Row],[Funktionsbereiche]],INDIRECT("Tabelle134["&amp;Tabelle7[[#This Row],[Gewerke]]&amp;"]"),0))</f>
        <v>#N/A</v>
      </c>
      <c r="J510" t="e">
        <f>Tabelle7[[#This Row],[Gesamtcode]]&amp;"_"&amp;Tabelle7[[#This Row],[Zone]]&amp;"_"&amp;Tabelle7[[#This Row],[Raum]]&amp;"_"&amp;Tabelle7[[#This Row],[Bezeichnung]]</f>
        <v>#N/A</v>
      </c>
      <c r="K510">
        <v>3</v>
      </c>
      <c r="L510" t="e">
        <f>Tabelle7[[#This Row],[Hauptgruppe]]&amp;"/-/-"</f>
        <v>#N/A</v>
      </c>
      <c r="M510" t="e">
        <f ca="1">Tabelle7[[#This Row],[Hauptgruppe]]&amp;"/"&amp;Tabelle7[[#This Row],[Mittelgruppe]]&amp;"/-"</f>
        <v>#N/A</v>
      </c>
      <c r="N510" t="e">
        <f ca="1">Tabelle7[[#This Row],[Hauptgruppe]]&amp;"/"&amp;Tabelle7[[#This Row],[Mittelgruppe]]&amp;"/"&amp;Tabelle7[[#This Row],[Untergruppe]]</f>
        <v>#N/A</v>
      </c>
      <c r="O510" t="e">
        <f>INDEX(Tabelle6[Aktor],MATCH(Tabelle7[[#This Row],[Gesamtcode]],Tabelle6[Gesamtcode],0))&amp;" "&amp;INDEX(Tabelle6[Aktorkanal],MATCH(Tabelle7[[#This Row],[Gesamtcode]],Tabelle6[Gesamtcode],0))</f>
        <v>#N/A</v>
      </c>
    </row>
    <row r="511" spans="2:15" x14ac:dyDescent="0.25">
      <c r="B511" t="s">
        <v>354</v>
      </c>
      <c r="C511" t="e">
        <f>INDEX(Tabelle132[Zone],MATCH(Tabelle7[[#This Row],[Gesamtcode]],Tabelle132[Gesamtcode],0))</f>
        <v>#N/A</v>
      </c>
      <c r="D511" t="e">
        <f>INDEX(Tabelle132[Raum],MATCH(Tabelle7[[#This Row],[Gesamtcode]],Tabelle132[Gesamtcode],0))</f>
        <v>#N/A</v>
      </c>
      <c r="E511" t="e">
        <f>INDEX(Tabelle132[Bezeichnung],MATCH(Tabelle7[[#This Row],[Gesamtcode]],Tabelle132[Gesamtcode],0))</f>
        <v>#N/A</v>
      </c>
      <c r="F511" t="e">
        <f>"_"&amp;INDEX(Tabelle132[Geräte/Gewerke],MATCH(Tabelle7[[#This Row],[Gesamtcode]],Tabelle132[Gesamtcode],0))</f>
        <v>#N/A</v>
      </c>
      <c r="G511" t="e">
        <f>INDEX(Tabelle13[Gewerknr.],MATCH(Tabelle7[[#This Row],[Gewerke]],Tabelle13[Hauptgruppe],0))</f>
        <v>#N/A</v>
      </c>
      <c r="H511" t="s">
        <v>363</v>
      </c>
      <c r="I511" t="e">
        <f ca="1">INDEX(Tabelle134[Funktionsbereichsnr.],MATCH(Tabelle7[[#This Row],[Funktionsbereiche]],INDIRECT("Tabelle134["&amp;Tabelle7[[#This Row],[Gewerke]]&amp;"]"),0))</f>
        <v>#N/A</v>
      </c>
      <c r="J511" t="e">
        <f>Tabelle7[[#This Row],[Gesamtcode]]&amp;"_"&amp;Tabelle7[[#This Row],[Zone]]&amp;"_"&amp;Tabelle7[[#This Row],[Raum]]&amp;"_"&amp;Tabelle7[[#This Row],[Bezeichnung]]</f>
        <v>#N/A</v>
      </c>
      <c r="K511">
        <v>4</v>
      </c>
      <c r="L511" t="e">
        <f>Tabelle7[[#This Row],[Hauptgruppe]]&amp;"/-/-"</f>
        <v>#N/A</v>
      </c>
      <c r="M511" t="e">
        <f ca="1">Tabelle7[[#This Row],[Hauptgruppe]]&amp;"/"&amp;Tabelle7[[#This Row],[Mittelgruppe]]&amp;"/-"</f>
        <v>#N/A</v>
      </c>
      <c r="N511" t="e">
        <f ca="1">Tabelle7[[#This Row],[Hauptgruppe]]&amp;"/"&amp;Tabelle7[[#This Row],[Mittelgruppe]]&amp;"/"&amp;Tabelle7[[#This Row],[Untergruppe]]</f>
        <v>#N/A</v>
      </c>
      <c r="O511" t="e">
        <f>INDEX(Tabelle6[Aktor],MATCH(Tabelle7[[#This Row],[Gesamtcode]],Tabelle6[Gesamtcode],0))&amp;" "&amp;INDEX(Tabelle6[Aktorkanal],MATCH(Tabelle7[[#This Row],[Gesamtcode]],Tabelle6[Gesamtcode],0))</f>
        <v>#N/A</v>
      </c>
    </row>
    <row r="512" spans="2:15" x14ac:dyDescent="0.25">
      <c r="B512" t="s">
        <v>355</v>
      </c>
      <c r="C512" t="e">
        <f>INDEX(Tabelle132[Zone],MATCH(Tabelle7[[#This Row],[Gesamtcode]],Tabelle132[Gesamtcode],0))</f>
        <v>#N/A</v>
      </c>
      <c r="D512" t="e">
        <f>INDEX(Tabelle132[Raum],MATCH(Tabelle7[[#This Row],[Gesamtcode]],Tabelle132[Gesamtcode],0))</f>
        <v>#N/A</v>
      </c>
      <c r="E512" t="e">
        <f>INDEX(Tabelle132[Bezeichnung],MATCH(Tabelle7[[#This Row],[Gesamtcode]],Tabelle132[Gesamtcode],0))</f>
        <v>#N/A</v>
      </c>
      <c r="F512" t="e">
        <f>"_"&amp;INDEX(Tabelle132[Geräte/Gewerke],MATCH(Tabelle7[[#This Row],[Gesamtcode]],Tabelle132[Gesamtcode],0))</f>
        <v>#N/A</v>
      </c>
      <c r="G512" t="e">
        <f>INDEX(Tabelle13[Gewerknr.],MATCH(Tabelle7[[#This Row],[Gewerke]],Tabelle13[Hauptgruppe],0))</f>
        <v>#N/A</v>
      </c>
      <c r="H512" t="s">
        <v>363</v>
      </c>
      <c r="I512" t="e">
        <f ca="1">INDEX(Tabelle134[Funktionsbereichsnr.],MATCH(Tabelle7[[#This Row],[Funktionsbereiche]],INDIRECT("Tabelle134["&amp;Tabelle7[[#This Row],[Gewerke]]&amp;"]"),0))</f>
        <v>#N/A</v>
      </c>
      <c r="J512" t="e">
        <f>Tabelle7[[#This Row],[Gesamtcode]]&amp;"_"&amp;Tabelle7[[#This Row],[Zone]]&amp;"_"&amp;Tabelle7[[#This Row],[Raum]]&amp;"_"&amp;Tabelle7[[#This Row],[Bezeichnung]]</f>
        <v>#N/A</v>
      </c>
      <c r="K512">
        <v>5</v>
      </c>
      <c r="L512" t="e">
        <f>Tabelle7[[#This Row],[Hauptgruppe]]&amp;"/-/-"</f>
        <v>#N/A</v>
      </c>
      <c r="M512" t="e">
        <f ca="1">Tabelle7[[#This Row],[Hauptgruppe]]&amp;"/"&amp;Tabelle7[[#This Row],[Mittelgruppe]]&amp;"/-"</f>
        <v>#N/A</v>
      </c>
      <c r="N512" t="e">
        <f ca="1">Tabelle7[[#This Row],[Hauptgruppe]]&amp;"/"&amp;Tabelle7[[#This Row],[Mittelgruppe]]&amp;"/"&amp;Tabelle7[[#This Row],[Untergruppe]]</f>
        <v>#N/A</v>
      </c>
      <c r="O512" t="e">
        <f>INDEX(Tabelle6[Aktor],MATCH(Tabelle7[[#This Row],[Gesamtcode]],Tabelle6[Gesamtcode],0))&amp;" "&amp;INDEX(Tabelle6[Aktorkanal],MATCH(Tabelle7[[#This Row],[Gesamtcode]],Tabelle6[Gesamtcode],0))</f>
        <v>#N/A</v>
      </c>
    </row>
    <row r="513" spans="2:15" x14ac:dyDescent="0.25">
      <c r="B513" t="s">
        <v>356</v>
      </c>
      <c r="C513" t="e">
        <f>INDEX(Tabelle132[Zone],MATCH(Tabelle7[[#This Row],[Gesamtcode]],Tabelle132[Gesamtcode],0))</f>
        <v>#N/A</v>
      </c>
      <c r="D513" t="e">
        <f>INDEX(Tabelle132[Raum],MATCH(Tabelle7[[#This Row],[Gesamtcode]],Tabelle132[Gesamtcode],0))</f>
        <v>#N/A</v>
      </c>
      <c r="E513" t="e">
        <f>INDEX(Tabelle132[Bezeichnung],MATCH(Tabelle7[[#This Row],[Gesamtcode]],Tabelle132[Gesamtcode],0))</f>
        <v>#N/A</v>
      </c>
      <c r="F513" t="e">
        <f>"_"&amp;INDEX(Tabelle132[Geräte/Gewerke],MATCH(Tabelle7[[#This Row],[Gesamtcode]],Tabelle132[Gesamtcode],0))</f>
        <v>#N/A</v>
      </c>
      <c r="G513" t="e">
        <f>INDEX(Tabelle13[Gewerknr.],MATCH(Tabelle7[[#This Row],[Gewerke]],Tabelle13[Hauptgruppe],0))</f>
        <v>#N/A</v>
      </c>
      <c r="H513" t="s">
        <v>363</v>
      </c>
      <c r="I513" t="e">
        <f ca="1">INDEX(Tabelle134[Funktionsbereichsnr.],MATCH(Tabelle7[[#This Row],[Funktionsbereiche]],INDIRECT("Tabelle134["&amp;Tabelle7[[#This Row],[Gewerke]]&amp;"]"),0))</f>
        <v>#N/A</v>
      </c>
      <c r="J513" t="e">
        <f>Tabelle7[[#This Row],[Gesamtcode]]&amp;"_"&amp;Tabelle7[[#This Row],[Zone]]&amp;"_"&amp;Tabelle7[[#This Row],[Raum]]&amp;"_"&amp;Tabelle7[[#This Row],[Bezeichnung]]</f>
        <v>#N/A</v>
      </c>
      <c r="K513">
        <v>6</v>
      </c>
      <c r="L513" t="e">
        <f>Tabelle7[[#This Row],[Hauptgruppe]]&amp;"/-/-"</f>
        <v>#N/A</v>
      </c>
      <c r="M513" t="e">
        <f ca="1">Tabelle7[[#This Row],[Hauptgruppe]]&amp;"/"&amp;Tabelle7[[#This Row],[Mittelgruppe]]&amp;"/-"</f>
        <v>#N/A</v>
      </c>
      <c r="N513" t="e">
        <f ca="1">Tabelle7[[#This Row],[Hauptgruppe]]&amp;"/"&amp;Tabelle7[[#This Row],[Mittelgruppe]]&amp;"/"&amp;Tabelle7[[#This Row],[Untergruppe]]</f>
        <v>#N/A</v>
      </c>
      <c r="O513" t="e">
        <f>INDEX(Tabelle6[Aktor],MATCH(Tabelle7[[#This Row],[Gesamtcode]],Tabelle6[Gesamtcode],0))&amp;" "&amp;INDEX(Tabelle6[Aktorkanal],MATCH(Tabelle7[[#This Row],[Gesamtcode]],Tabelle6[Gesamtcode],0))</f>
        <v>#N/A</v>
      </c>
    </row>
    <row r="514" spans="2:15" x14ac:dyDescent="0.25">
      <c r="B514" t="s">
        <v>357</v>
      </c>
      <c r="C514" t="e">
        <f>INDEX(Tabelle132[Zone],MATCH(Tabelle7[[#This Row],[Gesamtcode]],Tabelle132[Gesamtcode],0))</f>
        <v>#N/A</v>
      </c>
      <c r="D514" t="e">
        <f>INDEX(Tabelle132[Raum],MATCH(Tabelle7[[#This Row],[Gesamtcode]],Tabelle132[Gesamtcode],0))</f>
        <v>#N/A</v>
      </c>
      <c r="E514" t="e">
        <f>INDEX(Tabelle132[Bezeichnung],MATCH(Tabelle7[[#This Row],[Gesamtcode]],Tabelle132[Gesamtcode],0))</f>
        <v>#N/A</v>
      </c>
      <c r="F514" t="e">
        <f>"_"&amp;INDEX(Tabelle132[Geräte/Gewerke],MATCH(Tabelle7[[#This Row],[Gesamtcode]],Tabelle132[Gesamtcode],0))</f>
        <v>#N/A</v>
      </c>
      <c r="G514" t="e">
        <f>INDEX(Tabelle13[Gewerknr.],MATCH(Tabelle7[[#This Row],[Gewerke]],Tabelle13[Hauptgruppe],0))</f>
        <v>#N/A</v>
      </c>
      <c r="H514" t="s">
        <v>363</v>
      </c>
      <c r="I514" t="e">
        <f ca="1">INDEX(Tabelle134[Funktionsbereichsnr.],MATCH(Tabelle7[[#This Row],[Funktionsbereiche]],INDIRECT("Tabelle134["&amp;Tabelle7[[#This Row],[Gewerke]]&amp;"]"),0))</f>
        <v>#N/A</v>
      </c>
      <c r="J514" t="e">
        <f>Tabelle7[[#This Row],[Gesamtcode]]&amp;"_"&amp;Tabelle7[[#This Row],[Zone]]&amp;"_"&amp;Tabelle7[[#This Row],[Raum]]&amp;"_"&amp;Tabelle7[[#This Row],[Bezeichnung]]</f>
        <v>#N/A</v>
      </c>
      <c r="K514">
        <v>7</v>
      </c>
      <c r="L514" t="e">
        <f>Tabelle7[[#This Row],[Hauptgruppe]]&amp;"/-/-"</f>
        <v>#N/A</v>
      </c>
      <c r="M514" t="e">
        <f ca="1">Tabelle7[[#This Row],[Hauptgruppe]]&amp;"/"&amp;Tabelle7[[#This Row],[Mittelgruppe]]&amp;"/-"</f>
        <v>#N/A</v>
      </c>
      <c r="N514" t="e">
        <f ca="1">Tabelle7[[#This Row],[Hauptgruppe]]&amp;"/"&amp;Tabelle7[[#This Row],[Mittelgruppe]]&amp;"/"&amp;Tabelle7[[#This Row],[Untergruppe]]</f>
        <v>#N/A</v>
      </c>
      <c r="O514" t="e">
        <f>INDEX(Tabelle6[Aktor],MATCH(Tabelle7[[#This Row],[Gesamtcode]],Tabelle6[Gesamtcode],0))&amp;" "&amp;INDEX(Tabelle6[Aktorkanal],MATCH(Tabelle7[[#This Row],[Gesamtcode]],Tabelle6[Gesamtcode],0))</f>
        <v>#N/A</v>
      </c>
    </row>
    <row r="515" spans="2:15" x14ac:dyDescent="0.25">
      <c r="B515" t="s">
        <v>358</v>
      </c>
      <c r="C515" t="e">
        <f>INDEX(Tabelle132[Zone],MATCH(Tabelle7[[#This Row],[Gesamtcode]],Tabelle132[Gesamtcode],0))</f>
        <v>#N/A</v>
      </c>
      <c r="D515" t="e">
        <f>INDEX(Tabelle132[Raum],MATCH(Tabelle7[[#This Row],[Gesamtcode]],Tabelle132[Gesamtcode],0))</f>
        <v>#N/A</v>
      </c>
      <c r="E515" t="e">
        <f>INDEX(Tabelle132[Bezeichnung],MATCH(Tabelle7[[#This Row],[Gesamtcode]],Tabelle132[Gesamtcode],0))</f>
        <v>#N/A</v>
      </c>
      <c r="F515" t="e">
        <f>"_"&amp;INDEX(Tabelle132[Geräte/Gewerke],MATCH(Tabelle7[[#This Row],[Gesamtcode]],Tabelle132[Gesamtcode],0))</f>
        <v>#N/A</v>
      </c>
      <c r="G515" t="e">
        <f>INDEX(Tabelle13[Gewerknr.],MATCH(Tabelle7[[#This Row],[Gewerke]],Tabelle13[Hauptgruppe],0))</f>
        <v>#N/A</v>
      </c>
      <c r="H515" t="s">
        <v>363</v>
      </c>
      <c r="I515" t="e">
        <f ca="1">INDEX(Tabelle134[Funktionsbereichsnr.],MATCH(Tabelle7[[#This Row],[Funktionsbereiche]],INDIRECT("Tabelle134["&amp;Tabelle7[[#This Row],[Gewerke]]&amp;"]"),0))</f>
        <v>#N/A</v>
      </c>
      <c r="J515" t="e">
        <f>Tabelle7[[#This Row],[Gesamtcode]]&amp;"_"&amp;Tabelle7[[#This Row],[Zone]]&amp;"_"&amp;Tabelle7[[#This Row],[Raum]]&amp;"_"&amp;Tabelle7[[#This Row],[Bezeichnung]]</f>
        <v>#N/A</v>
      </c>
      <c r="K515">
        <v>8</v>
      </c>
      <c r="L515" t="e">
        <f>Tabelle7[[#This Row],[Hauptgruppe]]&amp;"/-/-"</f>
        <v>#N/A</v>
      </c>
      <c r="M515" t="e">
        <f ca="1">Tabelle7[[#This Row],[Hauptgruppe]]&amp;"/"&amp;Tabelle7[[#This Row],[Mittelgruppe]]&amp;"/-"</f>
        <v>#N/A</v>
      </c>
      <c r="N515" t="e">
        <f ca="1">Tabelle7[[#This Row],[Hauptgruppe]]&amp;"/"&amp;Tabelle7[[#This Row],[Mittelgruppe]]&amp;"/"&amp;Tabelle7[[#This Row],[Untergruppe]]</f>
        <v>#N/A</v>
      </c>
      <c r="O515" t="e">
        <f>INDEX(Tabelle6[Aktor],MATCH(Tabelle7[[#This Row],[Gesamtcode]],Tabelle6[Gesamtcode],0))&amp;" "&amp;INDEX(Tabelle6[Aktorkanal],MATCH(Tabelle7[[#This Row],[Gesamtcode]],Tabelle6[Gesamtcode],0))</f>
        <v>#N/A</v>
      </c>
    </row>
    <row r="516" spans="2:15" x14ac:dyDescent="0.25">
      <c r="B516" t="s">
        <v>359</v>
      </c>
      <c r="C516" t="e">
        <f>INDEX(Tabelle132[Zone],MATCH(Tabelle7[[#This Row],[Gesamtcode]],Tabelle132[Gesamtcode],0))</f>
        <v>#N/A</v>
      </c>
      <c r="D516" t="e">
        <f>INDEX(Tabelle132[Raum],MATCH(Tabelle7[[#This Row],[Gesamtcode]],Tabelle132[Gesamtcode],0))</f>
        <v>#N/A</v>
      </c>
      <c r="E516" t="e">
        <f>INDEX(Tabelle132[Bezeichnung],MATCH(Tabelle7[[#This Row],[Gesamtcode]],Tabelle132[Gesamtcode],0))</f>
        <v>#N/A</v>
      </c>
      <c r="F516" t="e">
        <f>"_"&amp;INDEX(Tabelle132[Geräte/Gewerke],MATCH(Tabelle7[[#This Row],[Gesamtcode]],Tabelle132[Gesamtcode],0))</f>
        <v>#N/A</v>
      </c>
      <c r="G516" t="e">
        <f>INDEX(Tabelle13[Gewerknr.],MATCH(Tabelle7[[#This Row],[Gewerke]],Tabelle13[Hauptgruppe],0))</f>
        <v>#N/A</v>
      </c>
      <c r="H516" t="s">
        <v>363</v>
      </c>
      <c r="I516" t="e">
        <f ca="1">INDEX(Tabelle134[Funktionsbereichsnr.],MATCH(Tabelle7[[#This Row],[Funktionsbereiche]],INDIRECT("Tabelle134["&amp;Tabelle7[[#This Row],[Gewerke]]&amp;"]"),0))</f>
        <v>#N/A</v>
      </c>
      <c r="J516" t="e">
        <f>Tabelle7[[#This Row],[Gesamtcode]]&amp;"_"&amp;Tabelle7[[#This Row],[Zone]]&amp;"_"&amp;Tabelle7[[#This Row],[Raum]]&amp;"_"&amp;Tabelle7[[#This Row],[Bezeichnung]]</f>
        <v>#N/A</v>
      </c>
      <c r="K516">
        <v>9</v>
      </c>
      <c r="L516" t="e">
        <f>Tabelle7[[#This Row],[Hauptgruppe]]&amp;"/-/-"</f>
        <v>#N/A</v>
      </c>
      <c r="M516" t="e">
        <f ca="1">Tabelle7[[#This Row],[Hauptgruppe]]&amp;"/"&amp;Tabelle7[[#This Row],[Mittelgruppe]]&amp;"/-"</f>
        <v>#N/A</v>
      </c>
      <c r="N516" t="e">
        <f ca="1">Tabelle7[[#This Row],[Hauptgruppe]]&amp;"/"&amp;Tabelle7[[#This Row],[Mittelgruppe]]&amp;"/"&amp;Tabelle7[[#This Row],[Untergruppe]]</f>
        <v>#N/A</v>
      </c>
      <c r="O516" t="e">
        <f>INDEX(Tabelle6[Aktor],MATCH(Tabelle7[[#This Row],[Gesamtcode]],Tabelle6[Gesamtcode],0))&amp;" "&amp;INDEX(Tabelle6[Aktorkanal],MATCH(Tabelle7[[#This Row],[Gesamtcode]],Tabelle6[Gesamtcode],0))</f>
        <v>#N/A</v>
      </c>
    </row>
    <row r="517" spans="2:15" x14ac:dyDescent="0.25">
      <c r="B517" t="s">
        <v>349</v>
      </c>
      <c r="C517" t="e">
        <f>INDEX(Tabelle132[Zone],MATCH(Tabelle7[[#This Row],[Gesamtcode]],Tabelle132[Gesamtcode],0))</f>
        <v>#N/A</v>
      </c>
      <c r="D517" t="e">
        <f>INDEX(Tabelle132[Raum],MATCH(Tabelle7[[#This Row],[Gesamtcode]],Tabelle132[Gesamtcode],0))</f>
        <v>#N/A</v>
      </c>
      <c r="E517" t="e">
        <f>INDEX(Tabelle132[Bezeichnung],MATCH(Tabelle7[[#This Row],[Gesamtcode]],Tabelle132[Gesamtcode],0))</f>
        <v>#N/A</v>
      </c>
      <c r="F517" t="e">
        <f>"_"&amp;INDEX(Tabelle132[Geräte/Gewerke],MATCH(Tabelle7[[#This Row],[Gesamtcode]],Tabelle132[Gesamtcode],0))</f>
        <v>#N/A</v>
      </c>
      <c r="G517" t="e">
        <f>INDEX(Tabelle13[Gewerknr.],MATCH(Tabelle7[[#This Row],[Gewerke]],Tabelle13[Hauptgruppe],0))</f>
        <v>#N/A</v>
      </c>
      <c r="H517" t="s">
        <v>278</v>
      </c>
      <c r="I517" t="e">
        <f ca="1">INDEX(Tabelle134[Funktionsbereichsnr.],MATCH(Tabelle7[[#This Row],[Funktionsbereiche]],INDIRECT("Tabelle134["&amp;Tabelle7[[#This Row],[Gewerke]]&amp;"]"),0))</f>
        <v>#N/A</v>
      </c>
      <c r="J517" t="e">
        <f>Tabelle7[[#This Row],[Gesamtcode]]&amp;"_"&amp;Tabelle7[[#This Row],[Zone]]&amp;"_"&amp;Tabelle7[[#This Row],[Raum]]&amp;"_"&amp;Tabelle7[[#This Row],[Bezeichnung]]</f>
        <v>#N/A</v>
      </c>
      <c r="K517">
        <v>0</v>
      </c>
      <c r="L517" t="e">
        <f>Tabelle7[[#This Row],[Hauptgruppe]]&amp;"/-/-"</f>
        <v>#N/A</v>
      </c>
      <c r="M517" t="e">
        <f ca="1">Tabelle7[[#This Row],[Hauptgruppe]]&amp;"/"&amp;Tabelle7[[#This Row],[Mittelgruppe]]&amp;"/-"</f>
        <v>#N/A</v>
      </c>
      <c r="N517" t="e">
        <f ca="1">Tabelle7[[#This Row],[Hauptgruppe]]&amp;"/"&amp;Tabelle7[[#This Row],[Mittelgruppe]]&amp;"/"&amp;Tabelle7[[#This Row],[Untergruppe]]</f>
        <v>#N/A</v>
      </c>
      <c r="O517" t="e">
        <f>INDEX(Tabelle6[Aktor],MATCH(Tabelle7[[#This Row],[Gesamtcode]],Tabelle6[Gesamtcode],0))&amp;" "&amp;INDEX(Tabelle6[Aktorkanal],MATCH(Tabelle7[[#This Row],[Gesamtcode]],Tabelle6[Gesamtcode],0))</f>
        <v>#N/A</v>
      </c>
    </row>
    <row r="518" spans="2:15" x14ac:dyDescent="0.25">
      <c r="B518" t="s">
        <v>350</v>
      </c>
      <c r="C518" t="e">
        <f>INDEX(Tabelle132[Zone],MATCH(Tabelle7[[#This Row],[Gesamtcode]],Tabelle132[Gesamtcode],0))</f>
        <v>#N/A</v>
      </c>
      <c r="D518" t="e">
        <f>INDEX(Tabelle132[Raum],MATCH(Tabelle7[[#This Row],[Gesamtcode]],Tabelle132[Gesamtcode],0))</f>
        <v>#N/A</v>
      </c>
      <c r="E518" t="e">
        <f>INDEX(Tabelle132[Bezeichnung],MATCH(Tabelle7[[#This Row],[Gesamtcode]],Tabelle132[Gesamtcode],0))</f>
        <v>#N/A</v>
      </c>
      <c r="F518" t="e">
        <f>"_"&amp;INDEX(Tabelle132[Geräte/Gewerke],MATCH(Tabelle7[[#This Row],[Gesamtcode]],Tabelle132[Gesamtcode],0))</f>
        <v>#N/A</v>
      </c>
      <c r="G518" t="e">
        <f>INDEX(Tabelle13[Gewerknr.],MATCH(Tabelle7[[#This Row],[Gewerke]],Tabelle13[Hauptgruppe],0))</f>
        <v>#N/A</v>
      </c>
      <c r="H518" t="s">
        <v>278</v>
      </c>
      <c r="I518" t="e">
        <f ca="1">INDEX(Tabelle134[Funktionsbereichsnr.],MATCH(Tabelle7[[#This Row],[Funktionsbereiche]],INDIRECT("Tabelle134["&amp;Tabelle7[[#This Row],[Gewerke]]&amp;"]"),0))</f>
        <v>#N/A</v>
      </c>
      <c r="J518" t="e">
        <f>Tabelle7[[#This Row],[Gesamtcode]]&amp;"_"&amp;Tabelle7[[#This Row],[Zone]]&amp;"_"&amp;Tabelle7[[#This Row],[Raum]]&amp;"_"&amp;Tabelle7[[#This Row],[Bezeichnung]]</f>
        <v>#N/A</v>
      </c>
      <c r="K518">
        <v>1</v>
      </c>
      <c r="L518" t="e">
        <f>Tabelle7[[#This Row],[Hauptgruppe]]&amp;"/-/-"</f>
        <v>#N/A</v>
      </c>
      <c r="M518" t="e">
        <f ca="1">Tabelle7[[#This Row],[Hauptgruppe]]&amp;"/"&amp;Tabelle7[[#This Row],[Mittelgruppe]]&amp;"/-"</f>
        <v>#N/A</v>
      </c>
      <c r="N518" t="e">
        <f ca="1">Tabelle7[[#This Row],[Hauptgruppe]]&amp;"/"&amp;Tabelle7[[#This Row],[Mittelgruppe]]&amp;"/"&amp;Tabelle7[[#This Row],[Untergruppe]]</f>
        <v>#N/A</v>
      </c>
      <c r="O518" t="e">
        <f>INDEX(Tabelle6[Aktor],MATCH(Tabelle7[[#This Row],[Gesamtcode]],Tabelle6[Gesamtcode],0))&amp;" "&amp;INDEX(Tabelle6[Aktorkanal],MATCH(Tabelle7[[#This Row],[Gesamtcode]],Tabelle6[Gesamtcode],0))</f>
        <v>#N/A</v>
      </c>
    </row>
    <row r="519" spans="2:15" x14ac:dyDescent="0.25">
      <c r="B519" t="s">
        <v>351</v>
      </c>
      <c r="C519" t="e">
        <f>INDEX(Tabelle132[Zone],MATCH(Tabelle7[[#This Row],[Gesamtcode]],Tabelle132[Gesamtcode],0))</f>
        <v>#N/A</v>
      </c>
      <c r="D519" t="e">
        <f>INDEX(Tabelle132[Raum],MATCH(Tabelle7[[#This Row],[Gesamtcode]],Tabelle132[Gesamtcode],0))</f>
        <v>#N/A</v>
      </c>
      <c r="E519" t="e">
        <f>INDEX(Tabelle132[Bezeichnung],MATCH(Tabelle7[[#This Row],[Gesamtcode]],Tabelle132[Gesamtcode],0))</f>
        <v>#N/A</v>
      </c>
      <c r="F519" t="e">
        <f>"_"&amp;INDEX(Tabelle132[Geräte/Gewerke],MATCH(Tabelle7[[#This Row],[Gesamtcode]],Tabelle132[Gesamtcode],0))</f>
        <v>#N/A</v>
      </c>
      <c r="G519" t="e">
        <f>INDEX(Tabelle13[Gewerknr.],MATCH(Tabelle7[[#This Row],[Gewerke]],Tabelle13[Hauptgruppe],0))</f>
        <v>#N/A</v>
      </c>
      <c r="H519" t="s">
        <v>278</v>
      </c>
      <c r="I519" t="e">
        <f ca="1">INDEX(Tabelle134[Funktionsbereichsnr.],MATCH(Tabelle7[[#This Row],[Funktionsbereiche]],INDIRECT("Tabelle134["&amp;Tabelle7[[#This Row],[Gewerke]]&amp;"]"),0))</f>
        <v>#N/A</v>
      </c>
      <c r="J519" t="e">
        <f>Tabelle7[[#This Row],[Gesamtcode]]&amp;"_"&amp;Tabelle7[[#This Row],[Zone]]&amp;"_"&amp;Tabelle7[[#This Row],[Raum]]&amp;"_"&amp;Tabelle7[[#This Row],[Bezeichnung]]</f>
        <v>#N/A</v>
      </c>
      <c r="K519">
        <v>10</v>
      </c>
      <c r="L519" t="e">
        <f>Tabelle7[[#This Row],[Hauptgruppe]]&amp;"/-/-"</f>
        <v>#N/A</v>
      </c>
      <c r="M519" t="e">
        <f ca="1">Tabelle7[[#This Row],[Hauptgruppe]]&amp;"/"&amp;Tabelle7[[#This Row],[Mittelgruppe]]&amp;"/-"</f>
        <v>#N/A</v>
      </c>
      <c r="N519" t="e">
        <f ca="1">Tabelle7[[#This Row],[Hauptgruppe]]&amp;"/"&amp;Tabelle7[[#This Row],[Mittelgruppe]]&amp;"/"&amp;Tabelle7[[#This Row],[Untergruppe]]</f>
        <v>#N/A</v>
      </c>
      <c r="O519" t="e">
        <f>INDEX(Tabelle6[Aktor],MATCH(Tabelle7[[#This Row],[Gesamtcode]],Tabelle6[Gesamtcode],0))&amp;" "&amp;INDEX(Tabelle6[Aktorkanal],MATCH(Tabelle7[[#This Row],[Gesamtcode]],Tabelle6[Gesamtcode],0))</f>
        <v>#N/A</v>
      </c>
    </row>
    <row r="520" spans="2:15" x14ac:dyDescent="0.25">
      <c r="B520" t="s">
        <v>352</v>
      </c>
      <c r="C520" t="e">
        <f>INDEX(Tabelle132[Zone],MATCH(Tabelle7[[#This Row],[Gesamtcode]],Tabelle132[Gesamtcode],0))</f>
        <v>#N/A</v>
      </c>
      <c r="D520" t="e">
        <f>INDEX(Tabelle132[Raum],MATCH(Tabelle7[[#This Row],[Gesamtcode]],Tabelle132[Gesamtcode],0))</f>
        <v>#N/A</v>
      </c>
      <c r="E520" t="e">
        <f>INDEX(Tabelle132[Bezeichnung],MATCH(Tabelle7[[#This Row],[Gesamtcode]],Tabelle132[Gesamtcode],0))</f>
        <v>#N/A</v>
      </c>
      <c r="F520" t="e">
        <f>"_"&amp;INDEX(Tabelle132[Geräte/Gewerke],MATCH(Tabelle7[[#This Row],[Gesamtcode]],Tabelle132[Gesamtcode],0))</f>
        <v>#N/A</v>
      </c>
      <c r="G520" t="e">
        <f>INDEX(Tabelle13[Gewerknr.],MATCH(Tabelle7[[#This Row],[Gewerke]],Tabelle13[Hauptgruppe],0))</f>
        <v>#N/A</v>
      </c>
      <c r="H520" t="s">
        <v>278</v>
      </c>
      <c r="I520" t="e">
        <f ca="1">INDEX(Tabelle134[Funktionsbereichsnr.],MATCH(Tabelle7[[#This Row],[Funktionsbereiche]],INDIRECT("Tabelle134["&amp;Tabelle7[[#This Row],[Gewerke]]&amp;"]"),0))</f>
        <v>#N/A</v>
      </c>
      <c r="J520" t="e">
        <f>Tabelle7[[#This Row],[Gesamtcode]]&amp;"_"&amp;Tabelle7[[#This Row],[Zone]]&amp;"_"&amp;Tabelle7[[#This Row],[Raum]]&amp;"_"&amp;Tabelle7[[#This Row],[Bezeichnung]]</f>
        <v>#N/A</v>
      </c>
      <c r="K520">
        <v>2</v>
      </c>
      <c r="L520" t="e">
        <f>Tabelle7[[#This Row],[Hauptgruppe]]&amp;"/-/-"</f>
        <v>#N/A</v>
      </c>
      <c r="M520" t="e">
        <f ca="1">Tabelle7[[#This Row],[Hauptgruppe]]&amp;"/"&amp;Tabelle7[[#This Row],[Mittelgruppe]]&amp;"/-"</f>
        <v>#N/A</v>
      </c>
      <c r="N520" t="e">
        <f ca="1">Tabelle7[[#This Row],[Hauptgruppe]]&amp;"/"&amp;Tabelle7[[#This Row],[Mittelgruppe]]&amp;"/"&amp;Tabelle7[[#This Row],[Untergruppe]]</f>
        <v>#N/A</v>
      </c>
      <c r="O520" t="e">
        <f>INDEX(Tabelle6[Aktor],MATCH(Tabelle7[[#This Row],[Gesamtcode]],Tabelle6[Gesamtcode],0))&amp;" "&amp;INDEX(Tabelle6[Aktorkanal],MATCH(Tabelle7[[#This Row],[Gesamtcode]],Tabelle6[Gesamtcode],0))</f>
        <v>#N/A</v>
      </c>
    </row>
    <row r="521" spans="2:15" x14ac:dyDescent="0.25">
      <c r="B521" t="s">
        <v>353</v>
      </c>
      <c r="C521" t="e">
        <f>INDEX(Tabelle132[Zone],MATCH(Tabelle7[[#This Row],[Gesamtcode]],Tabelle132[Gesamtcode],0))</f>
        <v>#N/A</v>
      </c>
      <c r="D521" t="e">
        <f>INDEX(Tabelle132[Raum],MATCH(Tabelle7[[#This Row],[Gesamtcode]],Tabelle132[Gesamtcode],0))</f>
        <v>#N/A</v>
      </c>
      <c r="E521" t="e">
        <f>INDEX(Tabelle132[Bezeichnung],MATCH(Tabelle7[[#This Row],[Gesamtcode]],Tabelle132[Gesamtcode],0))</f>
        <v>#N/A</v>
      </c>
      <c r="F521" t="e">
        <f>"_"&amp;INDEX(Tabelle132[Geräte/Gewerke],MATCH(Tabelle7[[#This Row],[Gesamtcode]],Tabelle132[Gesamtcode],0))</f>
        <v>#N/A</v>
      </c>
      <c r="G521" t="e">
        <f>INDEX(Tabelle13[Gewerknr.],MATCH(Tabelle7[[#This Row],[Gewerke]],Tabelle13[Hauptgruppe],0))</f>
        <v>#N/A</v>
      </c>
      <c r="H521" t="s">
        <v>278</v>
      </c>
      <c r="I521" t="e">
        <f ca="1">INDEX(Tabelle134[Funktionsbereichsnr.],MATCH(Tabelle7[[#This Row],[Funktionsbereiche]],INDIRECT("Tabelle134["&amp;Tabelle7[[#This Row],[Gewerke]]&amp;"]"),0))</f>
        <v>#N/A</v>
      </c>
      <c r="J521" t="e">
        <f>Tabelle7[[#This Row],[Gesamtcode]]&amp;"_"&amp;Tabelle7[[#This Row],[Zone]]&amp;"_"&amp;Tabelle7[[#This Row],[Raum]]&amp;"_"&amp;Tabelle7[[#This Row],[Bezeichnung]]</f>
        <v>#N/A</v>
      </c>
      <c r="K521">
        <v>3</v>
      </c>
      <c r="L521" t="e">
        <f>Tabelle7[[#This Row],[Hauptgruppe]]&amp;"/-/-"</f>
        <v>#N/A</v>
      </c>
      <c r="M521" t="e">
        <f ca="1">Tabelle7[[#This Row],[Hauptgruppe]]&amp;"/"&amp;Tabelle7[[#This Row],[Mittelgruppe]]&amp;"/-"</f>
        <v>#N/A</v>
      </c>
      <c r="N521" t="e">
        <f ca="1">Tabelle7[[#This Row],[Hauptgruppe]]&amp;"/"&amp;Tabelle7[[#This Row],[Mittelgruppe]]&amp;"/"&amp;Tabelle7[[#This Row],[Untergruppe]]</f>
        <v>#N/A</v>
      </c>
      <c r="O521" t="e">
        <f>INDEX(Tabelle6[Aktor],MATCH(Tabelle7[[#This Row],[Gesamtcode]],Tabelle6[Gesamtcode],0))&amp;" "&amp;INDEX(Tabelle6[Aktorkanal],MATCH(Tabelle7[[#This Row],[Gesamtcode]],Tabelle6[Gesamtcode],0))</f>
        <v>#N/A</v>
      </c>
    </row>
    <row r="522" spans="2:15" x14ac:dyDescent="0.25">
      <c r="B522" t="s">
        <v>354</v>
      </c>
      <c r="C522" t="e">
        <f>INDEX(Tabelle132[Zone],MATCH(Tabelle7[[#This Row],[Gesamtcode]],Tabelle132[Gesamtcode],0))</f>
        <v>#N/A</v>
      </c>
      <c r="D522" t="e">
        <f>INDEX(Tabelle132[Raum],MATCH(Tabelle7[[#This Row],[Gesamtcode]],Tabelle132[Gesamtcode],0))</f>
        <v>#N/A</v>
      </c>
      <c r="E522" t="e">
        <f>INDEX(Tabelle132[Bezeichnung],MATCH(Tabelle7[[#This Row],[Gesamtcode]],Tabelle132[Gesamtcode],0))</f>
        <v>#N/A</v>
      </c>
      <c r="F522" t="e">
        <f>"_"&amp;INDEX(Tabelle132[Geräte/Gewerke],MATCH(Tabelle7[[#This Row],[Gesamtcode]],Tabelle132[Gesamtcode],0))</f>
        <v>#N/A</v>
      </c>
      <c r="G522" t="e">
        <f>INDEX(Tabelle13[Gewerknr.],MATCH(Tabelle7[[#This Row],[Gewerke]],Tabelle13[Hauptgruppe],0))</f>
        <v>#N/A</v>
      </c>
      <c r="H522" t="s">
        <v>278</v>
      </c>
      <c r="I522" t="e">
        <f ca="1">INDEX(Tabelle134[Funktionsbereichsnr.],MATCH(Tabelle7[[#This Row],[Funktionsbereiche]],INDIRECT("Tabelle134["&amp;Tabelle7[[#This Row],[Gewerke]]&amp;"]"),0))</f>
        <v>#N/A</v>
      </c>
      <c r="J522" t="e">
        <f>Tabelle7[[#This Row],[Gesamtcode]]&amp;"_"&amp;Tabelle7[[#This Row],[Zone]]&amp;"_"&amp;Tabelle7[[#This Row],[Raum]]&amp;"_"&amp;Tabelle7[[#This Row],[Bezeichnung]]</f>
        <v>#N/A</v>
      </c>
      <c r="K522">
        <v>4</v>
      </c>
      <c r="L522" t="e">
        <f>Tabelle7[[#This Row],[Hauptgruppe]]&amp;"/-/-"</f>
        <v>#N/A</v>
      </c>
      <c r="M522" t="e">
        <f ca="1">Tabelle7[[#This Row],[Hauptgruppe]]&amp;"/"&amp;Tabelle7[[#This Row],[Mittelgruppe]]&amp;"/-"</f>
        <v>#N/A</v>
      </c>
      <c r="N522" t="e">
        <f ca="1">Tabelle7[[#This Row],[Hauptgruppe]]&amp;"/"&amp;Tabelle7[[#This Row],[Mittelgruppe]]&amp;"/"&amp;Tabelle7[[#This Row],[Untergruppe]]</f>
        <v>#N/A</v>
      </c>
      <c r="O522" t="e">
        <f>INDEX(Tabelle6[Aktor],MATCH(Tabelle7[[#This Row],[Gesamtcode]],Tabelle6[Gesamtcode],0))&amp;" "&amp;INDEX(Tabelle6[Aktorkanal],MATCH(Tabelle7[[#This Row],[Gesamtcode]],Tabelle6[Gesamtcode],0))</f>
        <v>#N/A</v>
      </c>
    </row>
    <row r="523" spans="2:15" x14ac:dyDescent="0.25">
      <c r="B523" t="s">
        <v>355</v>
      </c>
      <c r="C523" t="e">
        <f>INDEX(Tabelle132[Zone],MATCH(Tabelle7[[#This Row],[Gesamtcode]],Tabelle132[Gesamtcode],0))</f>
        <v>#N/A</v>
      </c>
      <c r="D523" t="e">
        <f>INDEX(Tabelle132[Raum],MATCH(Tabelle7[[#This Row],[Gesamtcode]],Tabelle132[Gesamtcode],0))</f>
        <v>#N/A</v>
      </c>
      <c r="E523" t="e">
        <f>INDEX(Tabelle132[Bezeichnung],MATCH(Tabelle7[[#This Row],[Gesamtcode]],Tabelle132[Gesamtcode],0))</f>
        <v>#N/A</v>
      </c>
      <c r="F523" t="e">
        <f>"_"&amp;INDEX(Tabelle132[Geräte/Gewerke],MATCH(Tabelle7[[#This Row],[Gesamtcode]],Tabelle132[Gesamtcode],0))</f>
        <v>#N/A</v>
      </c>
      <c r="G523" t="e">
        <f>INDEX(Tabelle13[Gewerknr.],MATCH(Tabelle7[[#This Row],[Gewerke]],Tabelle13[Hauptgruppe],0))</f>
        <v>#N/A</v>
      </c>
      <c r="H523" t="s">
        <v>278</v>
      </c>
      <c r="I523" t="e">
        <f ca="1">INDEX(Tabelle134[Funktionsbereichsnr.],MATCH(Tabelle7[[#This Row],[Funktionsbereiche]],INDIRECT("Tabelle134["&amp;Tabelle7[[#This Row],[Gewerke]]&amp;"]"),0))</f>
        <v>#N/A</v>
      </c>
      <c r="J523" t="e">
        <f>Tabelle7[[#This Row],[Gesamtcode]]&amp;"_"&amp;Tabelle7[[#This Row],[Zone]]&amp;"_"&amp;Tabelle7[[#This Row],[Raum]]&amp;"_"&amp;Tabelle7[[#This Row],[Bezeichnung]]</f>
        <v>#N/A</v>
      </c>
      <c r="K523">
        <v>5</v>
      </c>
      <c r="L523" t="e">
        <f>Tabelle7[[#This Row],[Hauptgruppe]]&amp;"/-/-"</f>
        <v>#N/A</v>
      </c>
      <c r="M523" t="e">
        <f ca="1">Tabelle7[[#This Row],[Hauptgruppe]]&amp;"/"&amp;Tabelle7[[#This Row],[Mittelgruppe]]&amp;"/-"</f>
        <v>#N/A</v>
      </c>
      <c r="N523" t="e">
        <f ca="1">Tabelle7[[#This Row],[Hauptgruppe]]&amp;"/"&amp;Tabelle7[[#This Row],[Mittelgruppe]]&amp;"/"&amp;Tabelle7[[#This Row],[Untergruppe]]</f>
        <v>#N/A</v>
      </c>
      <c r="O523" t="e">
        <f>INDEX(Tabelle6[Aktor],MATCH(Tabelle7[[#This Row],[Gesamtcode]],Tabelle6[Gesamtcode],0))&amp;" "&amp;INDEX(Tabelle6[Aktorkanal],MATCH(Tabelle7[[#This Row],[Gesamtcode]],Tabelle6[Gesamtcode],0))</f>
        <v>#N/A</v>
      </c>
    </row>
    <row r="524" spans="2:15" x14ac:dyDescent="0.25">
      <c r="B524" t="s">
        <v>356</v>
      </c>
      <c r="C524" t="e">
        <f>INDEX(Tabelle132[Zone],MATCH(Tabelle7[[#This Row],[Gesamtcode]],Tabelle132[Gesamtcode],0))</f>
        <v>#N/A</v>
      </c>
      <c r="D524" t="e">
        <f>INDEX(Tabelle132[Raum],MATCH(Tabelle7[[#This Row],[Gesamtcode]],Tabelle132[Gesamtcode],0))</f>
        <v>#N/A</v>
      </c>
      <c r="E524" t="e">
        <f>INDEX(Tabelle132[Bezeichnung],MATCH(Tabelle7[[#This Row],[Gesamtcode]],Tabelle132[Gesamtcode],0))</f>
        <v>#N/A</v>
      </c>
      <c r="F524" t="e">
        <f>"_"&amp;INDEX(Tabelle132[Geräte/Gewerke],MATCH(Tabelle7[[#This Row],[Gesamtcode]],Tabelle132[Gesamtcode],0))</f>
        <v>#N/A</v>
      </c>
      <c r="G524" t="e">
        <f>INDEX(Tabelle13[Gewerknr.],MATCH(Tabelle7[[#This Row],[Gewerke]],Tabelle13[Hauptgruppe],0))</f>
        <v>#N/A</v>
      </c>
      <c r="H524" t="s">
        <v>278</v>
      </c>
      <c r="I524" t="e">
        <f ca="1">INDEX(Tabelle134[Funktionsbereichsnr.],MATCH(Tabelle7[[#This Row],[Funktionsbereiche]],INDIRECT("Tabelle134["&amp;Tabelle7[[#This Row],[Gewerke]]&amp;"]"),0))</f>
        <v>#N/A</v>
      </c>
      <c r="J524" t="e">
        <f>Tabelle7[[#This Row],[Gesamtcode]]&amp;"_"&amp;Tabelle7[[#This Row],[Zone]]&amp;"_"&amp;Tabelle7[[#This Row],[Raum]]&amp;"_"&amp;Tabelle7[[#This Row],[Bezeichnung]]</f>
        <v>#N/A</v>
      </c>
      <c r="K524">
        <v>6</v>
      </c>
      <c r="L524" t="e">
        <f>Tabelle7[[#This Row],[Hauptgruppe]]&amp;"/-/-"</f>
        <v>#N/A</v>
      </c>
      <c r="M524" t="e">
        <f ca="1">Tabelle7[[#This Row],[Hauptgruppe]]&amp;"/"&amp;Tabelle7[[#This Row],[Mittelgruppe]]&amp;"/-"</f>
        <v>#N/A</v>
      </c>
      <c r="N524" t="e">
        <f ca="1">Tabelle7[[#This Row],[Hauptgruppe]]&amp;"/"&amp;Tabelle7[[#This Row],[Mittelgruppe]]&amp;"/"&amp;Tabelle7[[#This Row],[Untergruppe]]</f>
        <v>#N/A</v>
      </c>
      <c r="O524" t="e">
        <f>INDEX(Tabelle6[Aktor],MATCH(Tabelle7[[#This Row],[Gesamtcode]],Tabelle6[Gesamtcode],0))&amp;" "&amp;INDEX(Tabelle6[Aktorkanal],MATCH(Tabelle7[[#This Row],[Gesamtcode]],Tabelle6[Gesamtcode],0))</f>
        <v>#N/A</v>
      </c>
    </row>
    <row r="525" spans="2:15" x14ac:dyDescent="0.25">
      <c r="B525" t="s">
        <v>357</v>
      </c>
      <c r="C525" t="e">
        <f>INDEX(Tabelle132[Zone],MATCH(Tabelle7[[#This Row],[Gesamtcode]],Tabelle132[Gesamtcode],0))</f>
        <v>#N/A</v>
      </c>
      <c r="D525" t="e">
        <f>INDEX(Tabelle132[Raum],MATCH(Tabelle7[[#This Row],[Gesamtcode]],Tabelle132[Gesamtcode],0))</f>
        <v>#N/A</v>
      </c>
      <c r="E525" t="e">
        <f>INDEX(Tabelle132[Bezeichnung],MATCH(Tabelle7[[#This Row],[Gesamtcode]],Tabelle132[Gesamtcode],0))</f>
        <v>#N/A</v>
      </c>
      <c r="F525" t="e">
        <f>"_"&amp;INDEX(Tabelle132[Geräte/Gewerke],MATCH(Tabelle7[[#This Row],[Gesamtcode]],Tabelle132[Gesamtcode],0))</f>
        <v>#N/A</v>
      </c>
      <c r="G525" t="e">
        <f>INDEX(Tabelle13[Gewerknr.],MATCH(Tabelle7[[#This Row],[Gewerke]],Tabelle13[Hauptgruppe],0))</f>
        <v>#N/A</v>
      </c>
      <c r="H525" t="s">
        <v>278</v>
      </c>
      <c r="I525" t="e">
        <f ca="1">INDEX(Tabelle134[Funktionsbereichsnr.],MATCH(Tabelle7[[#This Row],[Funktionsbereiche]],INDIRECT("Tabelle134["&amp;Tabelle7[[#This Row],[Gewerke]]&amp;"]"),0))</f>
        <v>#N/A</v>
      </c>
      <c r="J525" t="e">
        <f>Tabelle7[[#This Row],[Gesamtcode]]&amp;"_"&amp;Tabelle7[[#This Row],[Zone]]&amp;"_"&amp;Tabelle7[[#This Row],[Raum]]&amp;"_"&amp;Tabelle7[[#This Row],[Bezeichnung]]</f>
        <v>#N/A</v>
      </c>
      <c r="K525">
        <v>7</v>
      </c>
      <c r="L525" t="e">
        <f>Tabelle7[[#This Row],[Hauptgruppe]]&amp;"/-/-"</f>
        <v>#N/A</v>
      </c>
      <c r="M525" t="e">
        <f ca="1">Tabelle7[[#This Row],[Hauptgruppe]]&amp;"/"&amp;Tabelle7[[#This Row],[Mittelgruppe]]&amp;"/-"</f>
        <v>#N/A</v>
      </c>
      <c r="N525" t="e">
        <f ca="1">Tabelle7[[#This Row],[Hauptgruppe]]&amp;"/"&amp;Tabelle7[[#This Row],[Mittelgruppe]]&amp;"/"&amp;Tabelle7[[#This Row],[Untergruppe]]</f>
        <v>#N/A</v>
      </c>
      <c r="O525" t="e">
        <f>INDEX(Tabelle6[Aktor],MATCH(Tabelle7[[#This Row],[Gesamtcode]],Tabelle6[Gesamtcode],0))&amp;" "&amp;INDEX(Tabelle6[Aktorkanal],MATCH(Tabelle7[[#This Row],[Gesamtcode]],Tabelle6[Gesamtcode],0))</f>
        <v>#N/A</v>
      </c>
    </row>
    <row r="526" spans="2:15" x14ac:dyDescent="0.25">
      <c r="B526" t="s">
        <v>358</v>
      </c>
      <c r="C526" t="e">
        <f>INDEX(Tabelle132[Zone],MATCH(Tabelle7[[#This Row],[Gesamtcode]],Tabelle132[Gesamtcode],0))</f>
        <v>#N/A</v>
      </c>
      <c r="D526" t="e">
        <f>INDEX(Tabelle132[Raum],MATCH(Tabelle7[[#This Row],[Gesamtcode]],Tabelle132[Gesamtcode],0))</f>
        <v>#N/A</v>
      </c>
      <c r="E526" t="e">
        <f>INDEX(Tabelle132[Bezeichnung],MATCH(Tabelle7[[#This Row],[Gesamtcode]],Tabelle132[Gesamtcode],0))</f>
        <v>#N/A</v>
      </c>
      <c r="F526" t="e">
        <f>"_"&amp;INDEX(Tabelle132[Geräte/Gewerke],MATCH(Tabelle7[[#This Row],[Gesamtcode]],Tabelle132[Gesamtcode],0))</f>
        <v>#N/A</v>
      </c>
      <c r="G526" t="e">
        <f>INDEX(Tabelle13[Gewerknr.],MATCH(Tabelle7[[#This Row],[Gewerke]],Tabelle13[Hauptgruppe],0))</f>
        <v>#N/A</v>
      </c>
      <c r="H526" t="s">
        <v>278</v>
      </c>
      <c r="I526" t="e">
        <f ca="1">INDEX(Tabelle134[Funktionsbereichsnr.],MATCH(Tabelle7[[#This Row],[Funktionsbereiche]],INDIRECT("Tabelle134["&amp;Tabelle7[[#This Row],[Gewerke]]&amp;"]"),0))</f>
        <v>#N/A</v>
      </c>
      <c r="J526" t="e">
        <f>Tabelle7[[#This Row],[Gesamtcode]]&amp;"_"&amp;Tabelle7[[#This Row],[Zone]]&amp;"_"&amp;Tabelle7[[#This Row],[Raum]]&amp;"_"&amp;Tabelle7[[#This Row],[Bezeichnung]]</f>
        <v>#N/A</v>
      </c>
      <c r="K526">
        <v>8</v>
      </c>
      <c r="L526" t="e">
        <f>Tabelle7[[#This Row],[Hauptgruppe]]&amp;"/-/-"</f>
        <v>#N/A</v>
      </c>
      <c r="M526" t="e">
        <f ca="1">Tabelle7[[#This Row],[Hauptgruppe]]&amp;"/"&amp;Tabelle7[[#This Row],[Mittelgruppe]]&amp;"/-"</f>
        <v>#N/A</v>
      </c>
      <c r="N526" t="e">
        <f ca="1">Tabelle7[[#This Row],[Hauptgruppe]]&amp;"/"&amp;Tabelle7[[#This Row],[Mittelgruppe]]&amp;"/"&amp;Tabelle7[[#This Row],[Untergruppe]]</f>
        <v>#N/A</v>
      </c>
      <c r="O526" t="e">
        <f>INDEX(Tabelle6[Aktor],MATCH(Tabelle7[[#This Row],[Gesamtcode]],Tabelle6[Gesamtcode],0))&amp;" "&amp;INDEX(Tabelle6[Aktorkanal],MATCH(Tabelle7[[#This Row],[Gesamtcode]],Tabelle6[Gesamtcode],0))</f>
        <v>#N/A</v>
      </c>
    </row>
    <row r="527" spans="2:15" x14ac:dyDescent="0.25">
      <c r="B527" t="s">
        <v>359</v>
      </c>
      <c r="C527" t="e">
        <f>INDEX(Tabelle132[Zone],MATCH(Tabelle7[[#This Row],[Gesamtcode]],Tabelle132[Gesamtcode],0))</f>
        <v>#N/A</v>
      </c>
      <c r="D527" t="e">
        <f>INDEX(Tabelle132[Raum],MATCH(Tabelle7[[#This Row],[Gesamtcode]],Tabelle132[Gesamtcode],0))</f>
        <v>#N/A</v>
      </c>
      <c r="E527" t="e">
        <f>INDEX(Tabelle132[Bezeichnung],MATCH(Tabelle7[[#This Row],[Gesamtcode]],Tabelle132[Gesamtcode],0))</f>
        <v>#N/A</v>
      </c>
      <c r="F527" t="e">
        <f>"_"&amp;INDEX(Tabelle132[Geräte/Gewerke],MATCH(Tabelle7[[#This Row],[Gesamtcode]],Tabelle132[Gesamtcode],0))</f>
        <v>#N/A</v>
      </c>
      <c r="G527" t="e">
        <f>INDEX(Tabelle13[Gewerknr.],MATCH(Tabelle7[[#This Row],[Gewerke]],Tabelle13[Hauptgruppe],0))</f>
        <v>#N/A</v>
      </c>
      <c r="H527" t="s">
        <v>278</v>
      </c>
      <c r="I527" t="e">
        <f ca="1">INDEX(Tabelle134[Funktionsbereichsnr.],MATCH(Tabelle7[[#This Row],[Funktionsbereiche]],INDIRECT("Tabelle134["&amp;Tabelle7[[#This Row],[Gewerke]]&amp;"]"),0))</f>
        <v>#N/A</v>
      </c>
      <c r="J527" t="e">
        <f>Tabelle7[[#This Row],[Gesamtcode]]&amp;"_"&amp;Tabelle7[[#This Row],[Zone]]&amp;"_"&amp;Tabelle7[[#This Row],[Raum]]&amp;"_"&amp;Tabelle7[[#This Row],[Bezeichnung]]</f>
        <v>#N/A</v>
      </c>
      <c r="K527">
        <v>9</v>
      </c>
      <c r="L527" t="e">
        <f>Tabelle7[[#This Row],[Hauptgruppe]]&amp;"/-/-"</f>
        <v>#N/A</v>
      </c>
      <c r="M527" t="e">
        <f ca="1">Tabelle7[[#This Row],[Hauptgruppe]]&amp;"/"&amp;Tabelle7[[#This Row],[Mittelgruppe]]&amp;"/-"</f>
        <v>#N/A</v>
      </c>
      <c r="N527" t="e">
        <f ca="1">Tabelle7[[#This Row],[Hauptgruppe]]&amp;"/"&amp;Tabelle7[[#This Row],[Mittelgruppe]]&amp;"/"&amp;Tabelle7[[#This Row],[Untergruppe]]</f>
        <v>#N/A</v>
      </c>
      <c r="O527" t="e">
        <f>INDEX(Tabelle6[Aktor],MATCH(Tabelle7[[#This Row],[Gesamtcode]],Tabelle6[Gesamtcode],0))&amp;" "&amp;INDEX(Tabelle6[Aktorkanal],MATCH(Tabelle7[[#This Row],[Gesamtcode]],Tabelle6[Gesamtcode],0))</f>
        <v>#N/A</v>
      </c>
    </row>
    <row r="528" spans="2:15" x14ac:dyDescent="0.25">
      <c r="B528" t="s">
        <v>349</v>
      </c>
      <c r="C528" t="e">
        <f>INDEX(Tabelle132[Zone],MATCH(Tabelle7[[#This Row],[Gesamtcode]],Tabelle132[Gesamtcode],0))</f>
        <v>#N/A</v>
      </c>
      <c r="D528" t="e">
        <f>INDEX(Tabelle132[Raum],MATCH(Tabelle7[[#This Row],[Gesamtcode]],Tabelle132[Gesamtcode],0))</f>
        <v>#N/A</v>
      </c>
      <c r="E528" t="e">
        <f>INDEX(Tabelle132[Bezeichnung],MATCH(Tabelle7[[#This Row],[Gesamtcode]],Tabelle132[Gesamtcode],0))</f>
        <v>#N/A</v>
      </c>
      <c r="F528" t="e">
        <f>"_"&amp;INDEX(Tabelle132[Geräte/Gewerke],MATCH(Tabelle7[[#This Row],[Gesamtcode]],Tabelle132[Gesamtcode],0))</f>
        <v>#N/A</v>
      </c>
      <c r="G528" t="e">
        <f>INDEX(Tabelle13[Gewerknr.],MATCH(Tabelle7[[#This Row],[Gewerke]],Tabelle13[Hauptgruppe],0))</f>
        <v>#N/A</v>
      </c>
      <c r="H528" t="s">
        <v>364</v>
      </c>
      <c r="I528" t="e">
        <f ca="1">INDEX(Tabelle134[Funktionsbereichsnr.],MATCH(Tabelle7[[#This Row],[Funktionsbereiche]],INDIRECT("Tabelle134["&amp;Tabelle7[[#This Row],[Gewerke]]&amp;"]"),0))</f>
        <v>#N/A</v>
      </c>
      <c r="J528" t="e">
        <f>Tabelle7[[#This Row],[Gesamtcode]]&amp;"_"&amp;Tabelle7[[#This Row],[Zone]]&amp;"_"&amp;Tabelle7[[#This Row],[Raum]]&amp;"_"&amp;Tabelle7[[#This Row],[Bezeichnung]]</f>
        <v>#N/A</v>
      </c>
      <c r="K528">
        <v>0</v>
      </c>
      <c r="L528" t="e">
        <f>Tabelle7[[#This Row],[Hauptgruppe]]&amp;"/-/-"</f>
        <v>#N/A</v>
      </c>
      <c r="M528" t="e">
        <f ca="1">Tabelle7[[#This Row],[Hauptgruppe]]&amp;"/"&amp;Tabelle7[[#This Row],[Mittelgruppe]]&amp;"/-"</f>
        <v>#N/A</v>
      </c>
      <c r="N528" t="e">
        <f ca="1">Tabelle7[[#This Row],[Hauptgruppe]]&amp;"/"&amp;Tabelle7[[#This Row],[Mittelgruppe]]&amp;"/"&amp;Tabelle7[[#This Row],[Untergruppe]]</f>
        <v>#N/A</v>
      </c>
      <c r="O528" t="e">
        <f>INDEX(Tabelle6[Aktor],MATCH(Tabelle7[[#This Row],[Gesamtcode]],Tabelle6[Gesamtcode],0))&amp;" "&amp;INDEX(Tabelle6[Aktorkanal],MATCH(Tabelle7[[#This Row],[Gesamtcode]],Tabelle6[Gesamtcode],0))</f>
        <v>#N/A</v>
      </c>
    </row>
    <row r="529" spans="2:15" x14ac:dyDescent="0.25">
      <c r="B529" t="s">
        <v>350</v>
      </c>
      <c r="C529" t="e">
        <f>INDEX(Tabelle132[Zone],MATCH(Tabelle7[[#This Row],[Gesamtcode]],Tabelle132[Gesamtcode],0))</f>
        <v>#N/A</v>
      </c>
      <c r="D529" t="e">
        <f>INDEX(Tabelle132[Raum],MATCH(Tabelle7[[#This Row],[Gesamtcode]],Tabelle132[Gesamtcode],0))</f>
        <v>#N/A</v>
      </c>
      <c r="E529" t="e">
        <f>INDEX(Tabelle132[Bezeichnung],MATCH(Tabelle7[[#This Row],[Gesamtcode]],Tabelle132[Gesamtcode],0))</f>
        <v>#N/A</v>
      </c>
      <c r="F529" t="e">
        <f>"_"&amp;INDEX(Tabelle132[Geräte/Gewerke],MATCH(Tabelle7[[#This Row],[Gesamtcode]],Tabelle132[Gesamtcode],0))</f>
        <v>#N/A</v>
      </c>
      <c r="G529" t="e">
        <f>INDEX(Tabelle13[Gewerknr.],MATCH(Tabelle7[[#This Row],[Gewerke]],Tabelle13[Hauptgruppe],0))</f>
        <v>#N/A</v>
      </c>
      <c r="H529" t="s">
        <v>364</v>
      </c>
      <c r="I529" t="e">
        <f ca="1">INDEX(Tabelle134[Funktionsbereichsnr.],MATCH(Tabelle7[[#This Row],[Funktionsbereiche]],INDIRECT("Tabelle134["&amp;Tabelle7[[#This Row],[Gewerke]]&amp;"]"),0))</f>
        <v>#N/A</v>
      </c>
      <c r="J529" t="e">
        <f>Tabelle7[[#This Row],[Gesamtcode]]&amp;"_"&amp;Tabelle7[[#This Row],[Zone]]&amp;"_"&amp;Tabelle7[[#This Row],[Raum]]&amp;"_"&amp;Tabelle7[[#This Row],[Bezeichnung]]</f>
        <v>#N/A</v>
      </c>
      <c r="K529">
        <v>1</v>
      </c>
      <c r="L529" t="e">
        <f>Tabelle7[[#This Row],[Hauptgruppe]]&amp;"/-/-"</f>
        <v>#N/A</v>
      </c>
      <c r="M529" t="e">
        <f ca="1">Tabelle7[[#This Row],[Hauptgruppe]]&amp;"/"&amp;Tabelle7[[#This Row],[Mittelgruppe]]&amp;"/-"</f>
        <v>#N/A</v>
      </c>
      <c r="N529" t="e">
        <f ca="1">Tabelle7[[#This Row],[Hauptgruppe]]&amp;"/"&amp;Tabelle7[[#This Row],[Mittelgruppe]]&amp;"/"&amp;Tabelle7[[#This Row],[Untergruppe]]</f>
        <v>#N/A</v>
      </c>
      <c r="O529" t="e">
        <f>INDEX(Tabelle6[Aktor],MATCH(Tabelle7[[#This Row],[Gesamtcode]],Tabelle6[Gesamtcode],0))&amp;" "&amp;INDEX(Tabelle6[Aktorkanal],MATCH(Tabelle7[[#This Row],[Gesamtcode]],Tabelle6[Gesamtcode],0))</f>
        <v>#N/A</v>
      </c>
    </row>
    <row r="530" spans="2:15" x14ac:dyDescent="0.25">
      <c r="B530" t="s">
        <v>351</v>
      </c>
      <c r="C530" t="e">
        <f>INDEX(Tabelle132[Zone],MATCH(Tabelle7[[#This Row],[Gesamtcode]],Tabelle132[Gesamtcode],0))</f>
        <v>#N/A</v>
      </c>
      <c r="D530" t="e">
        <f>INDEX(Tabelle132[Raum],MATCH(Tabelle7[[#This Row],[Gesamtcode]],Tabelle132[Gesamtcode],0))</f>
        <v>#N/A</v>
      </c>
      <c r="E530" t="e">
        <f>INDEX(Tabelle132[Bezeichnung],MATCH(Tabelle7[[#This Row],[Gesamtcode]],Tabelle132[Gesamtcode],0))</f>
        <v>#N/A</v>
      </c>
      <c r="F530" t="e">
        <f>"_"&amp;INDEX(Tabelle132[Geräte/Gewerke],MATCH(Tabelle7[[#This Row],[Gesamtcode]],Tabelle132[Gesamtcode],0))</f>
        <v>#N/A</v>
      </c>
      <c r="G530" t="e">
        <f>INDEX(Tabelle13[Gewerknr.],MATCH(Tabelle7[[#This Row],[Gewerke]],Tabelle13[Hauptgruppe],0))</f>
        <v>#N/A</v>
      </c>
      <c r="H530" t="s">
        <v>364</v>
      </c>
      <c r="I530" t="e">
        <f ca="1">INDEX(Tabelle134[Funktionsbereichsnr.],MATCH(Tabelle7[[#This Row],[Funktionsbereiche]],INDIRECT("Tabelle134["&amp;Tabelle7[[#This Row],[Gewerke]]&amp;"]"),0))</f>
        <v>#N/A</v>
      </c>
      <c r="J530" t="e">
        <f>Tabelle7[[#This Row],[Gesamtcode]]&amp;"_"&amp;Tabelle7[[#This Row],[Zone]]&amp;"_"&amp;Tabelle7[[#This Row],[Raum]]&amp;"_"&amp;Tabelle7[[#This Row],[Bezeichnung]]</f>
        <v>#N/A</v>
      </c>
      <c r="K530">
        <v>10</v>
      </c>
      <c r="L530" t="e">
        <f>Tabelle7[[#This Row],[Hauptgruppe]]&amp;"/-/-"</f>
        <v>#N/A</v>
      </c>
      <c r="M530" t="e">
        <f ca="1">Tabelle7[[#This Row],[Hauptgruppe]]&amp;"/"&amp;Tabelle7[[#This Row],[Mittelgruppe]]&amp;"/-"</f>
        <v>#N/A</v>
      </c>
      <c r="N530" t="e">
        <f ca="1">Tabelle7[[#This Row],[Hauptgruppe]]&amp;"/"&amp;Tabelle7[[#This Row],[Mittelgruppe]]&amp;"/"&amp;Tabelle7[[#This Row],[Untergruppe]]</f>
        <v>#N/A</v>
      </c>
      <c r="O530" t="e">
        <f>INDEX(Tabelle6[Aktor],MATCH(Tabelle7[[#This Row],[Gesamtcode]],Tabelle6[Gesamtcode],0))&amp;" "&amp;INDEX(Tabelle6[Aktorkanal],MATCH(Tabelle7[[#This Row],[Gesamtcode]],Tabelle6[Gesamtcode],0))</f>
        <v>#N/A</v>
      </c>
    </row>
    <row r="531" spans="2:15" x14ac:dyDescent="0.25">
      <c r="B531" t="s">
        <v>352</v>
      </c>
      <c r="C531" t="e">
        <f>INDEX(Tabelle132[Zone],MATCH(Tabelle7[[#This Row],[Gesamtcode]],Tabelle132[Gesamtcode],0))</f>
        <v>#N/A</v>
      </c>
      <c r="D531" t="e">
        <f>INDEX(Tabelle132[Raum],MATCH(Tabelle7[[#This Row],[Gesamtcode]],Tabelle132[Gesamtcode],0))</f>
        <v>#N/A</v>
      </c>
      <c r="E531" t="e">
        <f>INDEX(Tabelle132[Bezeichnung],MATCH(Tabelle7[[#This Row],[Gesamtcode]],Tabelle132[Gesamtcode],0))</f>
        <v>#N/A</v>
      </c>
      <c r="F531" t="e">
        <f>"_"&amp;INDEX(Tabelle132[Geräte/Gewerke],MATCH(Tabelle7[[#This Row],[Gesamtcode]],Tabelle132[Gesamtcode],0))</f>
        <v>#N/A</v>
      </c>
      <c r="G531" t="e">
        <f>INDEX(Tabelle13[Gewerknr.],MATCH(Tabelle7[[#This Row],[Gewerke]],Tabelle13[Hauptgruppe],0))</f>
        <v>#N/A</v>
      </c>
      <c r="H531" t="s">
        <v>364</v>
      </c>
      <c r="I531" t="e">
        <f ca="1">INDEX(Tabelle134[Funktionsbereichsnr.],MATCH(Tabelle7[[#This Row],[Funktionsbereiche]],INDIRECT("Tabelle134["&amp;Tabelle7[[#This Row],[Gewerke]]&amp;"]"),0))</f>
        <v>#N/A</v>
      </c>
      <c r="J531" t="e">
        <f>Tabelle7[[#This Row],[Gesamtcode]]&amp;"_"&amp;Tabelle7[[#This Row],[Zone]]&amp;"_"&amp;Tabelle7[[#This Row],[Raum]]&amp;"_"&amp;Tabelle7[[#This Row],[Bezeichnung]]</f>
        <v>#N/A</v>
      </c>
      <c r="K531">
        <v>2</v>
      </c>
      <c r="L531" t="e">
        <f>Tabelle7[[#This Row],[Hauptgruppe]]&amp;"/-/-"</f>
        <v>#N/A</v>
      </c>
      <c r="M531" t="e">
        <f ca="1">Tabelle7[[#This Row],[Hauptgruppe]]&amp;"/"&amp;Tabelle7[[#This Row],[Mittelgruppe]]&amp;"/-"</f>
        <v>#N/A</v>
      </c>
      <c r="N531" t="e">
        <f ca="1">Tabelle7[[#This Row],[Hauptgruppe]]&amp;"/"&amp;Tabelle7[[#This Row],[Mittelgruppe]]&amp;"/"&amp;Tabelle7[[#This Row],[Untergruppe]]</f>
        <v>#N/A</v>
      </c>
      <c r="O531" t="e">
        <f>INDEX(Tabelle6[Aktor],MATCH(Tabelle7[[#This Row],[Gesamtcode]],Tabelle6[Gesamtcode],0))&amp;" "&amp;INDEX(Tabelle6[Aktorkanal],MATCH(Tabelle7[[#This Row],[Gesamtcode]],Tabelle6[Gesamtcode],0))</f>
        <v>#N/A</v>
      </c>
    </row>
    <row r="532" spans="2:15" x14ac:dyDescent="0.25">
      <c r="B532" t="s">
        <v>353</v>
      </c>
      <c r="C532" t="e">
        <f>INDEX(Tabelle132[Zone],MATCH(Tabelle7[[#This Row],[Gesamtcode]],Tabelle132[Gesamtcode],0))</f>
        <v>#N/A</v>
      </c>
      <c r="D532" t="e">
        <f>INDEX(Tabelle132[Raum],MATCH(Tabelle7[[#This Row],[Gesamtcode]],Tabelle132[Gesamtcode],0))</f>
        <v>#N/A</v>
      </c>
      <c r="E532" t="e">
        <f>INDEX(Tabelle132[Bezeichnung],MATCH(Tabelle7[[#This Row],[Gesamtcode]],Tabelle132[Gesamtcode],0))</f>
        <v>#N/A</v>
      </c>
      <c r="F532" t="e">
        <f>"_"&amp;INDEX(Tabelle132[Geräte/Gewerke],MATCH(Tabelle7[[#This Row],[Gesamtcode]],Tabelle132[Gesamtcode],0))</f>
        <v>#N/A</v>
      </c>
      <c r="G532" t="e">
        <f>INDEX(Tabelle13[Gewerknr.],MATCH(Tabelle7[[#This Row],[Gewerke]],Tabelle13[Hauptgruppe],0))</f>
        <v>#N/A</v>
      </c>
      <c r="H532" t="s">
        <v>364</v>
      </c>
      <c r="I532" t="e">
        <f ca="1">INDEX(Tabelle134[Funktionsbereichsnr.],MATCH(Tabelle7[[#This Row],[Funktionsbereiche]],INDIRECT("Tabelle134["&amp;Tabelle7[[#This Row],[Gewerke]]&amp;"]"),0))</f>
        <v>#N/A</v>
      </c>
      <c r="J532" t="e">
        <f>Tabelle7[[#This Row],[Gesamtcode]]&amp;"_"&amp;Tabelle7[[#This Row],[Zone]]&amp;"_"&amp;Tabelle7[[#This Row],[Raum]]&amp;"_"&amp;Tabelle7[[#This Row],[Bezeichnung]]</f>
        <v>#N/A</v>
      </c>
      <c r="K532">
        <v>3</v>
      </c>
      <c r="L532" t="e">
        <f>Tabelle7[[#This Row],[Hauptgruppe]]&amp;"/-/-"</f>
        <v>#N/A</v>
      </c>
      <c r="M532" t="e">
        <f ca="1">Tabelle7[[#This Row],[Hauptgruppe]]&amp;"/"&amp;Tabelle7[[#This Row],[Mittelgruppe]]&amp;"/-"</f>
        <v>#N/A</v>
      </c>
      <c r="N532" t="e">
        <f ca="1">Tabelle7[[#This Row],[Hauptgruppe]]&amp;"/"&amp;Tabelle7[[#This Row],[Mittelgruppe]]&amp;"/"&amp;Tabelle7[[#This Row],[Untergruppe]]</f>
        <v>#N/A</v>
      </c>
      <c r="O532" t="e">
        <f>INDEX(Tabelle6[Aktor],MATCH(Tabelle7[[#This Row],[Gesamtcode]],Tabelle6[Gesamtcode],0))&amp;" "&amp;INDEX(Tabelle6[Aktorkanal],MATCH(Tabelle7[[#This Row],[Gesamtcode]],Tabelle6[Gesamtcode],0))</f>
        <v>#N/A</v>
      </c>
    </row>
    <row r="533" spans="2:15" x14ac:dyDescent="0.25">
      <c r="B533" t="s">
        <v>354</v>
      </c>
      <c r="C533" t="e">
        <f>INDEX(Tabelle132[Zone],MATCH(Tabelle7[[#This Row],[Gesamtcode]],Tabelle132[Gesamtcode],0))</f>
        <v>#N/A</v>
      </c>
      <c r="D533" t="e">
        <f>INDEX(Tabelle132[Raum],MATCH(Tabelle7[[#This Row],[Gesamtcode]],Tabelle132[Gesamtcode],0))</f>
        <v>#N/A</v>
      </c>
      <c r="E533" t="e">
        <f>INDEX(Tabelle132[Bezeichnung],MATCH(Tabelle7[[#This Row],[Gesamtcode]],Tabelle132[Gesamtcode],0))</f>
        <v>#N/A</v>
      </c>
      <c r="F533" t="e">
        <f>"_"&amp;INDEX(Tabelle132[Geräte/Gewerke],MATCH(Tabelle7[[#This Row],[Gesamtcode]],Tabelle132[Gesamtcode],0))</f>
        <v>#N/A</v>
      </c>
      <c r="G533" t="e">
        <f>INDEX(Tabelle13[Gewerknr.],MATCH(Tabelle7[[#This Row],[Gewerke]],Tabelle13[Hauptgruppe],0))</f>
        <v>#N/A</v>
      </c>
      <c r="H533" t="s">
        <v>364</v>
      </c>
      <c r="I533" t="e">
        <f ca="1">INDEX(Tabelle134[Funktionsbereichsnr.],MATCH(Tabelle7[[#This Row],[Funktionsbereiche]],INDIRECT("Tabelle134["&amp;Tabelle7[[#This Row],[Gewerke]]&amp;"]"),0))</f>
        <v>#N/A</v>
      </c>
      <c r="J533" t="e">
        <f>Tabelle7[[#This Row],[Gesamtcode]]&amp;"_"&amp;Tabelle7[[#This Row],[Zone]]&amp;"_"&amp;Tabelle7[[#This Row],[Raum]]&amp;"_"&amp;Tabelle7[[#This Row],[Bezeichnung]]</f>
        <v>#N/A</v>
      </c>
      <c r="K533">
        <v>4</v>
      </c>
      <c r="L533" t="e">
        <f>Tabelle7[[#This Row],[Hauptgruppe]]&amp;"/-/-"</f>
        <v>#N/A</v>
      </c>
      <c r="M533" t="e">
        <f ca="1">Tabelle7[[#This Row],[Hauptgruppe]]&amp;"/"&amp;Tabelle7[[#This Row],[Mittelgruppe]]&amp;"/-"</f>
        <v>#N/A</v>
      </c>
      <c r="N533" t="e">
        <f ca="1">Tabelle7[[#This Row],[Hauptgruppe]]&amp;"/"&amp;Tabelle7[[#This Row],[Mittelgruppe]]&amp;"/"&amp;Tabelle7[[#This Row],[Untergruppe]]</f>
        <v>#N/A</v>
      </c>
      <c r="O533" t="e">
        <f>INDEX(Tabelle6[Aktor],MATCH(Tabelle7[[#This Row],[Gesamtcode]],Tabelle6[Gesamtcode],0))&amp;" "&amp;INDEX(Tabelle6[Aktorkanal],MATCH(Tabelle7[[#This Row],[Gesamtcode]],Tabelle6[Gesamtcode],0))</f>
        <v>#N/A</v>
      </c>
    </row>
    <row r="534" spans="2:15" x14ac:dyDescent="0.25">
      <c r="B534" t="s">
        <v>355</v>
      </c>
      <c r="C534" t="e">
        <f>INDEX(Tabelle132[Zone],MATCH(Tabelle7[[#This Row],[Gesamtcode]],Tabelle132[Gesamtcode],0))</f>
        <v>#N/A</v>
      </c>
      <c r="D534" t="e">
        <f>INDEX(Tabelle132[Raum],MATCH(Tabelle7[[#This Row],[Gesamtcode]],Tabelle132[Gesamtcode],0))</f>
        <v>#N/A</v>
      </c>
      <c r="E534" t="e">
        <f>INDEX(Tabelle132[Bezeichnung],MATCH(Tabelle7[[#This Row],[Gesamtcode]],Tabelle132[Gesamtcode],0))</f>
        <v>#N/A</v>
      </c>
      <c r="F534" t="e">
        <f>"_"&amp;INDEX(Tabelle132[Geräte/Gewerke],MATCH(Tabelle7[[#This Row],[Gesamtcode]],Tabelle132[Gesamtcode],0))</f>
        <v>#N/A</v>
      </c>
      <c r="G534" t="e">
        <f>INDEX(Tabelle13[Gewerknr.],MATCH(Tabelle7[[#This Row],[Gewerke]],Tabelle13[Hauptgruppe],0))</f>
        <v>#N/A</v>
      </c>
      <c r="H534" t="s">
        <v>364</v>
      </c>
      <c r="I534" t="e">
        <f ca="1">INDEX(Tabelle134[Funktionsbereichsnr.],MATCH(Tabelle7[[#This Row],[Funktionsbereiche]],INDIRECT("Tabelle134["&amp;Tabelle7[[#This Row],[Gewerke]]&amp;"]"),0))</f>
        <v>#N/A</v>
      </c>
      <c r="J534" t="e">
        <f>Tabelle7[[#This Row],[Gesamtcode]]&amp;"_"&amp;Tabelle7[[#This Row],[Zone]]&amp;"_"&amp;Tabelle7[[#This Row],[Raum]]&amp;"_"&amp;Tabelle7[[#This Row],[Bezeichnung]]</f>
        <v>#N/A</v>
      </c>
      <c r="K534">
        <v>5</v>
      </c>
      <c r="L534" t="e">
        <f>Tabelle7[[#This Row],[Hauptgruppe]]&amp;"/-/-"</f>
        <v>#N/A</v>
      </c>
      <c r="M534" t="e">
        <f ca="1">Tabelle7[[#This Row],[Hauptgruppe]]&amp;"/"&amp;Tabelle7[[#This Row],[Mittelgruppe]]&amp;"/-"</f>
        <v>#N/A</v>
      </c>
      <c r="N534" t="e">
        <f ca="1">Tabelle7[[#This Row],[Hauptgruppe]]&amp;"/"&amp;Tabelle7[[#This Row],[Mittelgruppe]]&amp;"/"&amp;Tabelle7[[#This Row],[Untergruppe]]</f>
        <v>#N/A</v>
      </c>
      <c r="O534" t="e">
        <f>INDEX(Tabelle6[Aktor],MATCH(Tabelle7[[#This Row],[Gesamtcode]],Tabelle6[Gesamtcode],0))&amp;" "&amp;INDEX(Tabelle6[Aktorkanal],MATCH(Tabelle7[[#This Row],[Gesamtcode]],Tabelle6[Gesamtcode],0))</f>
        <v>#N/A</v>
      </c>
    </row>
    <row r="535" spans="2:15" x14ac:dyDescent="0.25">
      <c r="B535" t="s">
        <v>356</v>
      </c>
      <c r="C535" t="e">
        <f>INDEX(Tabelle132[Zone],MATCH(Tabelle7[[#This Row],[Gesamtcode]],Tabelle132[Gesamtcode],0))</f>
        <v>#N/A</v>
      </c>
      <c r="D535" t="e">
        <f>INDEX(Tabelle132[Raum],MATCH(Tabelle7[[#This Row],[Gesamtcode]],Tabelle132[Gesamtcode],0))</f>
        <v>#N/A</v>
      </c>
      <c r="E535" t="e">
        <f>INDEX(Tabelle132[Bezeichnung],MATCH(Tabelle7[[#This Row],[Gesamtcode]],Tabelle132[Gesamtcode],0))</f>
        <v>#N/A</v>
      </c>
      <c r="F535" t="e">
        <f>"_"&amp;INDEX(Tabelle132[Geräte/Gewerke],MATCH(Tabelle7[[#This Row],[Gesamtcode]],Tabelle132[Gesamtcode],0))</f>
        <v>#N/A</v>
      </c>
      <c r="G535" t="e">
        <f>INDEX(Tabelle13[Gewerknr.],MATCH(Tabelle7[[#This Row],[Gewerke]],Tabelle13[Hauptgruppe],0))</f>
        <v>#N/A</v>
      </c>
      <c r="H535" t="s">
        <v>364</v>
      </c>
      <c r="I535" t="e">
        <f ca="1">INDEX(Tabelle134[Funktionsbereichsnr.],MATCH(Tabelle7[[#This Row],[Funktionsbereiche]],INDIRECT("Tabelle134["&amp;Tabelle7[[#This Row],[Gewerke]]&amp;"]"),0))</f>
        <v>#N/A</v>
      </c>
      <c r="J535" t="e">
        <f>Tabelle7[[#This Row],[Gesamtcode]]&amp;"_"&amp;Tabelle7[[#This Row],[Zone]]&amp;"_"&amp;Tabelle7[[#This Row],[Raum]]&amp;"_"&amp;Tabelle7[[#This Row],[Bezeichnung]]</f>
        <v>#N/A</v>
      </c>
      <c r="K535">
        <v>6</v>
      </c>
      <c r="L535" t="e">
        <f>Tabelle7[[#This Row],[Hauptgruppe]]&amp;"/-/-"</f>
        <v>#N/A</v>
      </c>
      <c r="M535" t="e">
        <f ca="1">Tabelle7[[#This Row],[Hauptgruppe]]&amp;"/"&amp;Tabelle7[[#This Row],[Mittelgruppe]]&amp;"/-"</f>
        <v>#N/A</v>
      </c>
      <c r="N535" t="e">
        <f ca="1">Tabelle7[[#This Row],[Hauptgruppe]]&amp;"/"&amp;Tabelle7[[#This Row],[Mittelgruppe]]&amp;"/"&amp;Tabelle7[[#This Row],[Untergruppe]]</f>
        <v>#N/A</v>
      </c>
      <c r="O535" t="e">
        <f>INDEX(Tabelle6[Aktor],MATCH(Tabelle7[[#This Row],[Gesamtcode]],Tabelle6[Gesamtcode],0))&amp;" "&amp;INDEX(Tabelle6[Aktorkanal],MATCH(Tabelle7[[#This Row],[Gesamtcode]],Tabelle6[Gesamtcode],0))</f>
        <v>#N/A</v>
      </c>
    </row>
    <row r="536" spans="2:15" x14ac:dyDescent="0.25">
      <c r="B536" t="s">
        <v>357</v>
      </c>
      <c r="C536" t="e">
        <f>INDEX(Tabelle132[Zone],MATCH(Tabelle7[[#This Row],[Gesamtcode]],Tabelle132[Gesamtcode],0))</f>
        <v>#N/A</v>
      </c>
      <c r="D536" t="e">
        <f>INDEX(Tabelle132[Raum],MATCH(Tabelle7[[#This Row],[Gesamtcode]],Tabelle132[Gesamtcode],0))</f>
        <v>#N/A</v>
      </c>
      <c r="E536" t="e">
        <f>INDEX(Tabelle132[Bezeichnung],MATCH(Tabelle7[[#This Row],[Gesamtcode]],Tabelle132[Gesamtcode],0))</f>
        <v>#N/A</v>
      </c>
      <c r="F536" t="e">
        <f>"_"&amp;INDEX(Tabelle132[Geräte/Gewerke],MATCH(Tabelle7[[#This Row],[Gesamtcode]],Tabelle132[Gesamtcode],0))</f>
        <v>#N/A</v>
      </c>
      <c r="G536" t="e">
        <f>INDEX(Tabelle13[Gewerknr.],MATCH(Tabelle7[[#This Row],[Gewerke]],Tabelle13[Hauptgruppe],0))</f>
        <v>#N/A</v>
      </c>
      <c r="H536" t="s">
        <v>364</v>
      </c>
      <c r="I536" t="e">
        <f ca="1">INDEX(Tabelle134[Funktionsbereichsnr.],MATCH(Tabelle7[[#This Row],[Funktionsbereiche]],INDIRECT("Tabelle134["&amp;Tabelle7[[#This Row],[Gewerke]]&amp;"]"),0))</f>
        <v>#N/A</v>
      </c>
      <c r="J536" t="e">
        <f>Tabelle7[[#This Row],[Gesamtcode]]&amp;"_"&amp;Tabelle7[[#This Row],[Zone]]&amp;"_"&amp;Tabelle7[[#This Row],[Raum]]&amp;"_"&amp;Tabelle7[[#This Row],[Bezeichnung]]</f>
        <v>#N/A</v>
      </c>
      <c r="K536">
        <v>7</v>
      </c>
      <c r="L536" t="e">
        <f>Tabelle7[[#This Row],[Hauptgruppe]]&amp;"/-/-"</f>
        <v>#N/A</v>
      </c>
      <c r="M536" t="e">
        <f ca="1">Tabelle7[[#This Row],[Hauptgruppe]]&amp;"/"&amp;Tabelle7[[#This Row],[Mittelgruppe]]&amp;"/-"</f>
        <v>#N/A</v>
      </c>
      <c r="N536" t="e">
        <f ca="1">Tabelle7[[#This Row],[Hauptgruppe]]&amp;"/"&amp;Tabelle7[[#This Row],[Mittelgruppe]]&amp;"/"&amp;Tabelle7[[#This Row],[Untergruppe]]</f>
        <v>#N/A</v>
      </c>
      <c r="O536" t="e">
        <f>INDEX(Tabelle6[Aktor],MATCH(Tabelle7[[#This Row],[Gesamtcode]],Tabelle6[Gesamtcode],0))&amp;" "&amp;INDEX(Tabelle6[Aktorkanal],MATCH(Tabelle7[[#This Row],[Gesamtcode]],Tabelle6[Gesamtcode],0))</f>
        <v>#N/A</v>
      </c>
    </row>
    <row r="537" spans="2:15" x14ac:dyDescent="0.25">
      <c r="B537" t="s">
        <v>358</v>
      </c>
      <c r="C537" t="e">
        <f>INDEX(Tabelle132[Zone],MATCH(Tabelle7[[#This Row],[Gesamtcode]],Tabelle132[Gesamtcode],0))</f>
        <v>#N/A</v>
      </c>
      <c r="D537" t="e">
        <f>INDEX(Tabelle132[Raum],MATCH(Tabelle7[[#This Row],[Gesamtcode]],Tabelle132[Gesamtcode],0))</f>
        <v>#N/A</v>
      </c>
      <c r="E537" t="e">
        <f>INDEX(Tabelle132[Bezeichnung],MATCH(Tabelle7[[#This Row],[Gesamtcode]],Tabelle132[Gesamtcode],0))</f>
        <v>#N/A</v>
      </c>
      <c r="F537" t="e">
        <f>"_"&amp;INDEX(Tabelle132[Geräte/Gewerke],MATCH(Tabelle7[[#This Row],[Gesamtcode]],Tabelle132[Gesamtcode],0))</f>
        <v>#N/A</v>
      </c>
      <c r="G537" t="e">
        <f>INDEX(Tabelle13[Gewerknr.],MATCH(Tabelle7[[#This Row],[Gewerke]],Tabelle13[Hauptgruppe],0))</f>
        <v>#N/A</v>
      </c>
      <c r="H537" t="s">
        <v>364</v>
      </c>
      <c r="I537" t="e">
        <f ca="1">INDEX(Tabelle134[Funktionsbereichsnr.],MATCH(Tabelle7[[#This Row],[Funktionsbereiche]],INDIRECT("Tabelle134["&amp;Tabelle7[[#This Row],[Gewerke]]&amp;"]"),0))</f>
        <v>#N/A</v>
      </c>
      <c r="J537" t="e">
        <f>Tabelle7[[#This Row],[Gesamtcode]]&amp;"_"&amp;Tabelle7[[#This Row],[Zone]]&amp;"_"&amp;Tabelle7[[#This Row],[Raum]]&amp;"_"&amp;Tabelle7[[#This Row],[Bezeichnung]]</f>
        <v>#N/A</v>
      </c>
      <c r="K537">
        <v>8</v>
      </c>
      <c r="L537" t="e">
        <f>Tabelle7[[#This Row],[Hauptgruppe]]&amp;"/-/-"</f>
        <v>#N/A</v>
      </c>
      <c r="M537" t="e">
        <f ca="1">Tabelle7[[#This Row],[Hauptgruppe]]&amp;"/"&amp;Tabelle7[[#This Row],[Mittelgruppe]]&amp;"/-"</f>
        <v>#N/A</v>
      </c>
      <c r="N537" t="e">
        <f ca="1">Tabelle7[[#This Row],[Hauptgruppe]]&amp;"/"&amp;Tabelle7[[#This Row],[Mittelgruppe]]&amp;"/"&amp;Tabelle7[[#This Row],[Untergruppe]]</f>
        <v>#N/A</v>
      </c>
      <c r="O537" t="e">
        <f>INDEX(Tabelle6[Aktor],MATCH(Tabelle7[[#This Row],[Gesamtcode]],Tabelle6[Gesamtcode],0))&amp;" "&amp;INDEX(Tabelle6[Aktorkanal],MATCH(Tabelle7[[#This Row],[Gesamtcode]],Tabelle6[Gesamtcode],0))</f>
        <v>#N/A</v>
      </c>
    </row>
    <row r="538" spans="2:15" x14ac:dyDescent="0.25">
      <c r="B538" t="s">
        <v>359</v>
      </c>
      <c r="C538" t="e">
        <f>INDEX(Tabelle132[Zone],MATCH(Tabelle7[[#This Row],[Gesamtcode]],Tabelle132[Gesamtcode],0))</f>
        <v>#N/A</v>
      </c>
      <c r="D538" t="e">
        <f>INDEX(Tabelle132[Raum],MATCH(Tabelle7[[#This Row],[Gesamtcode]],Tabelle132[Gesamtcode],0))</f>
        <v>#N/A</v>
      </c>
      <c r="E538" t="e">
        <f>INDEX(Tabelle132[Bezeichnung],MATCH(Tabelle7[[#This Row],[Gesamtcode]],Tabelle132[Gesamtcode],0))</f>
        <v>#N/A</v>
      </c>
      <c r="F538" t="e">
        <f>"_"&amp;INDEX(Tabelle132[Geräte/Gewerke],MATCH(Tabelle7[[#This Row],[Gesamtcode]],Tabelle132[Gesamtcode],0))</f>
        <v>#N/A</v>
      </c>
      <c r="G538" t="e">
        <f>INDEX(Tabelle13[Gewerknr.],MATCH(Tabelle7[[#This Row],[Gewerke]],Tabelle13[Hauptgruppe],0))</f>
        <v>#N/A</v>
      </c>
      <c r="H538" t="s">
        <v>364</v>
      </c>
      <c r="I538" t="e">
        <f ca="1">INDEX(Tabelle134[Funktionsbereichsnr.],MATCH(Tabelle7[[#This Row],[Funktionsbereiche]],INDIRECT("Tabelle134["&amp;Tabelle7[[#This Row],[Gewerke]]&amp;"]"),0))</f>
        <v>#N/A</v>
      </c>
      <c r="J538" t="e">
        <f>Tabelle7[[#This Row],[Gesamtcode]]&amp;"_"&amp;Tabelle7[[#This Row],[Zone]]&amp;"_"&amp;Tabelle7[[#This Row],[Raum]]&amp;"_"&amp;Tabelle7[[#This Row],[Bezeichnung]]</f>
        <v>#N/A</v>
      </c>
      <c r="K538">
        <v>9</v>
      </c>
      <c r="L538" t="e">
        <f>Tabelle7[[#This Row],[Hauptgruppe]]&amp;"/-/-"</f>
        <v>#N/A</v>
      </c>
      <c r="M538" t="e">
        <f ca="1">Tabelle7[[#This Row],[Hauptgruppe]]&amp;"/"&amp;Tabelle7[[#This Row],[Mittelgruppe]]&amp;"/-"</f>
        <v>#N/A</v>
      </c>
      <c r="N538" t="e">
        <f ca="1">Tabelle7[[#This Row],[Hauptgruppe]]&amp;"/"&amp;Tabelle7[[#This Row],[Mittelgruppe]]&amp;"/"&amp;Tabelle7[[#This Row],[Untergruppe]]</f>
        <v>#N/A</v>
      </c>
      <c r="O538" t="e">
        <f>INDEX(Tabelle6[Aktor],MATCH(Tabelle7[[#This Row],[Gesamtcode]],Tabelle6[Gesamtcode],0))&amp;" "&amp;INDEX(Tabelle6[Aktorkanal],MATCH(Tabelle7[[#This Row],[Gesamtcode]],Tabelle6[Gesamtcode],0))</f>
        <v>#N/A</v>
      </c>
    </row>
    <row r="539" spans="2:15" x14ac:dyDescent="0.25">
      <c r="B539" t="s">
        <v>349</v>
      </c>
      <c r="C539" t="e">
        <f>INDEX(Tabelle132[Zone],MATCH(Tabelle7[[#This Row],[Gesamtcode]],Tabelle132[Gesamtcode],0))</f>
        <v>#N/A</v>
      </c>
      <c r="D539" t="e">
        <f>INDEX(Tabelle132[Raum],MATCH(Tabelle7[[#This Row],[Gesamtcode]],Tabelle132[Gesamtcode],0))</f>
        <v>#N/A</v>
      </c>
      <c r="E539" t="e">
        <f>INDEX(Tabelle132[Bezeichnung],MATCH(Tabelle7[[#This Row],[Gesamtcode]],Tabelle132[Gesamtcode],0))</f>
        <v>#N/A</v>
      </c>
      <c r="F539" t="e">
        <f>"_"&amp;INDEX(Tabelle132[Geräte/Gewerke],MATCH(Tabelle7[[#This Row],[Gesamtcode]],Tabelle132[Gesamtcode],0))</f>
        <v>#N/A</v>
      </c>
      <c r="G539" t="e">
        <f>INDEX(Tabelle13[Gewerknr.],MATCH(Tabelle7[[#This Row],[Gewerke]],Tabelle13[Hauptgruppe],0))</f>
        <v>#N/A</v>
      </c>
      <c r="H539" t="s">
        <v>280</v>
      </c>
      <c r="I539" t="e">
        <f ca="1">INDEX(Tabelle134[Funktionsbereichsnr.],MATCH(Tabelle7[[#This Row],[Funktionsbereiche]],INDIRECT("Tabelle134["&amp;Tabelle7[[#This Row],[Gewerke]]&amp;"]"),0))</f>
        <v>#N/A</v>
      </c>
      <c r="J539" t="e">
        <f>Tabelle7[[#This Row],[Gesamtcode]]&amp;"_"&amp;Tabelle7[[#This Row],[Zone]]&amp;"_"&amp;Tabelle7[[#This Row],[Raum]]&amp;"_"&amp;Tabelle7[[#This Row],[Bezeichnung]]</f>
        <v>#N/A</v>
      </c>
      <c r="K539">
        <v>0</v>
      </c>
      <c r="L539" t="e">
        <f>Tabelle7[[#This Row],[Hauptgruppe]]&amp;"/-/-"</f>
        <v>#N/A</v>
      </c>
      <c r="M539" t="e">
        <f ca="1">Tabelle7[[#This Row],[Hauptgruppe]]&amp;"/"&amp;Tabelle7[[#This Row],[Mittelgruppe]]&amp;"/-"</f>
        <v>#N/A</v>
      </c>
      <c r="N539" t="e">
        <f ca="1">Tabelle7[[#This Row],[Hauptgruppe]]&amp;"/"&amp;Tabelle7[[#This Row],[Mittelgruppe]]&amp;"/"&amp;Tabelle7[[#This Row],[Untergruppe]]</f>
        <v>#N/A</v>
      </c>
      <c r="O539" t="e">
        <f>INDEX(Tabelle6[Aktor],MATCH(Tabelle7[[#This Row],[Gesamtcode]],Tabelle6[Gesamtcode],0))&amp;" "&amp;INDEX(Tabelle6[Aktorkanal],MATCH(Tabelle7[[#This Row],[Gesamtcode]],Tabelle6[Gesamtcode],0))</f>
        <v>#N/A</v>
      </c>
    </row>
    <row r="540" spans="2:15" x14ac:dyDescent="0.25">
      <c r="B540" t="s">
        <v>350</v>
      </c>
      <c r="C540" t="e">
        <f>INDEX(Tabelle132[Zone],MATCH(Tabelle7[[#This Row],[Gesamtcode]],Tabelle132[Gesamtcode],0))</f>
        <v>#N/A</v>
      </c>
      <c r="D540" t="e">
        <f>INDEX(Tabelle132[Raum],MATCH(Tabelle7[[#This Row],[Gesamtcode]],Tabelle132[Gesamtcode],0))</f>
        <v>#N/A</v>
      </c>
      <c r="E540" t="e">
        <f>INDEX(Tabelle132[Bezeichnung],MATCH(Tabelle7[[#This Row],[Gesamtcode]],Tabelle132[Gesamtcode],0))</f>
        <v>#N/A</v>
      </c>
      <c r="F540" t="e">
        <f>"_"&amp;INDEX(Tabelle132[Geräte/Gewerke],MATCH(Tabelle7[[#This Row],[Gesamtcode]],Tabelle132[Gesamtcode],0))</f>
        <v>#N/A</v>
      </c>
      <c r="G540" t="e">
        <f>INDEX(Tabelle13[Gewerknr.],MATCH(Tabelle7[[#This Row],[Gewerke]],Tabelle13[Hauptgruppe],0))</f>
        <v>#N/A</v>
      </c>
      <c r="H540" t="s">
        <v>280</v>
      </c>
      <c r="I540" t="e">
        <f ca="1">INDEX(Tabelle134[Funktionsbereichsnr.],MATCH(Tabelle7[[#This Row],[Funktionsbereiche]],INDIRECT("Tabelle134["&amp;Tabelle7[[#This Row],[Gewerke]]&amp;"]"),0))</f>
        <v>#N/A</v>
      </c>
      <c r="J540" t="e">
        <f>Tabelle7[[#This Row],[Gesamtcode]]&amp;"_"&amp;Tabelle7[[#This Row],[Zone]]&amp;"_"&amp;Tabelle7[[#This Row],[Raum]]&amp;"_"&amp;Tabelle7[[#This Row],[Bezeichnung]]</f>
        <v>#N/A</v>
      </c>
      <c r="K540">
        <v>1</v>
      </c>
      <c r="L540" t="e">
        <f>Tabelle7[[#This Row],[Hauptgruppe]]&amp;"/-/-"</f>
        <v>#N/A</v>
      </c>
      <c r="M540" t="e">
        <f ca="1">Tabelle7[[#This Row],[Hauptgruppe]]&amp;"/"&amp;Tabelle7[[#This Row],[Mittelgruppe]]&amp;"/-"</f>
        <v>#N/A</v>
      </c>
      <c r="N540" t="e">
        <f ca="1">Tabelle7[[#This Row],[Hauptgruppe]]&amp;"/"&amp;Tabelle7[[#This Row],[Mittelgruppe]]&amp;"/"&amp;Tabelle7[[#This Row],[Untergruppe]]</f>
        <v>#N/A</v>
      </c>
      <c r="O540" t="e">
        <f>INDEX(Tabelle6[Aktor],MATCH(Tabelle7[[#This Row],[Gesamtcode]],Tabelle6[Gesamtcode],0))&amp;" "&amp;INDEX(Tabelle6[Aktorkanal],MATCH(Tabelle7[[#This Row],[Gesamtcode]],Tabelle6[Gesamtcode],0))</f>
        <v>#N/A</v>
      </c>
    </row>
    <row r="541" spans="2:15" x14ac:dyDescent="0.25">
      <c r="B541" t="s">
        <v>351</v>
      </c>
      <c r="C541" t="e">
        <f>INDEX(Tabelle132[Zone],MATCH(Tabelle7[[#This Row],[Gesamtcode]],Tabelle132[Gesamtcode],0))</f>
        <v>#N/A</v>
      </c>
      <c r="D541" t="e">
        <f>INDEX(Tabelle132[Raum],MATCH(Tabelle7[[#This Row],[Gesamtcode]],Tabelle132[Gesamtcode],0))</f>
        <v>#N/A</v>
      </c>
      <c r="E541" t="e">
        <f>INDEX(Tabelle132[Bezeichnung],MATCH(Tabelle7[[#This Row],[Gesamtcode]],Tabelle132[Gesamtcode],0))</f>
        <v>#N/A</v>
      </c>
      <c r="F541" t="e">
        <f>"_"&amp;INDEX(Tabelle132[Geräte/Gewerke],MATCH(Tabelle7[[#This Row],[Gesamtcode]],Tabelle132[Gesamtcode],0))</f>
        <v>#N/A</v>
      </c>
      <c r="G541" t="e">
        <f>INDEX(Tabelle13[Gewerknr.],MATCH(Tabelle7[[#This Row],[Gewerke]],Tabelle13[Hauptgruppe],0))</f>
        <v>#N/A</v>
      </c>
      <c r="H541" t="s">
        <v>280</v>
      </c>
      <c r="I541" t="e">
        <f ca="1">INDEX(Tabelle134[Funktionsbereichsnr.],MATCH(Tabelle7[[#This Row],[Funktionsbereiche]],INDIRECT("Tabelle134["&amp;Tabelle7[[#This Row],[Gewerke]]&amp;"]"),0))</f>
        <v>#N/A</v>
      </c>
      <c r="J541" t="e">
        <f>Tabelle7[[#This Row],[Gesamtcode]]&amp;"_"&amp;Tabelle7[[#This Row],[Zone]]&amp;"_"&amp;Tabelle7[[#This Row],[Raum]]&amp;"_"&amp;Tabelle7[[#This Row],[Bezeichnung]]</f>
        <v>#N/A</v>
      </c>
      <c r="K541">
        <v>10</v>
      </c>
      <c r="L541" t="e">
        <f>Tabelle7[[#This Row],[Hauptgruppe]]&amp;"/-/-"</f>
        <v>#N/A</v>
      </c>
      <c r="M541" t="e">
        <f ca="1">Tabelle7[[#This Row],[Hauptgruppe]]&amp;"/"&amp;Tabelle7[[#This Row],[Mittelgruppe]]&amp;"/-"</f>
        <v>#N/A</v>
      </c>
      <c r="N541" t="e">
        <f ca="1">Tabelle7[[#This Row],[Hauptgruppe]]&amp;"/"&amp;Tabelle7[[#This Row],[Mittelgruppe]]&amp;"/"&amp;Tabelle7[[#This Row],[Untergruppe]]</f>
        <v>#N/A</v>
      </c>
      <c r="O541" t="e">
        <f>INDEX(Tabelle6[Aktor],MATCH(Tabelle7[[#This Row],[Gesamtcode]],Tabelle6[Gesamtcode],0))&amp;" "&amp;INDEX(Tabelle6[Aktorkanal],MATCH(Tabelle7[[#This Row],[Gesamtcode]],Tabelle6[Gesamtcode],0))</f>
        <v>#N/A</v>
      </c>
    </row>
    <row r="542" spans="2:15" x14ac:dyDescent="0.25">
      <c r="B542" t="s">
        <v>352</v>
      </c>
      <c r="C542" t="e">
        <f>INDEX(Tabelle132[Zone],MATCH(Tabelle7[[#This Row],[Gesamtcode]],Tabelle132[Gesamtcode],0))</f>
        <v>#N/A</v>
      </c>
      <c r="D542" t="e">
        <f>INDEX(Tabelle132[Raum],MATCH(Tabelle7[[#This Row],[Gesamtcode]],Tabelle132[Gesamtcode],0))</f>
        <v>#N/A</v>
      </c>
      <c r="E542" t="e">
        <f>INDEX(Tabelle132[Bezeichnung],MATCH(Tabelle7[[#This Row],[Gesamtcode]],Tabelle132[Gesamtcode],0))</f>
        <v>#N/A</v>
      </c>
      <c r="F542" t="e">
        <f>"_"&amp;INDEX(Tabelle132[Geräte/Gewerke],MATCH(Tabelle7[[#This Row],[Gesamtcode]],Tabelle132[Gesamtcode],0))</f>
        <v>#N/A</v>
      </c>
      <c r="G542" t="e">
        <f>INDEX(Tabelle13[Gewerknr.],MATCH(Tabelle7[[#This Row],[Gewerke]],Tabelle13[Hauptgruppe],0))</f>
        <v>#N/A</v>
      </c>
      <c r="H542" t="s">
        <v>280</v>
      </c>
      <c r="I542" t="e">
        <f ca="1">INDEX(Tabelle134[Funktionsbereichsnr.],MATCH(Tabelle7[[#This Row],[Funktionsbereiche]],INDIRECT("Tabelle134["&amp;Tabelle7[[#This Row],[Gewerke]]&amp;"]"),0))</f>
        <v>#N/A</v>
      </c>
      <c r="J542" t="e">
        <f>Tabelle7[[#This Row],[Gesamtcode]]&amp;"_"&amp;Tabelle7[[#This Row],[Zone]]&amp;"_"&amp;Tabelle7[[#This Row],[Raum]]&amp;"_"&amp;Tabelle7[[#This Row],[Bezeichnung]]</f>
        <v>#N/A</v>
      </c>
      <c r="K542">
        <v>2</v>
      </c>
      <c r="L542" t="e">
        <f>Tabelle7[[#This Row],[Hauptgruppe]]&amp;"/-/-"</f>
        <v>#N/A</v>
      </c>
      <c r="M542" t="e">
        <f ca="1">Tabelle7[[#This Row],[Hauptgruppe]]&amp;"/"&amp;Tabelle7[[#This Row],[Mittelgruppe]]&amp;"/-"</f>
        <v>#N/A</v>
      </c>
      <c r="N542" t="e">
        <f ca="1">Tabelle7[[#This Row],[Hauptgruppe]]&amp;"/"&amp;Tabelle7[[#This Row],[Mittelgruppe]]&amp;"/"&amp;Tabelle7[[#This Row],[Untergruppe]]</f>
        <v>#N/A</v>
      </c>
      <c r="O542" t="e">
        <f>INDEX(Tabelle6[Aktor],MATCH(Tabelle7[[#This Row],[Gesamtcode]],Tabelle6[Gesamtcode],0))&amp;" "&amp;INDEX(Tabelle6[Aktorkanal],MATCH(Tabelle7[[#This Row],[Gesamtcode]],Tabelle6[Gesamtcode],0))</f>
        <v>#N/A</v>
      </c>
    </row>
    <row r="543" spans="2:15" x14ac:dyDescent="0.25">
      <c r="B543" t="s">
        <v>353</v>
      </c>
      <c r="C543" t="e">
        <f>INDEX(Tabelle132[Zone],MATCH(Tabelle7[[#This Row],[Gesamtcode]],Tabelle132[Gesamtcode],0))</f>
        <v>#N/A</v>
      </c>
      <c r="D543" t="e">
        <f>INDEX(Tabelle132[Raum],MATCH(Tabelle7[[#This Row],[Gesamtcode]],Tabelle132[Gesamtcode],0))</f>
        <v>#N/A</v>
      </c>
      <c r="E543" t="e">
        <f>INDEX(Tabelle132[Bezeichnung],MATCH(Tabelle7[[#This Row],[Gesamtcode]],Tabelle132[Gesamtcode],0))</f>
        <v>#N/A</v>
      </c>
      <c r="F543" t="e">
        <f>"_"&amp;INDEX(Tabelle132[Geräte/Gewerke],MATCH(Tabelle7[[#This Row],[Gesamtcode]],Tabelle132[Gesamtcode],0))</f>
        <v>#N/A</v>
      </c>
      <c r="G543" t="e">
        <f>INDEX(Tabelle13[Gewerknr.],MATCH(Tabelle7[[#This Row],[Gewerke]],Tabelle13[Hauptgruppe],0))</f>
        <v>#N/A</v>
      </c>
      <c r="H543" t="s">
        <v>280</v>
      </c>
      <c r="I543" t="e">
        <f ca="1">INDEX(Tabelle134[Funktionsbereichsnr.],MATCH(Tabelle7[[#This Row],[Funktionsbereiche]],INDIRECT("Tabelle134["&amp;Tabelle7[[#This Row],[Gewerke]]&amp;"]"),0))</f>
        <v>#N/A</v>
      </c>
      <c r="J543" t="e">
        <f>Tabelle7[[#This Row],[Gesamtcode]]&amp;"_"&amp;Tabelle7[[#This Row],[Zone]]&amp;"_"&amp;Tabelle7[[#This Row],[Raum]]&amp;"_"&amp;Tabelle7[[#This Row],[Bezeichnung]]</f>
        <v>#N/A</v>
      </c>
      <c r="K543">
        <v>3</v>
      </c>
      <c r="L543" t="e">
        <f>Tabelle7[[#This Row],[Hauptgruppe]]&amp;"/-/-"</f>
        <v>#N/A</v>
      </c>
      <c r="M543" t="e">
        <f ca="1">Tabelle7[[#This Row],[Hauptgruppe]]&amp;"/"&amp;Tabelle7[[#This Row],[Mittelgruppe]]&amp;"/-"</f>
        <v>#N/A</v>
      </c>
      <c r="N543" t="e">
        <f ca="1">Tabelle7[[#This Row],[Hauptgruppe]]&amp;"/"&amp;Tabelle7[[#This Row],[Mittelgruppe]]&amp;"/"&amp;Tabelle7[[#This Row],[Untergruppe]]</f>
        <v>#N/A</v>
      </c>
      <c r="O543" t="e">
        <f>INDEX(Tabelle6[Aktor],MATCH(Tabelle7[[#This Row],[Gesamtcode]],Tabelle6[Gesamtcode],0))&amp;" "&amp;INDEX(Tabelle6[Aktorkanal],MATCH(Tabelle7[[#This Row],[Gesamtcode]],Tabelle6[Gesamtcode],0))</f>
        <v>#N/A</v>
      </c>
    </row>
    <row r="544" spans="2:15" x14ac:dyDescent="0.25">
      <c r="B544" t="s">
        <v>354</v>
      </c>
      <c r="C544" t="e">
        <f>INDEX(Tabelle132[Zone],MATCH(Tabelle7[[#This Row],[Gesamtcode]],Tabelle132[Gesamtcode],0))</f>
        <v>#N/A</v>
      </c>
      <c r="D544" t="e">
        <f>INDEX(Tabelle132[Raum],MATCH(Tabelle7[[#This Row],[Gesamtcode]],Tabelle132[Gesamtcode],0))</f>
        <v>#N/A</v>
      </c>
      <c r="E544" t="e">
        <f>INDEX(Tabelle132[Bezeichnung],MATCH(Tabelle7[[#This Row],[Gesamtcode]],Tabelle132[Gesamtcode],0))</f>
        <v>#N/A</v>
      </c>
      <c r="F544" t="e">
        <f>"_"&amp;INDEX(Tabelle132[Geräte/Gewerke],MATCH(Tabelle7[[#This Row],[Gesamtcode]],Tabelle132[Gesamtcode],0))</f>
        <v>#N/A</v>
      </c>
      <c r="G544" t="e">
        <f>INDEX(Tabelle13[Gewerknr.],MATCH(Tabelle7[[#This Row],[Gewerke]],Tabelle13[Hauptgruppe],0))</f>
        <v>#N/A</v>
      </c>
      <c r="H544" t="s">
        <v>280</v>
      </c>
      <c r="I544" t="e">
        <f ca="1">INDEX(Tabelle134[Funktionsbereichsnr.],MATCH(Tabelle7[[#This Row],[Funktionsbereiche]],INDIRECT("Tabelle134["&amp;Tabelle7[[#This Row],[Gewerke]]&amp;"]"),0))</f>
        <v>#N/A</v>
      </c>
      <c r="J544" t="e">
        <f>Tabelle7[[#This Row],[Gesamtcode]]&amp;"_"&amp;Tabelle7[[#This Row],[Zone]]&amp;"_"&amp;Tabelle7[[#This Row],[Raum]]&amp;"_"&amp;Tabelle7[[#This Row],[Bezeichnung]]</f>
        <v>#N/A</v>
      </c>
      <c r="K544">
        <v>4</v>
      </c>
      <c r="L544" t="e">
        <f>Tabelle7[[#This Row],[Hauptgruppe]]&amp;"/-/-"</f>
        <v>#N/A</v>
      </c>
      <c r="M544" t="e">
        <f ca="1">Tabelle7[[#This Row],[Hauptgruppe]]&amp;"/"&amp;Tabelle7[[#This Row],[Mittelgruppe]]&amp;"/-"</f>
        <v>#N/A</v>
      </c>
      <c r="N544" t="e">
        <f ca="1">Tabelle7[[#This Row],[Hauptgruppe]]&amp;"/"&amp;Tabelle7[[#This Row],[Mittelgruppe]]&amp;"/"&amp;Tabelle7[[#This Row],[Untergruppe]]</f>
        <v>#N/A</v>
      </c>
      <c r="O544" t="e">
        <f>INDEX(Tabelle6[Aktor],MATCH(Tabelle7[[#This Row],[Gesamtcode]],Tabelle6[Gesamtcode],0))&amp;" "&amp;INDEX(Tabelle6[Aktorkanal],MATCH(Tabelle7[[#This Row],[Gesamtcode]],Tabelle6[Gesamtcode],0))</f>
        <v>#N/A</v>
      </c>
    </row>
    <row r="545" spans="2:15" x14ac:dyDescent="0.25">
      <c r="B545" t="s">
        <v>355</v>
      </c>
      <c r="C545" t="e">
        <f>INDEX(Tabelle132[Zone],MATCH(Tabelle7[[#This Row],[Gesamtcode]],Tabelle132[Gesamtcode],0))</f>
        <v>#N/A</v>
      </c>
      <c r="D545" t="e">
        <f>INDEX(Tabelle132[Raum],MATCH(Tabelle7[[#This Row],[Gesamtcode]],Tabelle132[Gesamtcode],0))</f>
        <v>#N/A</v>
      </c>
      <c r="E545" t="e">
        <f>INDEX(Tabelle132[Bezeichnung],MATCH(Tabelle7[[#This Row],[Gesamtcode]],Tabelle132[Gesamtcode],0))</f>
        <v>#N/A</v>
      </c>
      <c r="F545" t="e">
        <f>"_"&amp;INDEX(Tabelle132[Geräte/Gewerke],MATCH(Tabelle7[[#This Row],[Gesamtcode]],Tabelle132[Gesamtcode],0))</f>
        <v>#N/A</v>
      </c>
      <c r="G545" t="e">
        <f>INDEX(Tabelle13[Gewerknr.],MATCH(Tabelle7[[#This Row],[Gewerke]],Tabelle13[Hauptgruppe],0))</f>
        <v>#N/A</v>
      </c>
      <c r="H545" t="s">
        <v>280</v>
      </c>
      <c r="I545" t="e">
        <f ca="1">INDEX(Tabelle134[Funktionsbereichsnr.],MATCH(Tabelle7[[#This Row],[Funktionsbereiche]],INDIRECT("Tabelle134["&amp;Tabelle7[[#This Row],[Gewerke]]&amp;"]"),0))</f>
        <v>#N/A</v>
      </c>
      <c r="J545" t="e">
        <f>Tabelle7[[#This Row],[Gesamtcode]]&amp;"_"&amp;Tabelle7[[#This Row],[Zone]]&amp;"_"&amp;Tabelle7[[#This Row],[Raum]]&amp;"_"&amp;Tabelle7[[#This Row],[Bezeichnung]]</f>
        <v>#N/A</v>
      </c>
      <c r="K545">
        <v>5</v>
      </c>
      <c r="L545" t="e">
        <f>Tabelle7[[#This Row],[Hauptgruppe]]&amp;"/-/-"</f>
        <v>#N/A</v>
      </c>
      <c r="M545" t="e">
        <f ca="1">Tabelle7[[#This Row],[Hauptgruppe]]&amp;"/"&amp;Tabelle7[[#This Row],[Mittelgruppe]]&amp;"/-"</f>
        <v>#N/A</v>
      </c>
      <c r="N545" t="e">
        <f ca="1">Tabelle7[[#This Row],[Hauptgruppe]]&amp;"/"&amp;Tabelle7[[#This Row],[Mittelgruppe]]&amp;"/"&amp;Tabelle7[[#This Row],[Untergruppe]]</f>
        <v>#N/A</v>
      </c>
      <c r="O545" t="e">
        <f>INDEX(Tabelle6[Aktor],MATCH(Tabelle7[[#This Row],[Gesamtcode]],Tabelle6[Gesamtcode],0))&amp;" "&amp;INDEX(Tabelle6[Aktorkanal],MATCH(Tabelle7[[#This Row],[Gesamtcode]],Tabelle6[Gesamtcode],0))</f>
        <v>#N/A</v>
      </c>
    </row>
    <row r="546" spans="2:15" x14ac:dyDescent="0.25">
      <c r="B546" t="s">
        <v>356</v>
      </c>
      <c r="C546" t="e">
        <f>INDEX(Tabelle132[Zone],MATCH(Tabelle7[[#This Row],[Gesamtcode]],Tabelle132[Gesamtcode],0))</f>
        <v>#N/A</v>
      </c>
      <c r="D546" t="e">
        <f>INDEX(Tabelle132[Raum],MATCH(Tabelle7[[#This Row],[Gesamtcode]],Tabelle132[Gesamtcode],0))</f>
        <v>#N/A</v>
      </c>
      <c r="E546" t="e">
        <f>INDEX(Tabelle132[Bezeichnung],MATCH(Tabelle7[[#This Row],[Gesamtcode]],Tabelle132[Gesamtcode],0))</f>
        <v>#N/A</v>
      </c>
      <c r="F546" t="e">
        <f>"_"&amp;INDEX(Tabelle132[Geräte/Gewerke],MATCH(Tabelle7[[#This Row],[Gesamtcode]],Tabelle132[Gesamtcode],0))</f>
        <v>#N/A</v>
      </c>
      <c r="G546" t="e">
        <f>INDEX(Tabelle13[Gewerknr.],MATCH(Tabelle7[[#This Row],[Gewerke]],Tabelle13[Hauptgruppe],0))</f>
        <v>#N/A</v>
      </c>
      <c r="H546" t="s">
        <v>280</v>
      </c>
      <c r="I546" t="e">
        <f ca="1">INDEX(Tabelle134[Funktionsbereichsnr.],MATCH(Tabelle7[[#This Row],[Funktionsbereiche]],INDIRECT("Tabelle134["&amp;Tabelle7[[#This Row],[Gewerke]]&amp;"]"),0))</f>
        <v>#N/A</v>
      </c>
      <c r="J546" t="e">
        <f>Tabelle7[[#This Row],[Gesamtcode]]&amp;"_"&amp;Tabelle7[[#This Row],[Zone]]&amp;"_"&amp;Tabelle7[[#This Row],[Raum]]&amp;"_"&amp;Tabelle7[[#This Row],[Bezeichnung]]</f>
        <v>#N/A</v>
      </c>
      <c r="K546">
        <v>6</v>
      </c>
      <c r="L546" t="e">
        <f>Tabelle7[[#This Row],[Hauptgruppe]]&amp;"/-/-"</f>
        <v>#N/A</v>
      </c>
      <c r="M546" t="e">
        <f ca="1">Tabelle7[[#This Row],[Hauptgruppe]]&amp;"/"&amp;Tabelle7[[#This Row],[Mittelgruppe]]&amp;"/-"</f>
        <v>#N/A</v>
      </c>
      <c r="N546" t="e">
        <f ca="1">Tabelle7[[#This Row],[Hauptgruppe]]&amp;"/"&amp;Tabelle7[[#This Row],[Mittelgruppe]]&amp;"/"&amp;Tabelle7[[#This Row],[Untergruppe]]</f>
        <v>#N/A</v>
      </c>
      <c r="O546" t="e">
        <f>INDEX(Tabelle6[Aktor],MATCH(Tabelle7[[#This Row],[Gesamtcode]],Tabelle6[Gesamtcode],0))&amp;" "&amp;INDEX(Tabelle6[Aktorkanal],MATCH(Tabelle7[[#This Row],[Gesamtcode]],Tabelle6[Gesamtcode],0))</f>
        <v>#N/A</v>
      </c>
    </row>
    <row r="547" spans="2:15" x14ac:dyDescent="0.25">
      <c r="B547" t="s">
        <v>357</v>
      </c>
      <c r="C547" t="e">
        <f>INDEX(Tabelle132[Zone],MATCH(Tabelle7[[#This Row],[Gesamtcode]],Tabelle132[Gesamtcode],0))</f>
        <v>#N/A</v>
      </c>
      <c r="D547" t="e">
        <f>INDEX(Tabelle132[Raum],MATCH(Tabelle7[[#This Row],[Gesamtcode]],Tabelle132[Gesamtcode],0))</f>
        <v>#N/A</v>
      </c>
      <c r="E547" t="e">
        <f>INDEX(Tabelle132[Bezeichnung],MATCH(Tabelle7[[#This Row],[Gesamtcode]],Tabelle132[Gesamtcode],0))</f>
        <v>#N/A</v>
      </c>
      <c r="F547" t="e">
        <f>"_"&amp;INDEX(Tabelle132[Geräte/Gewerke],MATCH(Tabelle7[[#This Row],[Gesamtcode]],Tabelle132[Gesamtcode],0))</f>
        <v>#N/A</v>
      </c>
      <c r="G547" t="e">
        <f>INDEX(Tabelle13[Gewerknr.],MATCH(Tabelle7[[#This Row],[Gewerke]],Tabelle13[Hauptgruppe],0))</f>
        <v>#N/A</v>
      </c>
      <c r="H547" t="s">
        <v>280</v>
      </c>
      <c r="I547" t="e">
        <f ca="1">INDEX(Tabelle134[Funktionsbereichsnr.],MATCH(Tabelle7[[#This Row],[Funktionsbereiche]],INDIRECT("Tabelle134["&amp;Tabelle7[[#This Row],[Gewerke]]&amp;"]"),0))</f>
        <v>#N/A</v>
      </c>
      <c r="J547" t="e">
        <f>Tabelle7[[#This Row],[Gesamtcode]]&amp;"_"&amp;Tabelle7[[#This Row],[Zone]]&amp;"_"&amp;Tabelle7[[#This Row],[Raum]]&amp;"_"&amp;Tabelle7[[#This Row],[Bezeichnung]]</f>
        <v>#N/A</v>
      </c>
      <c r="K547">
        <v>7</v>
      </c>
      <c r="L547" t="e">
        <f>Tabelle7[[#This Row],[Hauptgruppe]]&amp;"/-/-"</f>
        <v>#N/A</v>
      </c>
      <c r="M547" t="e">
        <f ca="1">Tabelle7[[#This Row],[Hauptgruppe]]&amp;"/"&amp;Tabelle7[[#This Row],[Mittelgruppe]]&amp;"/-"</f>
        <v>#N/A</v>
      </c>
      <c r="N547" t="e">
        <f ca="1">Tabelle7[[#This Row],[Hauptgruppe]]&amp;"/"&amp;Tabelle7[[#This Row],[Mittelgruppe]]&amp;"/"&amp;Tabelle7[[#This Row],[Untergruppe]]</f>
        <v>#N/A</v>
      </c>
      <c r="O547" t="e">
        <f>INDEX(Tabelle6[Aktor],MATCH(Tabelle7[[#This Row],[Gesamtcode]],Tabelle6[Gesamtcode],0))&amp;" "&amp;INDEX(Tabelle6[Aktorkanal],MATCH(Tabelle7[[#This Row],[Gesamtcode]],Tabelle6[Gesamtcode],0))</f>
        <v>#N/A</v>
      </c>
    </row>
    <row r="548" spans="2:15" x14ac:dyDescent="0.25">
      <c r="B548" t="s">
        <v>358</v>
      </c>
      <c r="C548" t="e">
        <f>INDEX(Tabelle132[Zone],MATCH(Tabelle7[[#This Row],[Gesamtcode]],Tabelle132[Gesamtcode],0))</f>
        <v>#N/A</v>
      </c>
      <c r="D548" t="e">
        <f>INDEX(Tabelle132[Raum],MATCH(Tabelle7[[#This Row],[Gesamtcode]],Tabelle132[Gesamtcode],0))</f>
        <v>#N/A</v>
      </c>
      <c r="E548" t="e">
        <f>INDEX(Tabelle132[Bezeichnung],MATCH(Tabelle7[[#This Row],[Gesamtcode]],Tabelle132[Gesamtcode],0))</f>
        <v>#N/A</v>
      </c>
      <c r="F548" t="e">
        <f>"_"&amp;INDEX(Tabelle132[Geräte/Gewerke],MATCH(Tabelle7[[#This Row],[Gesamtcode]],Tabelle132[Gesamtcode],0))</f>
        <v>#N/A</v>
      </c>
      <c r="G548" t="e">
        <f>INDEX(Tabelle13[Gewerknr.],MATCH(Tabelle7[[#This Row],[Gewerke]],Tabelle13[Hauptgruppe],0))</f>
        <v>#N/A</v>
      </c>
      <c r="H548" t="s">
        <v>280</v>
      </c>
      <c r="I548" t="e">
        <f ca="1">INDEX(Tabelle134[Funktionsbereichsnr.],MATCH(Tabelle7[[#This Row],[Funktionsbereiche]],INDIRECT("Tabelle134["&amp;Tabelle7[[#This Row],[Gewerke]]&amp;"]"),0))</f>
        <v>#N/A</v>
      </c>
      <c r="J548" t="e">
        <f>Tabelle7[[#This Row],[Gesamtcode]]&amp;"_"&amp;Tabelle7[[#This Row],[Zone]]&amp;"_"&amp;Tabelle7[[#This Row],[Raum]]&amp;"_"&amp;Tabelle7[[#This Row],[Bezeichnung]]</f>
        <v>#N/A</v>
      </c>
      <c r="K548">
        <v>8</v>
      </c>
      <c r="L548" t="e">
        <f>Tabelle7[[#This Row],[Hauptgruppe]]&amp;"/-/-"</f>
        <v>#N/A</v>
      </c>
      <c r="M548" t="e">
        <f ca="1">Tabelle7[[#This Row],[Hauptgruppe]]&amp;"/"&amp;Tabelle7[[#This Row],[Mittelgruppe]]&amp;"/-"</f>
        <v>#N/A</v>
      </c>
      <c r="N548" t="e">
        <f ca="1">Tabelle7[[#This Row],[Hauptgruppe]]&amp;"/"&amp;Tabelle7[[#This Row],[Mittelgruppe]]&amp;"/"&amp;Tabelle7[[#This Row],[Untergruppe]]</f>
        <v>#N/A</v>
      </c>
      <c r="O548" t="e">
        <f>INDEX(Tabelle6[Aktor],MATCH(Tabelle7[[#This Row],[Gesamtcode]],Tabelle6[Gesamtcode],0))&amp;" "&amp;INDEX(Tabelle6[Aktorkanal],MATCH(Tabelle7[[#This Row],[Gesamtcode]],Tabelle6[Gesamtcode],0))</f>
        <v>#N/A</v>
      </c>
    </row>
    <row r="549" spans="2:15" x14ac:dyDescent="0.25">
      <c r="B549" t="s">
        <v>359</v>
      </c>
      <c r="C549" t="e">
        <f>INDEX(Tabelle132[Zone],MATCH(Tabelle7[[#This Row],[Gesamtcode]],Tabelle132[Gesamtcode],0))</f>
        <v>#N/A</v>
      </c>
      <c r="D549" t="e">
        <f>INDEX(Tabelle132[Raum],MATCH(Tabelle7[[#This Row],[Gesamtcode]],Tabelle132[Gesamtcode],0))</f>
        <v>#N/A</v>
      </c>
      <c r="E549" t="e">
        <f>INDEX(Tabelle132[Bezeichnung],MATCH(Tabelle7[[#This Row],[Gesamtcode]],Tabelle132[Gesamtcode],0))</f>
        <v>#N/A</v>
      </c>
      <c r="F549" t="e">
        <f>"_"&amp;INDEX(Tabelle132[Geräte/Gewerke],MATCH(Tabelle7[[#This Row],[Gesamtcode]],Tabelle132[Gesamtcode],0))</f>
        <v>#N/A</v>
      </c>
      <c r="G549" t="e">
        <f>INDEX(Tabelle13[Gewerknr.],MATCH(Tabelle7[[#This Row],[Gewerke]],Tabelle13[Hauptgruppe],0))</f>
        <v>#N/A</v>
      </c>
      <c r="H549" t="s">
        <v>280</v>
      </c>
      <c r="I549" t="e">
        <f ca="1">INDEX(Tabelle134[Funktionsbereichsnr.],MATCH(Tabelle7[[#This Row],[Funktionsbereiche]],INDIRECT("Tabelle134["&amp;Tabelle7[[#This Row],[Gewerke]]&amp;"]"),0))</f>
        <v>#N/A</v>
      </c>
      <c r="J549" t="e">
        <f>Tabelle7[[#This Row],[Gesamtcode]]&amp;"_"&amp;Tabelle7[[#This Row],[Zone]]&amp;"_"&amp;Tabelle7[[#This Row],[Raum]]&amp;"_"&amp;Tabelle7[[#This Row],[Bezeichnung]]</f>
        <v>#N/A</v>
      </c>
      <c r="K549">
        <v>9</v>
      </c>
      <c r="L549" t="e">
        <f>Tabelle7[[#This Row],[Hauptgruppe]]&amp;"/-/-"</f>
        <v>#N/A</v>
      </c>
      <c r="M549" t="e">
        <f ca="1">Tabelle7[[#This Row],[Hauptgruppe]]&amp;"/"&amp;Tabelle7[[#This Row],[Mittelgruppe]]&amp;"/-"</f>
        <v>#N/A</v>
      </c>
      <c r="N549" t="e">
        <f ca="1">Tabelle7[[#This Row],[Hauptgruppe]]&amp;"/"&amp;Tabelle7[[#This Row],[Mittelgruppe]]&amp;"/"&amp;Tabelle7[[#This Row],[Untergruppe]]</f>
        <v>#N/A</v>
      </c>
      <c r="O549" t="e">
        <f>INDEX(Tabelle6[Aktor],MATCH(Tabelle7[[#This Row],[Gesamtcode]],Tabelle6[Gesamtcode],0))&amp;" "&amp;INDEX(Tabelle6[Aktorkanal],MATCH(Tabelle7[[#This Row],[Gesamtcode]],Tabelle6[Gesamtcode],0))</f>
        <v>#N/A</v>
      </c>
    </row>
    <row r="550" spans="2:15" x14ac:dyDescent="0.25">
      <c r="B550" t="s">
        <v>365</v>
      </c>
      <c r="C550" t="e">
        <f>INDEX(Tabelle132[Zone],MATCH(Tabelle7[[#This Row],[Gesamtcode]],Tabelle132[Gesamtcode],0))</f>
        <v>#N/A</v>
      </c>
      <c r="D550" t="e">
        <f>INDEX(Tabelle132[Raum],MATCH(Tabelle7[[#This Row],[Gesamtcode]],Tabelle132[Gesamtcode],0))</f>
        <v>#N/A</v>
      </c>
      <c r="E550" t="e">
        <f>INDEX(Tabelle132[Bezeichnung],MATCH(Tabelle7[[#This Row],[Gesamtcode]],Tabelle132[Gesamtcode],0))</f>
        <v>#N/A</v>
      </c>
      <c r="F550" t="e">
        <f>"_"&amp;INDEX(Tabelle132[Geräte/Gewerke],MATCH(Tabelle7[[#This Row],[Gesamtcode]],Tabelle132[Gesamtcode],0))</f>
        <v>#N/A</v>
      </c>
      <c r="G550" t="e">
        <f>INDEX(Tabelle13[Gewerknr.],MATCH(Tabelle7[[#This Row],[Gewerke]],Tabelle13[Hauptgruppe],0))</f>
        <v>#N/A</v>
      </c>
      <c r="H550" t="s">
        <v>366</v>
      </c>
      <c r="I550" t="e">
        <f ca="1">INDEX(Tabelle134[Funktionsbereichsnr.],MATCH(Tabelle7[[#This Row],[Funktionsbereiche]],INDIRECT("Tabelle134["&amp;Tabelle7[[#This Row],[Gewerke]]&amp;"]"),0))</f>
        <v>#N/A</v>
      </c>
      <c r="J550" t="e">
        <f>Tabelle7[[#This Row],[Gesamtcode]]&amp;"_"&amp;Tabelle7[[#This Row],[Zone]]&amp;"_"&amp;Tabelle7[[#This Row],[Raum]]&amp;"_"&amp;Tabelle7[[#This Row],[Bezeichnung]]</f>
        <v>#N/A</v>
      </c>
      <c r="K550">
        <v>0</v>
      </c>
      <c r="L550" t="e">
        <f>Tabelle7[[#This Row],[Hauptgruppe]]&amp;"/-/-"</f>
        <v>#N/A</v>
      </c>
      <c r="M550" t="e">
        <f ca="1">Tabelle7[[#This Row],[Hauptgruppe]]&amp;"/"&amp;Tabelle7[[#This Row],[Mittelgruppe]]&amp;"/-"</f>
        <v>#N/A</v>
      </c>
      <c r="N550" t="e">
        <f ca="1">Tabelle7[[#This Row],[Hauptgruppe]]&amp;"/"&amp;Tabelle7[[#This Row],[Mittelgruppe]]&amp;"/"&amp;Tabelle7[[#This Row],[Untergruppe]]</f>
        <v>#N/A</v>
      </c>
      <c r="O550" t="e">
        <f>INDEX(Tabelle6[Aktor],MATCH(Tabelle7[[#This Row],[Gesamtcode]],Tabelle6[Gesamtcode],0))&amp;" "&amp;INDEX(Tabelle6[Aktorkanal],MATCH(Tabelle7[[#This Row],[Gesamtcode]],Tabelle6[Gesamtcode],0))</f>
        <v>#N/A</v>
      </c>
    </row>
    <row r="551" spans="2:15" x14ac:dyDescent="0.25">
      <c r="B551" t="s">
        <v>367</v>
      </c>
      <c r="C551" t="e">
        <f>INDEX(Tabelle132[Zone],MATCH(Tabelle7[[#This Row],[Gesamtcode]],Tabelle132[Gesamtcode],0))</f>
        <v>#N/A</v>
      </c>
      <c r="D551" t="e">
        <f>INDEX(Tabelle132[Raum],MATCH(Tabelle7[[#This Row],[Gesamtcode]],Tabelle132[Gesamtcode],0))</f>
        <v>#N/A</v>
      </c>
      <c r="E551" t="e">
        <f>INDEX(Tabelle132[Bezeichnung],MATCH(Tabelle7[[#This Row],[Gesamtcode]],Tabelle132[Gesamtcode],0))</f>
        <v>#N/A</v>
      </c>
      <c r="F551" t="e">
        <f>"_"&amp;INDEX(Tabelle132[Geräte/Gewerke],MATCH(Tabelle7[[#This Row],[Gesamtcode]],Tabelle132[Gesamtcode],0))</f>
        <v>#N/A</v>
      </c>
      <c r="G551" t="e">
        <f>INDEX(Tabelle13[Gewerknr.],MATCH(Tabelle7[[#This Row],[Gewerke]],Tabelle13[Hauptgruppe],0))</f>
        <v>#N/A</v>
      </c>
      <c r="H551" t="s">
        <v>366</v>
      </c>
      <c r="I551" t="e">
        <f ca="1">INDEX(Tabelle134[Funktionsbereichsnr.],MATCH(Tabelle7[[#This Row],[Funktionsbereiche]],INDIRECT("Tabelle134["&amp;Tabelle7[[#This Row],[Gewerke]]&amp;"]"),0))</f>
        <v>#N/A</v>
      </c>
      <c r="J551" t="e">
        <f>Tabelle7[[#This Row],[Gesamtcode]]&amp;"_"&amp;Tabelle7[[#This Row],[Zone]]&amp;"_"&amp;Tabelle7[[#This Row],[Raum]]&amp;"_"&amp;Tabelle7[[#This Row],[Bezeichnung]]</f>
        <v>#N/A</v>
      </c>
      <c r="K551">
        <v>1</v>
      </c>
      <c r="L551" t="e">
        <f>Tabelle7[[#This Row],[Hauptgruppe]]&amp;"/-/-"</f>
        <v>#N/A</v>
      </c>
      <c r="M551" t="e">
        <f ca="1">Tabelle7[[#This Row],[Hauptgruppe]]&amp;"/"&amp;Tabelle7[[#This Row],[Mittelgruppe]]&amp;"/-"</f>
        <v>#N/A</v>
      </c>
      <c r="N551" t="e">
        <f ca="1">Tabelle7[[#This Row],[Hauptgruppe]]&amp;"/"&amp;Tabelle7[[#This Row],[Mittelgruppe]]&amp;"/"&amp;Tabelle7[[#This Row],[Untergruppe]]</f>
        <v>#N/A</v>
      </c>
      <c r="O551" t="e">
        <f>INDEX(Tabelle6[Aktor],MATCH(Tabelle7[[#This Row],[Gesamtcode]],Tabelle6[Gesamtcode],0))&amp;" "&amp;INDEX(Tabelle6[Aktorkanal],MATCH(Tabelle7[[#This Row],[Gesamtcode]],Tabelle6[Gesamtcode],0))</f>
        <v>#N/A</v>
      </c>
    </row>
    <row r="552" spans="2:15" x14ac:dyDescent="0.25">
      <c r="B552" t="s">
        <v>368</v>
      </c>
      <c r="C552" t="str">
        <f>INDEX(Tabelle132[Zone],MATCH(Tabelle7[[#This Row],[Gesamtcode]],Tabelle132[Gesamtcode],0))</f>
        <v>Obergeschoss</v>
      </c>
      <c r="D552" t="str">
        <f>INDEX(Tabelle132[Raum],MATCH(Tabelle7[[#This Row],[Gesamtcode]],Tabelle132[Gesamtcode],0))</f>
        <v>Treppenhaus</v>
      </c>
      <c r="E552" t="str">
        <f>INDEX(Tabelle132[Bezeichnung],MATCH(Tabelle7[[#This Row],[Gesamtcode]],Tabelle132[Gesamtcode],0))</f>
        <v>Bewegungsmelder oben</v>
      </c>
      <c r="F552" t="str">
        <f>"_"&amp;INDEX(Tabelle132[Geräte/Gewerke],MATCH(Tabelle7[[#This Row],[Gesamtcode]],Tabelle132[Gesamtcode],0))</f>
        <v>_Sensoren</v>
      </c>
      <c r="G552">
        <f>INDEX(Tabelle13[Gewerknr.],MATCH(Tabelle7[[#This Row],[Gewerke]],Tabelle13[Hauptgruppe],0))</f>
        <v>5</v>
      </c>
      <c r="H552" t="s">
        <v>366</v>
      </c>
      <c r="I552">
        <f ca="1">INDEX(Tabelle134[Funktionsbereichsnr.],MATCH(Tabelle7[[#This Row],[Funktionsbereiche]],INDIRECT("Tabelle134["&amp;Tabelle7[[#This Row],[Gewerke]]&amp;"]"),0))</f>
        <v>0</v>
      </c>
      <c r="J552" t="str">
        <f>Tabelle7[[#This Row],[Gesamtcode]]&amp;"_"&amp;Tabelle7[[#This Row],[Zone]]&amp;"_"&amp;Tabelle7[[#This Row],[Raum]]&amp;"_"&amp;Tabelle7[[#This Row],[Bezeichnung]]</f>
        <v>O4.BM1_Obergeschoss_Treppenhaus_Bewegungsmelder oben</v>
      </c>
      <c r="K552">
        <v>10</v>
      </c>
      <c r="L552" t="str">
        <f>Tabelle7[[#This Row],[Hauptgruppe]]&amp;"/-/-"</f>
        <v>5/-/-</v>
      </c>
      <c r="M552" t="str">
        <f ca="1">Tabelle7[[#This Row],[Hauptgruppe]]&amp;"/"&amp;Tabelle7[[#This Row],[Mittelgruppe]]&amp;"/-"</f>
        <v>5/0/-</v>
      </c>
      <c r="N552" t="str">
        <f ca="1">Tabelle7[[#This Row],[Hauptgruppe]]&amp;"/"&amp;Tabelle7[[#This Row],[Mittelgruppe]]&amp;"/"&amp;Tabelle7[[#This Row],[Untergruppe]]</f>
        <v>5/0/10</v>
      </c>
      <c r="O552" t="str">
        <f>INDEX(Tabelle6[Aktor],MATCH(Tabelle7[[#This Row],[Gesamtcode]],Tabelle6[Gesamtcode],0))&amp;" "&amp;INDEX(Tabelle6[Aktorkanal],MATCH(Tabelle7[[#This Row],[Gesamtcode]],Tabelle6[Gesamtcode],0))</f>
        <v>SA2 Out13</v>
      </c>
    </row>
    <row r="553" spans="2:15" x14ac:dyDescent="0.25">
      <c r="B553" t="s">
        <v>369</v>
      </c>
      <c r="C553" t="str">
        <f>INDEX(Tabelle132[Zone],MATCH(Tabelle7[[#This Row],[Gesamtcode]],Tabelle132[Gesamtcode],0))</f>
        <v>Obergeschoss</v>
      </c>
      <c r="D553" t="str">
        <f>INDEX(Tabelle132[Raum],MATCH(Tabelle7[[#This Row],[Gesamtcode]],Tabelle132[Gesamtcode],0))</f>
        <v>Bad</v>
      </c>
      <c r="E553" t="str">
        <f>INDEX(Tabelle132[Bezeichnung],MATCH(Tabelle7[[#This Row],[Gesamtcode]],Tabelle132[Gesamtcode],0))</f>
        <v>Präsenzmelder</v>
      </c>
      <c r="F553" t="str">
        <f>"_"&amp;INDEX(Tabelle132[Geräte/Gewerke],MATCH(Tabelle7[[#This Row],[Gesamtcode]],Tabelle132[Gesamtcode],0))</f>
        <v>_Sensoren</v>
      </c>
      <c r="G553">
        <f>INDEX(Tabelle13[Gewerknr.],MATCH(Tabelle7[[#This Row],[Gewerke]],Tabelle13[Hauptgruppe],0))</f>
        <v>5</v>
      </c>
      <c r="H553" t="s">
        <v>366</v>
      </c>
      <c r="I553">
        <f ca="1">INDEX(Tabelle134[Funktionsbereichsnr.],MATCH(Tabelle7[[#This Row],[Funktionsbereiche]],INDIRECT("Tabelle134["&amp;Tabelle7[[#This Row],[Gewerke]]&amp;"]"),0))</f>
        <v>0</v>
      </c>
      <c r="J553" t="str">
        <f>Tabelle7[[#This Row],[Gesamtcode]]&amp;"_"&amp;Tabelle7[[#This Row],[Zone]]&amp;"_"&amp;Tabelle7[[#This Row],[Raum]]&amp;"_"&amp;Tabelle7[[#This Row],[Bezeichnung]]</f>
        <v>O5.PM1_Obergeschoss_Bad_Präsenzmelder</v>
      </c>
      <c r="K553">
        <v>11</v>
      </c>
      <c r="L553" t="str">
        <f>Tabelle7[[#This Row],[Hauptgruppe]]&amp;"/-/-"</f>
        <v>5/-/-</v>
      </c>
      <c r="M553" t="str">
        <f ca="1">Tabelle7[[#This Row],[Hauptgruppe]]&amp;"/"&amp;Tabelle7[[#This Row],[Mittelgruppe]]&amp;"/-"</f>
        <v>5/0/-</v>
      </c>
      <c r="N553" t="str">
        <f ca="1">Tabelle7[[#This Row],[Hauptgruppe]]&amp;"/"&amp;Tabelle7[[#This Row],[Mittelgruppe]]&amp;"/"&amp;Tabelle7[[#This Row],[Untergruppe]]</f>
        <v>5/0/11</v>
      </c>
      <c r="O553" t="str">
        <f>INDEX(Tabelle6[Aktor],MATCH(Tabelle7[[#This Row],[Gesamtcode]],Tabelle6[Gesamtcode],0))&amp;" "&amp;INDEX(Tabelle6[Aktorkanal],MATCH(Tabelle7[[#This Row],[Gesamtcode]],Tabelle6[Gesamtcode],0))</f>
        <v>- -</v>
      </c>
    </row>
    <row r="554" spans="2:15" x14ac:dyDescent="0.25">
      <c r="B554" t="s">
        <v>370</v>
      </c>
      <c r="C554" t="e">
        <f>INDEX(Tabelle132[Zone],MATCH(Tabelle7[[#This Row],[Gesamtcode]],Tabelle132[Gesamtcode],0))</f>
        <v>#N/A</v>
      </c>
      <c r="D554" t="e">
        <f>INDEX(Tabelle132[Raum],MATCH(Tabelle7[[#This Row],[Gesamtcode]],Tabelle132[Gesamtcode],0))</f>
        <v>#N/A</v>
      </c>
      <c r="E554" t="e">
        <f>INDEX(Tabelle132[Bezeichnung],MATCH(Tabelle7[[#This Row],[Gesamtcode]],Tabelle132[Gesamtcode],0))</f>
        <v>#N/A</v>
      </c>
      <c r="F554" t="e">
        <f>"_"&amp;INDEX(Tabelle132[Geräte/Gewerke],MATCH(Tabelle7[[#This Row],[Gesamtcode]],Tabelle132[Gesamtcode],0))</f>
        <v>#N/A</v>
      </c>
      <c r="G554" t="e">
        <f>INDEX(Tabelle13[Gewerknr.],MATCH(Tabelle7[[#This Row],[Gewerke]],Tabelle13[Hauptgruppe],0))</f>
        <v>#N/A</v>
      </c>
      <c r="H554" t="s">
        <v>366</v>
      </c>
      <c r="I554" t="e">
        <f ca="1">INDEX(Tabelle134[Funktionsbereichsnr.],MATCH(Tabelle7[[#This Row],[Funktionsbereiche]],INDIRECT("Tabelle134["&amp;Tabelle7[[#This Row],[Gewerke]]&amp;"]"),0))</f>
        <v>#N/A</v>
      </c>
      <c r="J554" t="e">
        <f>Tabelle7[[#This Row],[Gesamtcode]]&amp;"_"&amp;Tabelle7[[#This Row],[Zone]]&amp;"_"&amp;Tabelle7[[#This Row],[Raum]]&amp;"_"&amp;Tabelle7[[#This Row],[Bezeichnung]]</f>
        <v>#N/A</v>
      </c>
      <c r="K554">
        <v>2</v>
      </c>
      <c r="L554" t="e">
        <f>Tabelle7[[#This Row],[Hauptgruppe]]&amp;"/-/-"</f>
        <v>#N/A</v>
      </c>
      <c r="M554" t="e">
        <f ca="1">Tabelle7[[#This Row],[Hauptgruppe]]&amp;"/"&amp;Tabelle7[[#This Row],[Mittelgruppe]]&amp;"/-"</f>
        <v>#N/A</v>
      </c>
      <c r="N554" t="e">
        <f ca="1">Tabelle7[[#This Row],[Hauptgruppe]]&amp;"/"&amp;Tabelle7[[#This Row],[Mittelgruppe]]&amp;"/"&amp;Tabelle7[[#This Row],[Untergruppe]]</f>
        <v>#N/A</v>
      </c>
      <c r="O554" t="e">
        <f>INDEX(Tabelle6[Aktor],MATCH(Tabelle7[[#This Row],[Gesamtcode]],Tabelle6[Gesamtcode],0))&amp;" "&amp;INDEX(Tabelle6[Aktorkanal],MATCH(Tabelle7[[#This Row],[Gesamtcode]],Tabelle6[Gesamtcode],0))</f>
        <v>#N/A</v>
      </c>
    </row>
    <row r="555" spans="2:15" x14ac:dyDescent="0.25">
      <c r="B555" t="s">
        <v>371</v>
      </c>
      <c r="C555" t="e">
        <f>INDEX(Tabelle132[Zone],MATCH(Tabelle7[[#This Row],[Gesamtcode]],Tabelle132[Gesamtcode],0))</f>
        <v>#N/A</v>
      </c>
      <c r="D555" t="e">
        <f>INDEX(Tabelle132[Raum],MATCH(Tabelle7[[#This Row],[Gesamtcode]],Tabelle132[Gesamtcode],0))</f>
        <v>#N/A</v>
      </c>
      <c r="E555" t="e">
        <f>INDEX(Tabelle132[Bezeichnung],MATCH(Tabelle7[[#This Row],[Gesamtcode]],Tabelle132[Gesamtcode],0))</f>
        <v>#N/A</v>
      </c>
      <c r="F555" t="e">
        <f>"_"&amp;INDEX(Tabelle132[Geräte/Gewerke],MATCH(Tabelle7[[#This Row],[Gesamtcode]],Tabelle132[Gesamtcode],0))</f>
        <v>#N/A</v>
      </c>
      <c r="G555" t="e">
        <f>INDEX(Tabelle13[Gewerknr.],MATCH(Tabelle7[[#This Row],[Gewerke]],Tabelle13[Hauptgruppe],0))</f>
        <v>#N/A</v>
      </c>
      <c r="H555" t="s">
        <v>366</v>
      </c>
      <c r="I555" t="e">
        <f ca="1">INDEX(Tabelle134[Funktionsbereichsnr.],MATCH(Tabelle7[[#This Row],[Funktionsbereiche]],INDIRECT("Tabelle134["&amp;Tabelle7[[#This Row],[Gewerke]]&amp;"]"),0))</f>
        <v>#N/A</v>
      </c>
      <c r="J555" t="e">
        <f>Tabelle7[[#This Row],[Gesamtcode]]&amp;"_"&amp;Tabelle7[[#This Row],[Zone]]&amp;"_"&amp;Tabelle7[[#This Row],[Raum]]&amp;"_"&amp;Tabelle7[[#This Row],[Bezeichnung]]</f>
        <v>#N/A</v>
      </c>
      <c r="K555">
        <v>3</v>
      </c>
      <c r="L555" t="e">
        <f>Tabelle7[[#This Row],[Hauptgruppe]]&amp;"/-/-"</f>
        <v>#N/A</v>
      </c>
      <c r="M555" t="e">
        <f ca="1">Tabelle7[[#This Row],[Hauptgruppe]]&amp;"/"&amp;Tabelle7[[#This Row],[Mittelgruppe]]&amp;"/-"</f>
        <v>#N/A</v>
      </c>
      <c r="N555" t="e">
        <f ca="1">Tabelle7[[#This Row],[Hauptgruppe]]&amp;"/"&amp;Tabelle7[[#This Row],[Mittelgruppe]]&amp;"/"&amp;Tabelle7[[#This Row],[Untergruppe]]</f>
        <v>#N/A</v>
      </c>
      <c r="O555" t="e">
        <f>INDEX(Tabelle6[Aktor],MATCH(Tabelle7[[#This Row],[Gesamtcode]],Tabelle6[Gesamtcode],0))&amp;" "&amp;INDEX(Tabelle6[Aktorkanal],MATCH(Tabelle7[[#This Row],[Gesamtcode]],Tabelle6[Gesamtcode],0))</f>
        <v>#N/A</v>
      </c>
    </row>
    <row r="556" spans="2:15" x14ac:dyDescent="0.25">
      <c r="B556" t="s">
        <v>372</v>
      </c>
      <c r="C556" t="str">
        <f>INDEX(Tabelle132[Zone],MATCH(Tabelle7[[#This Row],[Gesamtcode]],Tabelle132[Gesamtcode],0))</f>
        <v>Erdgeschoss</v>
      </c>
      <c r="D556" t="str">
        <f>INDEX(Tabelle132[Raum],MATCH(Tabelle7[[#This Row],[Gesamtcode]],Tabelle132[Gesamtcode],0))</f>
        <v>Esszimmer</v>
      </c>
      <c r="E556" t="str">
        <f>INDEX(Tabelle132[Bezeichnung],MATCH(Tabelle7[[#This Row],[Gesamtcode]],Tabelle132[Gesamtcode],0))</f>
        <v>Präsenzmelder</v>
      </c>
      <c r="F556" t="str">
        <f>"_"&amp;INDEX(Tabelle132[Geräte/Gewerke],MATCH(Tabelle7[[#This Row],[Gesamtcode]],Tabelle132[Gesamtcode],0))</f>
        <v>_Sensoren</v>
      </c>
      <c r="G556">
        <f>INDEX(Tabelle13[Gewerknr.],MATCH(Tabelle7[[#This Row],[Gewerke]],Tabelle13[Hauptgruppe],0))</f>
        <v>5</v>
      </c>
      <c r="H556" t="s">
        <v>366</v>
      </c>
      <c r="I556">
        <f ca="1">INDEX(Tabelle134[Funktionsbereichsnr.],MATCH(Tabelle7[[#This Row],[Funktionsbereiche]],INDIRECT("Tabelle134["&amp;Tabelle7[[#This Row],[Gewerke]]&amp;"]"),0))</f>
        <v>0</v>
      </c>
      <c r="J556" t="str">
        <f>Tabelle7[[#This Row],[Gesamtcode]]&amp;"_"&amp;Tabelle7[[#This Row],[Zone]]&amp;"_"&amp;Tabelle7[[#This Row],[Raum]]&amp;"_"&amp;Tabelle7[[#This Row],[Bezeichnung]]</f>
        <v>E4.PM1_Erdgeschoss_Esszimmer_Präsenzmelder</v>
      </c>
      <c r="K556">
        <v>4</v>
      </c>
      <c r="L556" t="str">
        <f>Tabelle7[[#This Row],[Hauptgruppe]]&amp;"/-/-"</f>
        <v>5/-/-</v>
      </c>
      <c r="M556" t="str">
        <f ca="1">Tabelle7[[#This Row],[Hauptgruppe]]&amp;"/"&amp;Tabelle7[[#This Row],[Mittelgruppe]]&amp;"/-"</f>
        <v>5/0/-</v>
      </c>
      <c r="N556" t="str">
        <f ca="1">Tabelle7[[#This Row],[Hauptgruppe]]&amp;"/"&amp;Tabelle7[[#This Row],[Mittelgruppe]]&amp;"/"&amp;Tabelle7[[#This Row],[Untergruppe]]</f>
        <v>5/0/4</v>
      </c>
      <c r="O556" t="str">
        <f>INDEX(Tabelle6[Aktor],MATCH(Tabelle7[[#This Row],[Gesamtcode]],Tabelle6[Gesamtcode],0))&amp;" "&amp;INDEX(Tabelle6[Aktorkanal],MATCH(Tabelle7[[#This Row],[Gesamtcode]],Tabelle6[Gesamtcode],0))</f>
        <v>LEDC1 TW2</v>
      </c>
    </row>
    <row r="557" spans="2:15" x14ac:dyDescent="0.25">
      <c r="B557" t="s">
        <v>373</v>
      </c>
      <c r="C557" t="e">
        <f>INDEX(Tabelle132[Zone],MATCH(Tabelle7[[#This Row],[Gesamtcode]],Tabelle132[Gesamtcode],0))</f>
        <v>#N/A</v>
      </c>
      <c r="D557" t="e">
        <f>INDEX(Tabelle132[Raum],MATCH(Tabelle7[[#This Row],[Gesamtcode]],Tabelle132[Gesamtcode],0))</f>
        <v>#N/A</v>
      </c>
      <c r="E557" t="e">
        <f>INDEX(Tabelle132[Bezeichnung],MATCH(Tabelle7[[#This Row],[Gesamtcode]],Tabelle132[Gesamtcode],0))</f>
        <v>#N/A</v>
      </c>
      <c r="F557" t="e">
        <f>"_"&amp;INDEX(Tabelle132[Geräte/Gewerke],MATCH(Tabelle7[[#This Row],[Gesamtcode]],Tabelle132[Gesamtcode],0))</f>
        <v>#N/A</v>
      </c>
      <c r="G557" t="e">
        <f>INDEX(Tabelle13[Gewerknr.],MATCH(Tabelle7[[#This Row],[Gewerke]],Tabelle13[Hauptgruppe],0))</f>
        <v>#N/A</v>
      </c>
      <c r="H557" t="s">
        <v>366</v>
      </c>
      <c r="I557" t="e">
        <f ca="1">INDEX(Tabelle134[Funktionsbereichsnr.],MATCH(Tabelle7[[#This Row],[Funktionsbereiche]],INDIRECT("Tabelle134["&amp;Tabelle7[[#This Row],[Gewerke]]&amp;"]"),0))</f>
        <v>#N/A</v>
      </c>
      <c r="J557" t="e">
        <f>Tabelle7[[#This Row],[Gesamtcode]]&amp;"_"&amp;Tabelle7[[#This Row],[Zone]]&amp;"_"&amp;Tabelle7[[#This Row],[Raum]]&amp;"_"&amp;Tabelle7[[#This Row],[Bezeichnung]]</f>
        <v>#N/A</v>
      </c>
      <c r="K557">
        <v>5</v>
      </c>
      <c r="L557" t="e">
        <f>Tabelle7[[#This Row],[Hauptgruppe]]&amp;"/-/-"</f>
        <v>#N/A</v>
      </c>
      <c r="M557" t="e">
        <f ca="1">Tabelle7[[#This Row],[Hauptgruppe]]&amp;"/"&amp;Tabelle7[[#This Row],[Mittelgruppe]]&amp;"/-"</f>
        <v>#N/A</v>
      </c>
      <c r="N557" t="e">
        <f ca="1">Tabelle7[[#This Row],[Hauptgruppe]]&amp;"/"&amp;Tabelle7[[#This Row],[Mittelgruppe]]&amp;"/"&amp;Tabelle7[[#This Row],[Untergruppe]]</f>
        <v>#N/A</v>
      </c>
      <c r="O557" t="e">
        <f>INDEX(Tabelle6[Aktor],MATCH(Tabelle7[[#This Row],[Gesamtcode]],Tabelle6[Gesamtcode],0))&amp;" "&amp;INDEX(Tabelle6[Aktorkanal],MATCH(Tabelle7[[#This Row],[Gesamtcode]],Tabelle6[Gesamtcode],0))</f>
        <v>#N/A</v>
      </c>
    </row>
    <row r="558" spans="2:15" x14ac:dyDescent="0.25">
      <c r="B558" t="s">
        <v>374</v>
      </c>
      <c r="C558" t="e">
        <f>INDEX(Tabelle132[Zone],MATCH(Tabelle7[[#This Row],[Gesamtcode]],Tabelle132[Gesamtcode],0))</f>
        <v>#N/A</v>
      </c>
      <c r="D558" t="e">
        <f>INDEX(Tabelle132[Raum],MATCH(Tabelle7[[#This Row],[Gesamtcode]],Tabelle132[Gesamtcode],0))</f>
        <v>#N/A</v>
      </c>
      <c r="E558" t="e">
        <f>INDEX(Tabelle132[Bezeichnung],MATCH(Tabelle7[[#This Row],[Gesamtcode]],Tabelle132[Gesamtcode],0))</f>
        <v>#N/A</v>
      </c>
      <c r="F558" t="e">
        <f>"_"&amp;INDEX(Tabelle132[Geräte/Gewerke],MATCH(Tabelle7[[#This Row],[Gesamtcode]],Tabelle132[Gesamtcode],0))</f>
        <v>#N/A</v>
      </c>
      <c r="G558" t="e">
        <f>INDEX(Tabelle13[Gewerknr.],MATCH(Tabelle7[[#This Row],[Gewerke]],Tabelle13[Hauptgruppe],0))</f>
        <v>#N/A</v>
      </c>
      <c r="H558" t="s">
        <v>366</v>
      </c>
      <c r="I558" t="e">
        <f ca="1">INDEX(Tabelle134[Funktionsbereichsnr.],MATCH(Tabelle7[[#This Row],[Funktionsbereiche]],INDIRECT("Tabelle134["&amp;Tabelle7[[#This Row],[Gewerke]]&amp;"]"),0))</f>
        <v>#N/A</v>
      </c>
      <c r="J558" t="e">
        <f>Tabelle7[[#This Row],[Gesamtcode]]&amp;"_"&amp;Tabelle7[[#This Row],[Zone]]&amp;"_"&amp;Tabelle7[[#This Row],[Raum]]&amp;"_"&amp;Tabelle7[[#This Row],[Bezeichnung]]</f>
        <v>#N/A</v>
      </c>
      <c r="K558">
        <v>6</v>
      </c>
      <c r="L558" t="e">
        <f>Tabelle7[[#This Row],[Hauptgruppe]]&amp;"/-/-"</f>
        <v>#N/A</v>
      </c>
      <c r="M558" t="e">
        <f ca="1">Tabelle7[[#This Row],[Hauptgruppe]]&amp;"/"&amp;Tabelle7[[#This Row],[Mittelgruppe]]&amp;"/-"</f>
        <v>#N/A</v>
      </c>
      <c r="N558" t="e">
        <f ca="1">Tabelle7[[#This Row],[Hauptgruppe]]&amp;"/"&amp;Tabelle7[[#This Row],[Mittelgruppe]]&amp;"/"&amp;Tabelle7[[#This Row],[Untergruppe]]</f>
        <v>#N/A</v>
      </c>
      <c r="O558" t="e">
        <f>INDEX(Tabelle6[Aktor],MATCH(Tabelle7[[#This Row],[Gesamtcode]],Tabelle6[Gesamtcode],0))&amp;" "&amp;INDEX(Tabelle6[Aktorkanal],MATCH(Tabelle7[[#This Row],[Gesamtcode]],Tabelle6[Gesamtcode],0))</f>
        <v>#N/A</v>
      </c>
    </row>
    <row r="559" spans="2:15" x14ac:dyDescent="0.25">
      <c r="B559" t="s">
        <v>375</v>
      </c>
      <c r="C559" t="e">
        <f>INDEX(Tabelle132[Zone],MATCH(Tabelle7[[#This Row],[Gesamtcode]],Tabelle132[Gesamtcode],0))</f>
        <v>#N/A</v>
      </c>
      <c r="D559" t="e">
        <f>INDEX(Tabelle132[Raum],MATCH(Tabelle7[[#This Row],[Gesamtcode]],Tabelle132[Gesamtcode],0))</f>
        <v>#N/A</v>
      </c>
      <c r="E559" t="e">
        <f>INDEX(Tabelle132[Bezeichnung],MATCH(Tabelle7[[#This Row],[Gesamtcode]],Tabelle132[Gesamtcode],0))</f>
        <v>#N/A</v>
      </c>
      <c r="F559" t="e">
        <f>"_"&amp;INDEX(Tabelle132[Geräte/Gewerke],MATCH(Tabelle7[[#This Row],[Gesamtcode]],Tabelle132[Gesamtcode],0))</f>
        <v>#N/A</v>
      </c>
      <c r="G559" t="e">
        <f>INDEX(Tabelle13[Gewerknr.],MATCH(Tabelle7[[#This Row],[Gewerke]],Tabelle13[Hauptgruppe],0))</f>
        <v>#N/A</v>
      </c>
      <c r="H559" t="s">
        <v>366</v>
      </c>
      <c r="I559" t="e">
        <f ca="1">INDEX(Tabelle134[Funktionsbereichsnr.],MATCH(Tabelle7[[#This Row],[Funktionsbereiche]],INDIRECT("Tabelle134["&amp;Tabelle7[[#This Row],[Gewerke]]&amp;"]"),0))</f>
        <v>#N/A</v>
      </c>
      <c r="J559" t="e">
        <f>Tabelle7[[#This Row],[Gesamtcode]]&amp;"_"&amp;Tabelle7[[#This Row],[Zone]]&amp;"_"&amp;Tabelle7[[#This Row],[Raum]]&amp;"_"&amp;Tabelle7[[#This Row],[Bezeichnung]]</f>
        <v>#N/A</v>
      </c>
      <c r="K559">
        <v>7</v>
      </c>
      <c r="L559" t="e">
        <f>Tabelle7[[#This Row],[Hauptgruppe]]&amp;"/-/-"</f>
        <v>#N/A</v>
      </c>
      <c r="M559" t="e">
        <f ca="1">Tabelle7[[#This Row],[Hauptgruppe]]&amp;"/"&amp;Tabelle7[[#This Row],[Mittelgruppe]]&amp;"/-"</f>
        <v>#N/A</v>
      </c>
      <c r="N559" t="e">
        <f ca="1">Tabelle7[[#This Row],[Hauptgruppe]]&amp;"/"&amp;Tabelle7[[#This Row],[Mittelgruppe]]&amp;"/"&amp;Tabelle7[[#This Row],[Untergruppe]]</f>
        <v>#N/A</v>
      </c>
      <c r="O559" t="e">
        <f>INDEX(Tabelle6[Aktor],MATCH(Tabelle7[[#This Row],[Gesamtcode]],Tabelle6[Gesamtcode],0))&amp;" "&amp;INDEX(Tabelle6[Aktorkanal],MATCH(Tabelle7[[#This Row],[Gesamtcode]],Tabelle6[Gesamtcode],0))</f>
        <v>#N/A</v>
      </c>
    </row>
    <row r="560" spans="2:15" x14ac:dyDescent="0.25">
      <c r="B560" t="s">
        <v>376</v>
      </c>
      <c r="C560" t="str">
        <f>INDEX(Tabelle132[Zone],MATCH(Tabelle7[[#This Row],[Gesamtcode]],Tabelle132[Gesamtcode],0))</f>
        <v>Obergeschoss</v>
      </c>
      <c r="D560" t="str">
        <f>INDEX(Tabelle132[Raum],MATCH(Tabelle7[[#This Row],[Gesamtcode]],Tabelle132[Gesamtcode],0))</f>
        <v>Kinderzimmer 2</v>
      </c>
      <c r="E560" t="str">
        <f>INDEX(Tabelle132[Bezeichnung],MATCH(Tabelle7[[#This Row],[Gesamtcode]],Tabelle132[Gesamtcode],0))</f>
        <v>Präsenzmelder</v>
      </c>
      <c r="F560" t="str">
        <f>"_"&amp;INDEX(Tabelle132[Geräte/Gewerke],MATCH(Tabelle7[[#This Row],[Gesamtcode]],Tabelle132[Gesamtcode],0))</f>
        <v>_Sensoren</v>
      </c>
      <c r="G560">
        <f>INDEX(Tabelle13[Gewerknr.],MATCH(Tabelle7[[#This Row],[Gewerke]],Tabelle13[Hauptgruppe],0))</f>
        <v>5</v>
      </c>
      <c r="H560" t="s">
        <v>366</v>
      </c>
      <c r="I560">
        <f ca="1">INDEX(Tabelle134[Funktionsbereichsnr.],MATCH(Tabelle7[[#This Row],[Funktionsbereiche]],INDIRECT("Tabelle134["&amp;Tabelle7[[#This Row],[Gewerke]]&amp;"]"),0))</f>
        <v>0</v>
      </c>
      <c r="J560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60">
        <v>8</v>
      </c>
      <c r="L560" t="str">
        <f>Tabelle7[[#This Row],[Hauptgruppe]]&amp;"/-/-"</f>
        <v>5/-/-</v>
      </c>
      <c r="M560" t="str">
        <f ca="1">Tabelle7[[#This Row],[Hauptgruppe]]&amp;"/"&amp;Tabelle7[[#This Row],[Mittelgruppe]]&amp;"/-"</f>
        <v>5/0/-</v>
      </c>
      <c r="N560" t="str">
        <f ca="1">Tabelle7[[#This Row],[Hauptgruppe]]&amp;"/"&amp;Tabelle7[[#This Row],[Mittelgruppe]]&amp;"/"&amp;Tabelle7[[#This Row],[Untergruppe]]</f>
        <v>5/0/8</v>
      </c>
      <c r="O560" t="str">
        <f>INDEX(Tabelle6[Aktor],MATCH(Tabelle7[[#This Row],[Gesamtcode]],Tabelle6[Gesamtcode],0))&amp;" "&amp;INDEX(Tabelle6[Aktorkanal],MATCH(Tabelle7[[#This Row],[Gesamtcode]],Tabelle6[Gesamtcode],0))</f>
        <v>- -</v>
      </c>
    </row>
    <row r="561" spans="2:15" x14ac:dyDescent="0.25">
      <c r="B561" t="s">
        <v>377</v>
      </c>
      <c r="C561" t="str">
        <f>INDEX(Tabelle132[Zone],MATCH(Tabelle7[[#This Row],[Gesamtcode]],Tabelle132[Gesamtcode],0))</f>
        <v>Obergeschoss</v>
      </c>
      <c r="D561" t="str">
        <f>INDEX(Tabelle132[Raum],MATCH(Tabelle7[[#This Row],[Gesamtcode]],Tabelle132[Gesamtcode],0))</f>
        <v>Flur</v>
      </c>
      <c r="E561" t="str">
        <f>INDEX(Tabelle132[Bezeichnung],MATCH(Tabelle7[[#This Row],[Gesamtcode]],Tabelle132[Gesamtcode],0))</f>
        <v>Bewegungsmelder</v>
      </c>
      <c r="F561" t="str">
        <f>"_"&amp;INDEX(Tabelle132[Geräte/Gewerke],MATCH(Tabelle7[[#This Row],[Gesamtcode]],Tabelle132[Gesamtcode],0))</f>
        <v>_Sensoren</v>
      </c>
      <c r="G561">
        <f>INDEX(Tabelle13[Gewerknr.],MATCH(Tabelle7[[#This Row],[Gewerke]],Tabelle13[Hauptgruppe],0))</f>
        <v>5</v>
      </c>
      <c r="H561" t="s">
        <v>366</v>
      </c>
      <c r="I561">
        <f ca="1">INDEX(Tabelle134[Funktionsbereichsnr.],MATCH(Tabelle7[[#This Row],[Funktionsbereiche]],INDIRECT("Tabelle134["&amp;Tabelle7[[#This Row],[Gewerke]]&amp;"]"),0))</f>
        <v>0</v>
      </c>
      <c r="J561" t="str">
        <f>Tabelle7[[#This Row],[Gesamtcode]]&amp;"_"&amp;Tabelle7[[#This Row],[Zone]]&amp;"_"&amp;Tabelle7[[#This Row],[Raum]]&amp;"_"&amp;Tabelle7[[#This Row],[Bezeichnung]]</f>
        <v>O3.BM1_Obergeschoss_Flur_Bewegungsmelder</v>
      </c>
      <c r="K561">
        <v>9</v>
      </c>
      <c r="L561" t="str">
        <f>Tabelle7[[#This Row],[Hauptgruppe]]&amp;"/-/-"</f>
        <v>5/-/-</v>
      </c>
      <c r="M561" t="str">
        <f ca="1">Tabelle7[[#This Row],[Hauptgruppe]]&amp;"/"&amp;Tabelle7[[#This Row],[Mittelgruppe]]&amp;"/-"</f>
        <v>5/0/-</v>
      </c>
      <c r="N561" t="str">
        <f ca="1">Tabelle7[[#This Row],[Hauptgruppe]]&amp;"/"&amp;Tabelle7[[#This Row],[Mittelgruppe]]&amp;"/"&amp;Tabelle7[[#This Row],[Untergruppe]]</f>
        <v>5/0/9</v>
      </c>
      <c r="O561" t="str">
        <f>INDEX(Tabelle6[Aktor],MATCH(Tabelle7[[#This Row],[Gesamtcode]],Tabelle6[Gesamtcode],0))&amp;" "&amp;INDEX(Tabelle6[Aktorkanal],MATCH(Tabelle7[[#This Row],[Gesamtcode]],Tabelle6[Gesamtcode],0))</f>
        <v>- -</v>
      </c>
    </row>
    <row r="562" spans="2:15" x14ac:dyDescent="0.25">
      <c r="B562" t="s">
        <v>373</v>
      </c>
      <c r="C562" t="e">
        <f>INDEX(Tabelle132[Zone],MATCH(Tabelle7[[#This Row],[Gesamtcode]],Tabelle132[Gesamtcode],0))</f>
        <v>#N/A</v>
      </c>
      <c r="D562" t="e">
        <f>INDEX(Tabelle132[Raum],MATCH(Tabelle7[[#This Row],[Gesamtcode]],Tabelle132[Gesamtcode],0))</f>
        <v>#N/A</v>
      </c>
      <c r="E562" t="e">
        <f>INDEX(Tabelle132[Bezeichnung],MATCH(Tabelle7[[#This Row],[Gesamtcode]],Tabelle132[Gesamtcode],0))</f>
        <v>#N/A</v>
      </c>
      <c r="F562" t="e">
        <f>"_"&amp;INDEX(Tabelle132[Geräte/Gewerke],MATCH(Tabelle7[[#This Row],[Gesamtcode]],Tabelle132[Gesamtcode],0))</f>
        <v>#N/A</v>
      </c>
      <c r="G562" t="e">
        <f>INDEX(Tabelle13[Gewerknr.],MATCH(Tabelle7[[#This Row],[Gewerke]],Tabelle13[Hauptgruppe],0))</f>
        <v>#N/A</v>
      </c>
      <c r="H562" t="s">
        <v>378</v>
      </c>
      <c r="I562" t="e">
        <f ca="1">INDEX(Tabelle134[Funktionsbereichsnr.],MATCH(Tabelle7[[#This Row],[Funktionsbereiche]],INDIRECT("Tabelle134["&amp;Tabelle7[[#This Row],[Gewerke]]&amp;"]"),0))</f>
        <v>#N/A</v>
      </c>
      <c r="J562" t="e">
        <f>Tabelle7[[#This Row],[Gesamtcode]]&amp;"_"&amp;Tabelle7[[#This Row],[Zone]]&amp;"_"&amp;Tabelle7[[#This Row],[Raum]]&amp;"_"&amp;Tabelle7[[#This Row],[Bezeichnung]]</f>
        <v>#N/A</v>
      </c>
      <c r="K562">
        <v>0</v>
      </c>
      <c r="L562" t="e">
        <f>Tabelle7[[#This Row],[Hauptgruppe]]&amp;"/-/-"</f>
        <v>#N/A</v>
      </c>
      <c r="M562" t="e">
        <f ca="1">Tabelle7[[#This Row],[Hauptgruppe]]&amp;"/"&amp;Tabelle7[[#This Row],[Mittelgruppe]]&amp;"/-"</f>
        <v>#N/A</v>
      </c>
      <c r="N562" t="e">
        <f ca="1">Tabelle7[[#This Row],[Hauptgruppe]]&amp;"/"&amp;Tabelle7[[#This Row],[Mittelgruppe]]&amp;"/"&amp;Tabelle7[[#This Row],[Untergruppe]]</f>
        <v>#N/A</v>
      </c>
      <c r="O562" t="e">
        <f>INDEX(Tabelle6[Aktor],MATCH(Tabelle7[[#This Row],[Gesamtcode]],Tabelle6[Gesamtcode],0))&amp;" "&amp;INDEX(Tabelle6[Aktorkanal],MATCH(Tabelle7[[#This Row],[Gesamtcode]],Tabelle6[Gesamtcode],0))</f>
        <v>#N/A</v>
      </c>
    </row>
    <row r="563" spans="2:15" x14ac:dyDescent="0.25">
      <c r="B563" t="s">
        <v>376</v>
      </c>
      <c r="C563" t="str">
        <f>INDEX(Tabelle132[Zone],MATCH(Tabelle7[[#This Row],[Gesamtcode]],Tabelle132[Gesamtcode],0))</f>
        <v>Obergeschoss</v>
      </c>
      <c r="D563" t="str">
        <f>INDEX(Tabelle132[Raum],MATCH(Tabelle7[[#This Row],[Gesamtcode]],Tabelle132[Gesamtcode],0))</f>
        <v>Kinderzimmer 2</v>
      </c>
      <c r="E563" t="str">
        <f>INDEX(Tabelle132[Bezeichnung],MATCH(Tabelle7[[#This Row],[Gesamtcode]],Tabelle132[Gesamtcode],0))</f>
        <v>Präsenzmelder</v>
      </c>
      <c r="F563" t="str">
        <f>"_"&amp;INDEX(Tabelle132[Geräte/Gewerke],MATCH(Tabelle7[[#This Row],[Gesamtcode]],Tabelle132[Gesamtcode],0))</f>
        <v>_Sensoren</v>
      </c>
      <c r="G563">
        <f>INDEX(Tabelle13[Gewerknr.],MATCH(Tabelle7[[#This Row],[Gewerke]],Tabelle13[Hauptgruppe],0))</f>
        <v>5</v>
      </c>
      <c r="H563" t="s">
        <v>378</v>
      </c>
      <c r="I563">
        <f ca="1">INDEX(Tabelle134[Funktionsbereichsnr.],MATCH(Tabelle7[[#This Row],[Funktionsbereiche]],INDIRECT("Tabelle134["&amp;Tabelle7[[#This Row],[Gewerke]]&amp;"]"),0))</f>
        <v>1</v>
      </c>
      <c r="J563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63">
        <v>1</v>
      </c>
      <c r="L563" t="str">
        <f>Tabelle7[[#This Row],[Hauptgruppe]]&amp;"/-/-"</f>
        <v>5/-/-</v>
      </c>
      <c r="M563" t="str">
        <f ca="1">Tabelle7[[#This Row],[Hauptgruppe]]&amp;"/"&amp;Tabelle7[[#This Row],[Mittelgruppe]]&amp;"/-"</f>
        <v>5/1/-</v>
      </c>
      <c r="N563" t="str">
        <f ca="1">Tabelle7[[#This Row],[Hauptgruppe]]&amp;"/"&amp;Tabelle7[[#This Row],[Mittelgruppe]]&amp;"/"&amp;Tabelle7[[#This Row],[Untergruppe]]</f>
        <v>5/1/1</v>
      </c>
      <c r="O563" t="str">
        <f>INDEX(Tabelle6[Aktor],MATCH(Tabelle7[[#This Row],[Gesamtcode]],Tabelle6[Gesamtcode],0))&amp;" "&amp;INDEX(Tabelle6[Aktorkanal],MATCH(Tabelle7[[#This Row],[Gesamtcode]],Tabelle6[Gesamtcode],0))</f>
        <v>- -</v>
      </c>
    </row>
    <row r="564" spans="2:15" x14ac:dyDescent="0.25">
      <c r="B564" t="s">
        <v>379</v>
      </c>
      <c r="C564" t="e">
        <f>INDEX(Tabelle132[Zone],MATCH(Tabelle7[[#This Row],[Gesamtcode]],Tabelle132[Gesamtcode],0))</f>
        <v>#N/A</v>
      </c>
      <c r="D564" t="e">
        <f>INDEX(Tabelle132[Raum],MATCH(Tabelle7[[#This Row],[Gesamtcode]],Tabelle132[Gesamtcode],0))</f>
        <v>#N/A</v>
      </c>
      <c r="E564" t="e">
        <f>INDEX(Tabelle132[Bezeichnung],MATCH(Tabelle7[[#This Row],[Gesamtcode]],Tabelle132[Gesamtcode],0))</f>
        <v>#N/A</v>
      </c>
      <c r="F564" t="e">
        <f>"_"&amp;INDEX(Tabelle132[Geräte/Gewerke],MATCH(Tabelle7[[#This Row],[Gesamtcode]],Tabelle132[Gesamtcode],0))</f>
        <v>#N/A</v>
      </c>
      <c r="G564" t="e">
        <f>INDEX(Tabelle13[Gewerknr.],MATCH(Tabelle7[[#This Row],[Gewerke]],Tabelle13[Hauptgruppe],0))</f>
        <v>#N/A</v>
      </c>
      <c r="H564" t="s">
        <v>380</v>
      </c>
      <c r="I564" t="e">
        <f ca="1">INDEX(Tabelle134[Funktionsbereichsnr.],MATCH(Tabelle7[[#This Row],[Funktionsbereiche]],INDIRECT("Tabelle134["&amp;Tabelle7[[#This Row],[Gewerke]]&amp;"]"),0))</f>
        <v>#N/A</v>
      </c>
      <c r="J564" t="e">
        <f>Tabelle7[[#This Row],[Gesamtcode]]&amp;"_"&amp;Tabelle7[[#This Row],[Zone]]&amp;"_"&amp;Tabelle7[[#This Row],[Raum]]&amp;"_"&amp;Tabelle7[[#This Row],[Bezeichnung]]</f>
        <v>#N/A</v>
      </c>
      <c r="K564">
        <v>0</v>
      </c>
      <c r="L564" t="e">
        <f>Tabelle7[[#This Row],[Hauptgruppe]]&amp;"/-/-"</f>
        <v>#N/A</v>
      </c>
      <c r="M564" t="e">
        <f ca="1">Tabelle7[[#This Row],[Hauptgruppe]]&amp;"/"&amp;Tabelle7[[#This Row],[Mittelgruppe]]&amp;"/-"</f>
        <v>#N/A</v>
      </c>
      <c r="N564" t="e">
        <f ca="1">Tabelle7[[#This Row],[Hauptgruppe]]&amp;"/"&amp;Tabelle7[[#This Row],[Mittelgruppe]]&amp;"/"&amp;Tabelle7[[#This Row],[Untergruppe]]</f>
        <v>#N/A</v>
      </c>
      <c r="O564" t="e">
        <f>INDEX(Tabelle6[Aktor],MATCH(Tabelle7[[#This Row],[Gesamtcode]],Tabelle6[Gesamtcode],0))&amp;" "&amp;INDEX(Tabelle6[Aktorkanal],MATCH(Tabelle7[[#This Row],[Gesamtcode]],Tabelle6[Gesamtcode],0))</f>
        <v>#N/A</v>
      </c>
    </row>
    <row r="565" spans="2:15" x14ac:dyDescent="0.25">
      <c r="B565" t="s">
        <v>381</v>
      </c>
      <c r="C565" t="e">
        <f>INDEX(Tabelle132[Zone],MATCH(Tabelle7[[#This Row],[Gesamtcode]],Tabelle132[Gesamtcode],0))</f>
        <v>#N/A</v>
      </c>
      <c r="D565" t="e">
        <f>INDEX(Tabelle132[Raum],MATCH(Tabelle7[[#This Row],[Gesamtcode]],Tabelle132[Gesamtcode],0))</f>
        <v>#N/A</v>
      </c>
      <c r="E565" t="e">
        <f>INDEX(Tabelle132[Bezeichnung],MATCH(Tabelle7[[#This Row],[Gesamtcode]],Tabelle132[Gesamtcode],0))</f>
        <v>#N/A</v>
      </c>
      <c r="F565" t="e">
        <f>"_"&amp;INDEX(Tabelle132[Geräte/Gewerke],MATCH(Tabelle7[[#This Row],[Gesamtcode]],Tabelle132[Gesamtcode],0))</f>
        <v>#N/A</v>
      </c>
      <c r="G565" t="e">
        <f>INDEX(Tabelle13[Gewerknr.],MATCH(Tabelle7[[#This Row],[Gewerke]],Tabelle13[Hauptgruppe],0))</f>
        <v>#N/A</v>
      </c>
      <c r="H565" t="s">
        <v>380</v>
      </c>
      <c r="I565" t="e">
        <f ca="1">INDEX(Tabelle134[Funktionsbereichsnr.],MATCH(Tabelle7[[#This Row],[Funktionsbereiche]],INDIRECT("Tabelle134["&amp;Tabelle7[[#This Row],[Gewerke]]&amp;"]"),0))</f>
        <v>#N/A</v>
      </c>
      <c r="J565" t="e">
        <f>Tabelle7[[#This Row],[Gesamtcode]]&amp;"_"&amp;Tabelle7[[#This Row],[Zone]]&amp;"_"&amp;Tabelle7[[#This Row],[Raum]]&amp;"_"&amp;Tabelle7[[#This Row],[Bezeichnung]]</f>
        <v>#N/A</v>
      </c>
      <c r="K565">
        <v>1</v>
      </c>
      <c r="L565" t="e">
        <f>Tabelle7[[#This Row],[Hauptgruppe]]&amp;"/-/-"</f>
        <v>#N/A</v>
      </c>
      <c r="M565" t="e">
        <f ca="1">Tabelle7[[#This Row],[Hauptgruppe]]&amp;"/"&amp;Tabelle7[[#This Row],[Mittelgruppe]]&amp;"/-"</f>
        <v>#N/A</v>
      </c>
      <c r="N565" t="e">
        <f ca="1">Tabelle7[[#This Row],[Hauptgruppe]]&amp;"/"&amp;Tabelle7[[#This Row],[Mittelgruppe]]&amp;"/"&amp;Tabelle7[[#This Row],[Untergruppe]]</f>
        <v>#N/A</v>
      </c>
      <c r="O565" t="e">
        <f>INDEX(Tabelle6[Aktor],MATCH(Tabelle7[[#This Row],[Gesamtcode]],Tabelle6[Gesamtcode],0))&amp;" "&amp;INDEX(Tabelle6[Aktorkanal],MATCH(Tabelle7[[#This Row],[Gesamtcode]],Tabelle6[Gesamtcode],0))</f>
        <v>#N/A</v>
      </c>
    </row>
    <row r="566" spans="2:15" x14ac:dyDescent="0.25">
      <c r="B566" t="s">
        <v>382</v>
      </c>
      <c r="C566" t="str">
        <f>INDEX(Tabelle132[Zone],MATCH(Tabelle7[[#This Row],[Gesamtcode]],Tabelle132[Gesamtcode],0))</f>
        <v>Obergeschoss</v>
      </c>
      <c r="D566" t="str">
        <f>INDEX(Tabelle132[Raum],MATCH(Tabelle7[[#This Row],[Gesamtcode]],Tabelle132[Gesamtcode],0))</f>
        <v>Ankleide</v>
      </c>
      <c r="E566" t="str">
        <f>INDEX(Tabelle132[Bezeichnung],MATCH(Tabelle7[[#This Row],[Gesamtcode]],Tabelle132[Gesamtcode],0))</f>
        <v>Tastsensor</v>
      </c>
      <c r="F566" t="str">
        <f>"_"&amp;INDEX(Tabelle132[Geräte/Gewerke],MATCH(Tabelle7[[#This Row],[Gesamtcode]],Tabelle132[Gesamtcode],0))</f>
        <v>_Sensoren</v>
      </c>
      <c r="G566">
        <f>INDEX(Tabelle13[Gewerknr.],MATCH(Tabelle7[[#This Row],[Gewerke]],Tabelle13[Hauptgruppe],0))</f>
        <v>5</v>
      </c>
      <c r="H566" t="s">
        <v>380</v>
      </c>
      <c r="I566">
        <f ca="1">INDEX(Tabelle134[Funktionsbereichsnr.],MATCH(Tabelle7[[#This Row],[Funktionsbereiche]],INDIRECT("Tabelle134["&amp;Tabelle7[[#This Row],[Gewerke]]&amp;"]"),0))</f>
        <v>2</v>
      </c>
      <c r="J566" t="str">
        <f>Tabelle7[[#This Row],[Gesamtcode]]&amp;"_"&amp;Tabelle7[[#This Row],[Zone]]&amp;"_"&amp;Tabelle7[[#This Row],[Raum]]&amp;"_"&amp;Tabelle7[[#This Row],[Bezeichnung]]</f>
        <v>O6.TS1_Obergeschoss_Ankleide_Tastsensor</v>
      </c>
      <c r="K566">
        <v>10</v>
      </c>
      <c r="L566" t="str">
        <f>Tabelle7[[#This Row],[Hauptgruppe]]&amp;"/-/-"</f>
        <v>5/-/-</v>
      </c>
      <c r="M566" t="str">
        <f ca="1">Tabelle7[[#This Row],[Hauptgruppe]]&amp;"/"&amp;Tabelle7[[#This Row],[Mittelgruppe]]&amp;"/-"</f>
        <v>5/2/-</v>
      </c>
      <c r="N566" t="str">
        <f ca="1">Tabelle7[[#This Row],[Hauptgruppe]]&amp;"/"&amp;Tabelle7[[#This Row],[Mittelgruppe]]&amp;"/"&amp;Tabelle7[[#This Row],[Untergruppe]]</f>
        <v>5/2/10</v>
      </c>
      <c r="O566" t="str">
        <f>INDEX(Tabelle6[Aktor],MATCH(Tabelle7[[#This Row],[Gesamtcode]],Tabelle6[Gesamtcode],0))&amp;" "&amp;INDEX(Tabelle6[Aktorkanal],MATCH(Tabelle7[[#This Row],[Gesamtcode]],Tabelle6[Gesamtcode],0))</f>
        <v>SA2 Out2</v>
      </c>
    </row>
    <row r="567" spans="2:15" x14ac:dyDescent="0.25">
      <c r="B567" t="s">
        <v>383</v>
      </c>
      <c r="C567" t="e">
        <f>INDEX(Tabelle132[Zone],MATCH(Tabelle7[[#This Row],[Gesamtcode]],Tabelle132[Gesamtcode],0))</f>
        <v>#N/A</v>
      </c>
      <c r="D567" t="e">
        <f>INDEX(Tabelle132[Raum],MATCH(Tabelle7[[#This Row],[Gesamtcode]],Tabelle132[Gesamtcode],0))</f>
        <v>#N/A</v>
      </c>
      <c r="E567" t="e">
        <f>INDEX(Tabelle132[Bezeichnung],MATCH(Tabelle7[[#This Row],[Gesamtcode]],Tabelle132[Gesamtcode],0))</f>
        <v>#N/A</v>
      </c>
      <c r="F567" t="e">
        <f>"_"&amp;INDEX(Tabelle132[Geräte/Gewerke],MATCH(Tabelle7[[#This Row],[Gesamtcode]],Tabelle132[Gesamtcode],0))</f>
        <v>#N/A</v>
      </c>
      <c r="G567" t="e">
        <f>INDEX(Tabelle13[Gewerknr.],MATCH(Tabelle7[[#This Row],[Gewerke]],Tabelle13[Hauptgruppe],0))</f>
        <v>#N/A</v>
      </c>
      <c r="H567" t="s">
        <v>380</v>
      </c>
      <c r="I567" t="e">
        <f ca="1">INDEX(Tabelle134[Funktionsbereichsnr.],MATCH(Tabelle7[[#This Row],[Funktionsbereiche]],INDIRECT("Tabelle134["&amp;Tabelle7[[#This Row],[Gewerke]]&amp;"]"),0))</f>
        <v>#N/A</v>
      </c>
      <c r="J567" t="e">
        <f>Tabelle7[[#This Row],[Gesamtcode]]&amp;"_"&amp;Tabelle7[[#This Row],[Zone]]&amp;"_"&amp;Tabelle7[[#This Row],[Raum]]&amp;"_"&amp;Tabelle7[[#This Row],[Bezeichnung]]</f>
        <v>#N/A</v>
      </c>
      <c r="K567">
        <v>11</v>
      </c>
      <c r="L567" t="e">
        <f>Tabelle7[[#This Row],[Hauptgruppe]]&amp;"/-/-"</f>
        <v>#N/A</v>
      </c>
      <c r="M567" t="e">
        <f ca="1">Tabelle7[[#This Row],[Hauptgruppe]]&amp;"/"&amp;Tabelle7[[#This Row],[Mittelgruppe]]&amp;"/-"</f>
        <v>#N/A</v>
      </c>
      <c r="N567" t="e">
        <f ca="1">Tabelle7[[#This Row],[Hauptgruppe]]&amp;"/"&amp;Tabelle7[[#This Row],[Mittelgruppe]]&amp;"/"&amp;Tabelle7[[#This Row],[Untergruppe]]</f>
        <v>#N/A</v>
      </c>
      <c r="O567" t="e">
        <f>INDEX(Tabelle6[Aktor],MATCH(Tabelle7[[#This Row],[Gesamtcode]],Tabelle6[Gesamtcode],0))&amp;" "&amp;INDEX(Tabelle6[Aktorkanal],MATCH(Tabelle7[[#This Row],[Gesamtcode]],Tabelle6[Gesamtcode],0))</f>
        <v>#N/A</v>
      </c>
    </row>
    <row r="568" spans="2:15" x14ac:dyDescent="0.25">
      <c r="B568" t="s">
        <v>384</v>
      </c>
      <c r="C568" t="e">
        <f>INDEX(Tabelle132[Zone],MATCH(Tabelle7[[#This Row],[Gesamtcode]],Tabelle132[Gesamtcode],0))</f>
        <v>#N/A</v>
      </c>
      <c r="D568" t="e">
        <f>INDEX(Tabelle132[Raum],MATCH(Tabelle7[[#This Row],[Gesamtcode]],Tabelle132[Gesamtcode],0))</f>
        <v>#N/A</v>
      </c>
      <c r="E568" t="e">
        <f>INDEX(Tabelle132[Bezeichnung],MATCH(Tabelle7[[#This Row],[Gesamtcode]],Tabelle132[Gesamtcode],0))</f>
        <v>#N/A</v>
      </c>
      <c r="F568" t="e">
        <f>"_"&amp;INDEX(Tabelle132[Geräte/Gewerke],MATCH(Tabelle7[[#This Row],[Gesamtcode]],Tabelle132[Gesamtcode],0))</f>
        <v>#N/A</v>
      </c>
      <c r="G568" t="e">
        <f>INDEX(Tabelle13[Gewerknr.],MATCH(Tabelle7[[#This Row],[Gewerke]],Tabelle13[Hauptgruppe],0))</f>
        <v>#N/A</v>
      </c>
      <c r="H568" t="s">
        <v>380</v>
      </c>
      <c r="I568" t="e">
        <f ca="1">INDEX(Tabelle134[Funktionsbereichsnr.],MATCH(Tabelle7[[#This Row],[Funktionsbereiche]],INDIRECT("Tabelle134["&amp;Tabelle7[[#This Row],[Gewerke]]&amp;"]"),0))</f>
        <v>#N/A</v>
      </c>
      <c r="J568" t="e">
        <f>Tabelle7[[#This Row],[Gesamtcode]]&amp;"_"&amp;Tabelle7[[#This Row],[Zone]]&amp;"_"&amp;Tabelle7[[#This Row],[Raum]]&amp;"_"&amp;Tabelle7[[#This Row],[Bezeichnung]]</f>
        <v>#N/A</v>
      </c>
      <c r="K568">
        <v>12</v>
      </c>
      <c r="L568" t="e">
        <f>Tabelle7[[#This Row],[Hauptgruppe]]&amp;"/-/-"</f>
        <v>#N/A</v>
      </c>
      <c r="M568" t="e">
        <f ca="1">Tabelle7[[#This Row],[Hauptgruppe]]&amp;"/"&amp;Tabelle7[[#This Row],[Mittelgruppe]]&amp;"/-"</f>
        <v>#N/A</v>
      </c>
      <c r="N568" t="e">
        <f ca="1">Tabelle7[[#This Row],[Hauptgruppe]]&amp;"/"&amp;Tabelle7[[#This Row],[Mittelgruppe]]&amp;"/"&amp;Tabelle7[[#This Row],[Untergruppe]]</f>
        <v>#N/A</v>
      </c>
      <c r="O568" t="e">
        <f>INDEX(Tabelle6[Aktor],MATCH(Tabelle7[[#This Row],[Gesamtcode]],Tabelle6[Gesamtcode],0))&amp;" "&amp;INDEX(Tabelle6[Aktorkanal],MATCH(Tabelle7[[#This Row],[Gesamtcode]],Tabelle6[Gesamtcode],0))</f>
        <v>#N/A</v>
      </c>
    </row>
    <row r="569" spans="2:15" x14ac:dyDescent="0.25">
      <c r="B569" t="s">
        <v>373</v>
      </c>
      <c r="C569" t="e">
        <f>INDEX(Tabelle132[Zone],MATCH(Tabelle7[[#This Row],[Gesamtcode]],Tabelle132[Gesamtcode],0))</f>
        <v>#N/A</v>
      </c>
      <c r="D569" t="e">
        <f>INDEX(Tabelle132[Raum],MATCH(Tabelle7[[#This Row],[Gesamtcode]],Tabelle132[Gesamtcode],0))</f>
        <v>#N/A</v>
      </c>
      <c r="E569" t="e">
        <f>INDEX(Tabelle132[Bezeichnung],MATCH(Tabelle7[[#This Row],[Gesamtcode]],Tabelle132[Gesamtcode],0))</f>
        <v>#N/A</v>
      </c>
      <c r="F569" t="e">
        <f>"_"&amp;INDEX(Tabelle132[Geräte/Gewerke],MATCH(Tabelle7[[#This Row],[Gesamtcode]],Tabelle132[Gesamtcode],0))</f>
        <v>#N/A</v>
      </c>
      <c r="G569" t="e">
        <f>INDEX(Tabelle13[Gewerknr.],MATCH(Tabelle7[[#This Row],[Gewerke]],Tabelle13[Hauptgruppe],0))</f>
        <v>#N/A</v>
      </c>
      <c r="H569" t="s">
        <v>380</v>
      </c>
      <c r="I569" t="e">
        <f ca="1">INDEX(Tabelle134[Funktionsbereichsnr.],MATCH(Tabelle7[[#This Row],[Funktionsbereiche]],INDIRECT("Tabelle134["&amp;Tabelle7[[#This Row],[Gewerke]]&amp;"]"),0))</f>
        <v>#N/A</v>
      </c>
      <c r="J569" t="e">
        <f>Tabelle7[[#This Row],[Gesamtcode]]&amp;"_"&amp;Tabelle7[[#This Row],[Zone]]&amp;"_"&amp;Tabelle7[[#This Row],[Raum]]&amp;"_"&amp;Tabelle7[[#This Row],[Bezeichnung]]</f>
        <v>#N/A</v>
      </c>
      <c r="K569">
        <v>2</v>
      </c>
      <c r="L569" t="e">
        <f>Tabelle7[[#This Row],[Hauptgruppe]]&amp;"/-/-"</f>
        <v>#N/A</v>
      </c>
      <c r="M569" t="e">
        <f ca="1">Tabelle7[[#This Row],[Hauptgruppe]]&amp;"/"&amp;Tabelle7[[#This Row],[Mittelgruppe]]&amp;"/-"</f>
        <v>#N/A</v>
      </c>
      <c r="N569" t="e">
        <f ca="1">Tabelle7[[#This Row],[Hauptgruppe]]&amp;"/"&amp;Tabelle7[[#This Row],[Mittelgruppe]]&amp;"/"&amp;Tabelle7[[#This Row],[Untergruppe]]</f>
        <v>#N/A</v>
      </c>
      <c r="O569" t="e">
        <f>INDEX(Tabelle6[Aktor],MATCH(Tabelle7[[#This Row],[Gesamtcode]],Tabelle6[Gesamtcode],0))&amp;" "&amp;INDEX(Tabelle6[Aktorkanal],MATCH(Tabelle7[[#This Row],[Gesamtcode]],Tabelle6[Gesamtcode],0))</f>
        <v>#N/A</v>
      </c>
    </row>
    <row r="570" spans="2:15" x14ac:dyDescent="0.25">
      <c r="B570" t="s">
        <v>385</v>
      </c>
      <c r="C570" t="e">
        <f>INDEX(Tabelle132[Zone],MATCH(Tabelle7[[#This Row],[Gesamtcode]],Tabelle132[Gesamtcode],0))</f>
        <v>#N/A</v>
      </c>
      <c r="D570" t="e">
        <f>INDEX(Tabelle132[Raum],MATCH(Tabelle7[[#This Row],[Gesamtcode]],Tabelle132[Gesamtcode],0))</f>
        <v>#N/A</v>
      </c>
      <c r="E570" t="e">
        <f>INDEX(Tabelle132[Bezeichnung],MATCH(Tabelle7[[#This Row],[Gesamtcode]],Tabelle132[Gesamtcode],0))</f>
        <v>#N/A</v>
      </c>
      <c r="F570" t="e">
        <f>"_"&amp;INDEX(Tabelle132[Geräte/Gewerke],MATCH(Tabelle7[[#This Row],[Gesamtcode]],Tabelle132[Gesamtcode],0))</f>
        <v>#N/A</v>
      </c>
      <c r="G570" t="e">
        <f>INDEX(Tabelle13[Gewerknr.],MATCH(Tabelle7[[#This Row],[Gewerke]],Tabelle13[Hauptgruppe],0))</f>
        <v>#N/A</v>
      </c>
      <c r="H570" t="s">
        <v>380</v>
      </c>
      <c r="I570" t="e">
        <f ca="1">INDEX(Tabelle134[Funktionsbereichsnr.],MATCH(Tabelle7[[#This Row],[Funktionsbereiche]],INDIRECT("Tabelle134["&amp;Tabelle7[[#This Row],[Gewerke]]&amp;"]"),0))</f>
        <v>#N/A</v>
      </c>
      <c r="J570" t="e">
        <f>Tabelle7[[#This Row],[Gesamtcode]]&amp;"_"&amp;Tabelle7[[#This Row],[Zone]]&amp;"_"&amp;Tabelle7[[#This Row],[Raum]]&amp;"_"&amp;Tabelle7[[#This Row],[Bezeichnung]]</f>
        <v>#N/A</v>
      </c>
      <c r="K570">
        <v>3</v>
      </c>
      <c r="L570" t="e">
        <f>Tabelle7[[#This Row],[Hauptgruppe]]&amp;"/-/-"</f>
        <v>#N/A</v>
      </c>
      <c r="M570" t="e">
        <f ca="1">Tabelle7[[#This Row],[Hauptgruppe]]&amp;"/"&amp;Tabelle7[[#This Row],[Mittelgruppe]]&amp;"/-"</f>
        <v>#N/A</v>
      </c>
      <c r="N570" t="e">
        <f ca="1">Tabelle7[[#This Row],[Hauptgruppe]]&amp;"/"&amp;Tabelle7[[#This Row],[Mittelgruppe]]&amp;"/"&amp;Tabelle7[[#This Row],[Untergruppe]]</f>
        <v>#N/A</v>
      </c>
      <c r="O570" t="e">
        <f>INDEX(Tabelle6[Aktor],MATCH(Tabelle7[[#This Row],[Gesamtcode]],Tabelle6[Gesamtcode],0))&amp;" "&amp;INDEX(Tabelle6[Aktorkanal],MATCH(Tabelle7[[#This Row],[Gesamtcode]],Tabelle6[Gesamtcode],0))</f>
        <v>#N/A</v>
      </c>
    </row>
    <row r="571" spans="2:15" x14ac:dyDescent="0.25">
      <c r="B571" t="s">
        <v>386</v>
      </c>
      <c r="C571" t="str">
        <f>INDEX(Tabelle132[Zone],MATCH(Tabelle7[[#This Row],[Gesamtcode]],Tabelle132[Gesamtcode],0))</f>
        <v>Erdgeschoss</v>
      </c>
      <c r="D571" t="str">
        <f>INDEX(Tabelle132[Raum],MATCH(Tabelle7[[#This Row],[Gesamtcode]],Tabelle132[Gesamtcode],0))</f>
        <v>Wohnzimmer</v>
      </c>
      <c r="E571" t="str">
        <f>INDEX(Tabelle132[Bezeichnung],MATCH(Tabelle7[[#This Row],[Gesamtcode]],Tabelle132[Gesamtcode],0))</f>
        <v>Tastsensor</v>
      </c>
      <c r="F571" t="str">
        <f>"_"&amp;INDEX(Tabelle132[Geräte/Gewerke],MATCH(Tabelle7[[#This Row],[Gesamtcode]],Tabelle132[Gesamtcode],0))</f>
        <v>_Sensoren</v>
      </c>
      <c r="G571">
        <f>INDEX(Tabelle13[Gewerknr.],MATCH(Tabelle7[[#This Row],[Gewerke]],Tabelle13[Hauptgruppe],0))</f>
        <v>5</v>
      </c>
      <c r="H571" t="s">
        <v>380</v>
      </c>
      <c r="I571">
        <f ca="1">INDEX(Tabelle134[Funktionsbereichsnr.],MATCH(Tabelle7[[#This Row],[Funktionsbereiche]],INDIRECT("Tabelle134["&amp;Tabelle7[[#This Row],[Gewerke]]&amp;"]"),0))</f>
        <v>2</v>
      </c>
      <c r="J571" t="str">
        <f>Tabelle7[[#This Row],[Gesamtcode]]&amp;"_"&amp;Tabelle7[[#This Row],[Zone]]&amp;"_"&amp;Tabelle7[[#This Row],[Raum]]&amp;"_"&amp;Tabelle7[[#This Row],[Bezeichnung]]</f>
        <v>E6.TS1_Erdgeschoss_Wohnzimmer_Tastsensor</v>
      </c>
      <c r="K571">
        <v>4</v>
      </c>
      <c r="L571" t="str">
        <f>Tabelle7[[#This Row],[Hauptgruppe]]&amp;"/-/-"</f>
        <v>5/-/-</v>
      </c>
      <c r="M571" t="str">
        <f ca="1">Tabelle7[[#This Row],[Hauptgruppe]]&amp;"/"&amp;Tabelle7[[#This Row],[Mittelgruppe]]&amp;"/-"</f>
        <v>5/2/-</v>
      </c>
      <c r="N571" t="str">
        <f ca="1">Tabelle7[[#This Row],[Hauptgruppe]]&amp;"/"&amp;Tabelle7[[#This Row],[Mittelgruppe]]&amp;"/"&amp;Tabelle7[[#This Row],[Untergruppe]]</f>
        <v>5/2/4</v>
      </c>
      <c r="O571" t="e">
        <f>INDEX(Tabelle6[Aktor],MATCH(Tabelle7[[#This Row],[Gesamtcode]],Tabelle6[Gesamtcode],0))&amp;" "&amp;INDEX(Tabelle6[Aktorkanal],MATCH(Tabelle7[[#This Row],[Gesamtcode]],Tabelle6[Gesamtcode],0))</f>
        <v>#N/A</v>
      </c>
    </row>
    <row r="572" spans="2:15" x14ac:dyDescent="0.25">
      <c r="B572" t="s">
        <v>387</v>
      </c>
      <c r="C572" t="e">
        <f>INDEX(Tabelle132[Zone],MATCH(Tabelle7[[#This Row],[Gesamtcode]],Tabelle132[Gesamtcode],0))</f>
        <v>#N/A</v>
      </c>
      <c r="D572" t="e">
        <f>INDEX(Tabelle132[Raum],MATCH(Tabelle7[[#This Row],[Gesamtcode]],Tabelle132[Gesamtcode],0))</f>
        <v>#N/A</v>
      </c>
      <c r="E572" t="e">
        <f>INDEX(Tabelle132[Bezeichnung],MATCH(Tabelle7[[#This Row],[Gesamtcode]],Tabelle132[Gesamtcode],0))</f>
        <v>#N/A</v>
      </c>
      <c r="F572" t="e">
        <f>"_"&amp;INDEX(Tabelle132[Geräte/Gewerke],MATCH(Tabelle7[[#This Row],[Gesamtcode]],Tabelle132[Gesamtcode],0))</f>
        <v>#N/A</v>
      </c>
      <c r="G572" t="e">
        <f>INDEX(Tabelle13[Gewerknr.],MATCH(Tabelle7[[#This Row],[Gewerke]],Tabelle13[Hauptgruppe],0))</f>
        <v>#N/A</v>
      </c>
      <c r="H572" t="s">
        <v>380</v>
      </c>
      <c r="I572" t="e">
        <f ca="1">INDEX(Tabelle134[Funktionsbereichsnr.],MATCH(Tabelle7[[#This Row],[Funktionsbereiche]],INDIRECT("Tabelle134["&amp;Tabelle7[[#This Row],[Gewerke]]&amp;"]"),0))</f>
        <v>#N/A</v>
      </c>
      <c r="J572" t="e">
        <f>Tabelle7[[#This Row],[Gesamtcode]]&amp;"_"&amp;Tabelle7[[#This Row],[Zone]]&amp;"_"&amp;Tabelle7[[#This Row],[Raum]]&amp;"_"&amp;Tabelle7[[#This Row],[Bezeichnung]]</f>
        <v>#N/A</v>
      </c>
      <c r="K572">
        <v>5</v>
      </c>
      <c r="L572" t="e">
        <f>Tabelle7[[#This Row],[Hauptgruppe]]&amp;"/-/-"</f>
        <v>#N/A</v>
      </c>
      <c r="M572" t="e">
        <f ca="1">Tabelle7[[#This Row],[Hauptgruppe]]&amp;"/"&amp;Tabelle7[[#This Row],[Mittelgruppe]]&amp;"/-"</f>
        <v>#N/A</v>
      </c>
      <c r="N572" t="e">
        <f ca="1">Tabelle7[[#This Row],[Hauptgruppe]]&amp;"/"&amp;Tabelle7[[#This Row],[Mittelgruppe]]&amp;"/"&amp;Tabelle7[[#This Row],[Untergruppe]]</f>
        <v>#N/A</v>
      </c>
      <c r="O572" t="e">
        <f>INDEX(Tabelle6[Aktor],MATCH(Tabelle7[[#This Row],[Gesamtcode]],Tabelle6[Gesamtcode],0))&amp;" "&amp;INDEX(Tabelle6[Aktorkanal],MATCH(Tabelle7[[#This Row],[Gesamtcode]],Tabelle6[Gesamtcode],0))</f>
        <v>#N/A</v>
      </c>
    </row>
    <row r="573" spans="2:15" x14ac:dyDescent="0.25">
      <c r="B573" t="s">
        <v>388</v>
      </c>
      <c r="C573" t="str">
        <f>INDEX(Tabelle132[Zone],MATCH(Tabelle7[[#This Row],[Gesamtcode]],Tabelle132[Gesamtcode],0))</f>
        <v>Obergeschoss</v>
      </c>
      <c r="D573" t="str">
        <f>INDEX(Tabelle132[Raum],MATCH(Tabelle7[[#This Row],[Gesamtcode]],Tabelle132[Gesamtcode],0))</f>
        <v>Kinderzimmer 1</v>
      </c>
      <c r="E573" t="str">
        <f>INDEX(Tabelle132[Bezeichnung],MATCH(Tabelle7[[#This Row],[Gesamtcode]],Tabelle132[Gesamtcode],0))</f>
        <v>Tastsensor</v>
      </c>
      <c r="F573" t="str">
        <f>"_"&amp;INDEX(Tabelle132[Geräte/Gewerke],MATCH(Tabelle7[[#This Row],[Gesamtcode]],Tabelle132[Gesamtcode],0))</f>
        <v>_Sensoren</v>
      </c>
      <c r="G573">
        <f>INDEX(Tabelle13[Gewerknr.],MATCH(Tabelle7[[#This Row],[Gewerke]],Tabelle13[Hauptgruppe],0))</f>
        <v>5</v>
      </c>
      <c r="H573" t="s">
        <v>380</v>
      </c>
      <c r="I573">
        <f ca="1">INDEX(Tabelle134[Funktionsbereichsnr.],MATCH(Tabelle7[[#This Row],[Funktionsbereiche]],INDIRECT("Tabelle134["&amp;Tabelle7[[#This Row],[Gewerke]]&amp;"]"),0))</f>
        <v>2</v>
      </c>
      <c r="J573" t="str">
        <f>Tabelle7[[#This Row],[Gesamtcode]]&amp;"_"&amp;Tabelle7[[#This Row],[Zone]]&amp;"_"&amp;Tabelle7[[#This Row],[Raum]]&amp;"_"&amp;Tabelle7[[#This Row],[Bezeichnung]]</f>
        <v>O1.TS1_Obergeschoss_Kinderzimmer 1_Tastsensor</v>
      </c>
      <c r="K573">
        <v>6</v>
      </c>
      <c r="L573" t="str">
        <f>Tabelle7[[#This Row],[Hauptgruppe]]&amp;"/-/-"</f>
        <v>5/-/-</v>
      </c>
      <c r="M573" t="str">
        <f ca="1">Tabelle7[[#This Row],[Hauptgruppe]]&amp;"/"&amp;Tabelle7[[#This Row],[Mittelgruppe]]&amp;"/-"</f>
        <v>5/2/-</v>
      </c>
      <c r="N573" t="str">
        <f ca="1">Tabelle7[[#This Row],[Hauptgruppe]]&amp;"/"&amp;Tabelle7[[#This Row],[Mittelgruppe]]&amp;"/"&amp;Tabelle7[[#This Row],[Untergruppe]]</f>
        <v>5/2/6</v>
      </c>
      <c r="O573" t="str">
        <f>INDEX(Tabelle6[Aktor],MATCH(Tabelle7[[#This Row],[Gesamtcode]],Tabelle6[Gesamtcode],0))&amp;" "&amp;INDEX(Tabelle6[Aktorkanal],MATCH(Tabelle7[[#This Row],[Gesamtcode]],Tabelle6[Gesamtcode],0))</f>
        <v>JA1 A</v>
      </c>
    </row>
    <row r="574" spans="2:15" x14ac:dyDescent="0.25">
      <c r="B574" t="s">
        <v>376</v>
      </c>
      <c r="C574" t="str">
        <f>INDEX(Tabelle132[Zone],MATCH(Tabelle7[[#This Row],[Gesamtcode]],Tabelle132[Gesamtcode],0))</f>
        <v>Obergeschoss</v>
      </c>
      <c r="D574" t="str">
        <f>INDEX(Tabelle132[Raum],MATCH(Tabelle7[[#This Row],[Gesamtcode]],Tabelle132[Gesamtcode],0))</f>
        <v>Kinderzimmer 2</v>
      </c>
      <c r="E574" t="str">
        <f>INDEX(Tabelle132[Bezeichnung],MATCH(Tabelle7[[#This Row],[Gesamtcode]],Tabelle132[Gesamtcode],0))</f>
        <v>Präsenzmelder</v>
      </c>
      <c r="F574" t="str">
        <f>"_"&amp;INDEX(Tabelle132[Geräte/Gewerke],MATCH(Tabelle7[[#This Row],[Gesamtcode]],Tabelle132[Gesamtcode],0))</f>
        <v>_Sensoren</v>
      </c>
      <c r="G574">
        <f>INDEX(Tabelle13[Gewerknr.],MATCH(Tabelle7[[#This Row],[Gewerke]],Tabelle13[Hauptgruppe],0))</f>
        <v>5</v>
      </c>
      <c r="H574" t="s">
        <v>380</v>
      </c>
      <c r="I574">
        <f ca="1">INDEX(Tabelle134[Funktionsbereichsnr.],MATCH(Tabelle7[[#This Row],[Funktionsbereiche]],INDIRECT("Tabelle134["&amp;Tabelle7[[#This Row],[Gewerke]]&amp;"]"),0))</f>
        <v>2</v>
      </c>
      <c r="J574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74">
        <v>7</v>
      </c>
      <c r="L574" t="str">
        <f>Tabelle7[[#This Row],[Hauptgruppe]]&amp;"/-/-"</f>
        <v>5/-/-</v>
      </c>
      <c r="M574" t="str">
        <f ca="1">Tabelle7[[#This Row],[Hauptgruppe]]&amp;"/"&amp;Tabelle7[[#This Row],[Mittelgruppe]]&amp;"/-"</f>
        <v>5/2/-</v>
      </c>
      <c r="N574" t="str">
        <f ca="1">Tabelle7[[#This Row],[Hauptgruppe]]&amp;"/"&amp;Tabelle7[[#This Row],[Mittelgruppe]]&amp;"/"&amp;Tabelle7[[#This Row],[Untergruppe]]</f>
        <v>5/2/7</v>
      </c>
      <c r="O574" t="str">
        <f>INDEX(Tabelle6[Aktor],MATCH(Tabelle7[[#This Row],[Gesamtcode]],Tabelle6[Gesamtcode],0))&amp;" "&amp;INDEX(Tabelle6[Aktorkanal],MATCH(Tabelle7[[#This Row],[Gesamtcode]],Tabelle6[Gesamtcode],0))</f>
        <v>- -</v>
      </c>
    </row>
    <row r="575" spans="2:15" x14ac:dyDescent="0.25">
      <c r="B575" t="s">
        <v>389</v>
      </c>
      <c r="C575" t="e">
        <f>INDEX(Tabelle132[Zone],MATCH(Tabelle7[[#This Row],[Gesamtcode]],Tabelle132[Gesamtcode],0))</f>
        <v>#N/A</v>
      </c>
      <c r="D575" t="e">
        <f>INDEX(Tabelle132[Raum],MATCH(Tabelle7[[#This Row],[Gesamtcode]],Tabelle132[Gesamtcode],0))</f>
        <v>#N/A</v>
      </c>
      <c r="E575" t="e">
        <f>INDEX(Tabelle132[Bezeichnung],MATCH(Tabelle7[[#This Row],[Gesamtcode]],Tabelle132[Gesamtcode],0))</f>
        <v>#N/A</v>
      </c>
      <c r="F575" t="e">
        <f>"_"&amp;INDEX(Tabelle132[Geräte/Gewerke],MATCH(Tabelle7[[#This Row],[Gesamtcode]],Tabelle132[Gesamtcode],0))</f>
        <v>#N/A</v>
      </c>
      <c r="G575" t="e">
        <f>INDEX(Tabelle13[Gewerknr.],MATCH(Tabelle7[[#This Row],[Gewerke]],Tabelle13[Hauptgruppe],0))</f>
        <v>#N/A</v>
      </c>
      <c r="H575" t="s">
        <v>380</v>
      </c>
      <c r="I575" t="e">
        <f ca="1">INDEX(Tabelle134[Funktionsbereichsnr.],MATCH(Tabelle7[[#This Row],[Funktionsbereiche]],INDIRECT("Tabelle134["&amp;Tabelle7[[#This Row],[Gewerke]]&amp;"]"),0))</f>
        <v>#N/A</v>
      </c>
      <c r="J575" t="e">
        <f>Tabelle7[[#This Row],[Gesamtcode]]&amp;"_"&amp;Tabelle7[[#This Row],[Zone]]&amp;"_"&amp;Tabelle7[[#This Row],[Raum]]&amp;"_"&amp;Tabelle7[[#This Row],[Bezeichnung]]</f>
        <v>#N/A</v>
      </c>
      <c r="K575">
        <v>8</v>
      </c>
      <c r="L575" t="e">
        <f>Tabelle7[[#This Row],[Hauptgruppe]]&amp;"/-/-"</f>
        <v>#N/A</v>
      </c>
      <c r="M575" t="e">
        <f ca="1">Tabelle7[[#This Row],[Hauptgruppe]]&amp;"/"&amp;Tabelle7[[#This Row],[Mittelgruppe]]&amp;"/-"</f>
        <v>#N/A</v>
      </c>
      <c r="N575" t="e">
        <f ca="1">Tabelle7[[#This Row],[Hauptgruppe]]&amp;"/"&amp;Tabelle7[[#This Row],[Mittelgruppe]]&amp;"/"&amp;Tabelle7[[#This Row],[Untergruppe]]</f>
        <v>#N/A</v>
      </c>
      <c r="O575" t="e">
        <f>INDEX(Tabelle6[Aktor],MATCH(Tabelle7[[#This Row],[Gesamtcode]],Tabelle6[Gesamtcode],0))&amp;" "&amp;INDEX(Tabelle6[Aktorkanal],MATCH(Tabelle7[[#This Row],[Gesamtcode]],Tabelle6[Gesamtcode],0))</f>
        <v>#N/A</v>
      </c>
    </row>
    <row r="576" spans="2:15" x14ac:dyDescent="0.25">
      <c r="B576" t="s">
        <v>390</v>
      </c>
      <c r="C576" t="e">
        <f>INDEX(Tabelle132[Zone],MATCH(Tabelle7[[#This Row],[Gesamtcode]],Tabelle132[Gesamtcode],0))</f>
        <v>#N/A</v>
      </c>
      <c r="D576" t="e">
        <f>INDEX(Tabelle132[Raum],MATCH(Tabelle7[[#This Row],[Gesamtcode]],Tabelle132[Gesamtcode],0))</f>
        <v>#N/A</v>
      </c>
      <c r="E576" t="e">
        <f>INDEX(Tabelle132[Bezeichnung],MATCH(Tabelle7[[#This Row],[Gesamtcode]],Tabelle132[Gesamtcode],0))</f>
        <v>#N/A</v>
      </c>
      <c r="F576" t="e">
        <f>"_"&amp;INDEX(Tabelle132[Geräte/Gewerke],MATCH(Tabelle7[[#This Row],[Gesamtcode]],Tabelle132[Gesamtcode],0))</f>
        <v>#N/A</v>
      </c>
      <c r="G576" t="e">
        <f>INDEX(Tabelle13[Gewerknr.],MATCH(Tabelle7[[#This Row],[Gewerke]],Tabelle13[Hauptgruppe],0))</f>
        <v>#N/A</v>
      </c>
      <c r="H576" t="s">
        <v>380</v>
      </c>
      <c r="I576" t="e">
        <f ca="1">INDEX(Tabelle134[Funktionsbereichsnr.],MATCH(Tabelle7[[#This Row],[Funktionsbereiche]],INDIRECT("Tabelle134["&amp;Tabelle7[[#This Row],[Gewerke]]&amp;"]"),0))</f>
        <v>#N/A</v>
      </c>
      <c r="J576" t="e">
        <f>Tabelle7[[#This Row],[Gesamtcode]]&amp;"_"&amp;Tabelle7[[#This Row],[Zone]]&amp;"_"&amp;Tabelle7[[#This Row],[Raum]]&amp;"_"&amp;Tabelle7[[#This Row],[Bezeichnung]]</f>
        <v>#N/A</v>
      </c>
      <c r="K576">
        <v>9</v>
      </c>
      <c r="L576" t="e">
        <f>Tabelle7[[#This Row],[Hauptgruppe]]&amp;"/-/-"</f>
        <v>#N/A</v>
      </c>
      <c r="M576" t="e">
        <f ca="1">Tabelle7[[#This Row],[Hauptgruppe]]&amp;"/"&amp;Tabelle7[[#This Row],[Mittelgruppe]]&amp;"/-"</f>
        <v>#N/A</v>
      </c>
      <c r="N576" t="e">
        <f ca="1">Tabelle7[[#This Row],[Hauptgruppe]]&amp;"/"&amp;Tabelle7[[#This Row],[Mittelgruppe]]&amp;"/"&amp;Tabelle7[[#This Row],[Untergruppe]]</f>
        <v>#N/A</v>
      </c>
      <c r="O576" t="e">
        <f>INDEX(Tabelle6[Aktor],MATCH(Tabelle7[[#This Row],[Gesamtcode]],Tabelle6[Gesamtcode],0))&amp;" "&amp;INDEX(Tabelle6[Aktorkanal],MATCH(Tabelle7[[#This Row],[Gesamtcode]],Tabelle6[Gesamtcode],0))</f>
        <v>#N/A</v>
      </c>
    </row>
    <row r="577" spans="2:15" x14ac:dyDescent="0.25">
      <c r="B577" t="s">
        <v>373</v>
      </c>
      <c r="C577" t="e">
        <f>INDEX(Tabelle132[Zone],MATCH(Tabelle7[[#This Row],[Gesamtcode]],Tabelle132[Gesamtcode],0))</f>
        <v>#N/A</v>
      </c>
      <c r="D577" t="e">
        <f>INDEX(Tabelle132[Raum],MATCH(Tabelle7[[#This Row],[Gesamtcode]],Tabelle132[Gesamtcode],0))</f>
        <v>#N/A</v>
      </c>
      <c r="E577" t="e">
        <f>INDEX(Tabelle132[Bezeichnung],MATCH(Tabelle7[[#This Row],[Gesamtcode]],Tabelle132[Gesamtcode],0))</f>
        <v>#N/A</v>
      </c>
      <c r="F577" t="e">
        <f>"_"&amp;INDEX(Tabelle132[Geräte/Gewerke],MATCH(Tabelle7[[#This Row],[Gesamtcode]],Tabelle132[Gesamtcode],0))</f>
        <v>#N/A</v>
      </c>
      <c r="G577" t="e">
        <f>INDEX(Tabelle13[Gewerknr.],MATCH(Tabelle7[[#This Row],[Gewerke]],Tabelle13[Hauptgruppe],0))</f>
        <v>#N/A</v>
      </c>
      <c r="H577" t="s">
        <v>391</v>
      </c>
      <c r="I577" t="e">
        <f ca="1">INDEX(Tabelle134[Funktionsbereichsnr.],MATCH(Tabelle7[[#This Row],[Funktionsbereiche]],INDIRECT("Tabelle134["&amp;Tabelle7[[#This Row],[Gewerke]]&amp;"]"),0))</f>
        <v>#N/A</v>
      </c>
      <c r="J577" t="e">
        <f>Tabelle7[[#This Row],[Gesamtcode]]&amp;"_"&amp;Tabelle7[[#This Row],[Zone]]&amp;"_"&amp;Tabelle7[[#This Row],[Raum]]&amp;"_"&amp;Tabelle7[[#This Row],[Bezeichnung]]</f>
        <v>#N/A</v>
      </c>
      <c r="K577">
        <v>0</v>
      </c>
      <c r="L577" t="e">
        <f>Tabelle7[[#This Row],[Hauptgruppe]]&amp;"/-/-"</f>
        <v>#N/A</v>
      </c>
      <c r="M577" t="e">
        <f ca="1">Tabelle7[[#This Row],[Hauptgruppe]]&amp;"/"&amp;Tabelle7[[#This Row],[Mittelgruppe]]&amp;"/-"</f>
        <v>#N/A</v>
      </c>
      <c r="N577" t="e">
        <f ca="1">Tabelle7[[#This Row],[Hauptgruppe]]&amp;"/"&amp;Tabelle7[[#This Row],[Mittelgruppe]]&amp;"/"&amp;Tabelle7[[#This Row],[Untergruppe]]</f>
        <v>#N/A</v>
      </c>
      <c r="O577" t="e">
        <f>INDEX(Tabelle6[Aktor],MATCH(Tabelle7[[#This Row],[Gesamtcode]],Tabelle6[Gesamtcode],0))&amp;" "&amp;INDEX(Tabelle6[Aktorkanal],MATCH(Tabelle7[[#This Row],[Gesamtcode]],Tabelle6[Gesamtcode],0))</f>
        <v>#N/A</v>
      </c>
    </row>
    <row r="578" spans="2:15" x14ac:dyDescent="0.25">
      <c r="B578" t="s">
        <v>376</v>
      </c>
      <c r="C578" t="str">
        <f>INDEX(Tabelle132[Zone],MATCH(Tabelle7[[#This Row],[Gesamtcode]],Tabelle132[Gesamtcode],0))</f>
        <v>Obergeschoss</v>
      </c>
      <c r="D578" t="str">
        <f>INDEX(Tabelle132[Raum],MATCH(Tabelle7[[#This Row],[Gesamtcode]],Tabelle132[Gesamtcode],0))</f>
        <v>Kinderzimmer 2</v>
      </c>
      <c r="E578" t="str">
        <f>INDEX(Tabelle132[Bezeichnung],MATCH(Tabelle7[[#This Row],[Gesamtcode]],Tabelle132[Gesamtcode],0))</f>
        <v>Präsenzmelder</v>
      </c>
      <c r="F578" t="str">
        <f>"_"&amp;INDEX(Tabelle132[Geräte/Gewerke],MATCH(Tabelle7[[#This Row],[Gesamtcode]],Tabelle132[Gesamtcode],0))</f>
        <v>_Sensoren</v>
      </c>
      <c r="G578">
        <f>INDEX(Tabelle13[Gewerknr.],MATCH(Tabelle7[[#This Row],[Gewerke]],Tabelle13[Hauptgruppe],0))</f>
        <v>5</v>
      </c>
      <c r="H578" t="s">
        <v>391</v>
      </c>
      <c r="I578">
        <f ca="1">INDEX(Tabelle134[Funktionsbereichsnr.],MATCH(Tabelle7[[#This Row],[Funktionsbereiche]],INDIRECT("Tabelle134["&amp;Tabelle7[[#This Row],[Gewerke]]&amp;"]"),0))</f>
        <v>5</v>
      </c>
      <c r="J578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78">
        <v>1</v>
      </c>
      <c r="L578" t="str">
        <f>Tabelle7[[#This Row],[Hauptgruppe]]&amp;"/-/-"</f>
        <v>5/-/-</v>
      </c>
      <c r="M578" t="str">
        <f ca="1">Tabelle7[[#This Row],[Hauptgruppe]]&amp;"/"&amp;Tabelle7[[#This Row],[Mittelgruppe]]&amp;"/-"</f>
        <v>5/5/-</v>
      </c>
      <c r="N578" t="str">
        <f ca="1">Tabelle7[[#This Row],[Hauptgruppe]]&amp;"/"&amp;Tabelle7[[#This Row],[Mittelgruppe]]&amp;"/"&amp;Tabelle7[[#This Row],[Untergruppe]]</f>
        <v>5/5/1</v>
      </c>
      <c r="O578" t="str">
        <f>INDEX(Tabelle6[Aktor],MATCH(Tabelle7[[#This Row],[Gesamtcode]],Tabelle6[Gesamtcode],0))&amp;" "&amp;INDEX(Tabelle6[Aktorkanal],MATCH(Tabelle7[[#This Row],[Gesamtcode]],Tabelle6[Gesamtcode],0))</f>
        <v>- -</v>
      </c>
    </row>
    <row r="579" spans="2:15" x14ac:dyDescent="0.25">
      <c r="B579" t="s">
        <v>373</v>
      </c>
      <c r="C579" t="e">
        <f>INDEX(Tabelle132[Zone],MATCH(Tabelle7[[#This Row],[Gesamtcode]],Tabelle132[Gesamtcode],0))</f>
        <v>#N/A</v>
      </c>
      <c r="D579" t="e">
        <f>INDEX(Tabelle132[Raum],MATCH(Tabelle7[[#This Row],[Gesamtcode]],Tabelle132[Gesamtcode],0))</f>
        <v>#N/A</v>
      </c>
      <c r="E579" t="e">
        <f>INDEX(Tabelle132[Bezeichnung],MATCH(Tabelle7[[#This Row],[Gesamtcode]],Tabelle132[Gesamtcode],0))</f>
        <v>#N/A</v>
      </c>
      <c r="F579" t="e">
        <f>"_"&amp;INDEX(Tabelle132[Geräte/Gewerke],MATCH(Tabelle7[[#This Row],[Gesamtcode]],Tabelle132[Gesamtcode],0))</f>
        <v>#N/A</v>
      </c>
      <c r="G579" t="e">
        <f>INDEX(Tabelle13[Gewerknr.],MATCH(Tabelle7[[#This Row],[Gewerke]],Tabelle13[Hauptgruppe],0))</f>
        <v>#N/A</v>
      </c>
      <c r="H579" t="s">
        <v>391</v>
      </c>
      <c r="I579" t="e">
        <f ca="1">INDEX(Tabelle134[Funktionsbereichsnr.],MATCH(Tabelle7[[#This Row],[Funktionsbereiche]],INDIRECT("Tabelle134["&amp;Tabelle7[[#This Row],[Gewerke]]&amp;"]"),0))</f>
        <v>#N/A</v>
      </c>
      <c r="J579" t="e">
        <f>Tabelle7[[#This Row],[Gesamtcode]]&amp;"_"&amp;Tabelle7[[#This Row],[Zone]]&amp;"_"&amp;Tabelle7[[#This Row],[Raum]]&amp;"_"&amp;Tabelle7[[#This Row],[Bezeichnung]]</f>
        <v>#N/A</v>
      </c>
      <c r="K579">
        <v>2</v>
      </c>
      <c r="L579" t="e">
        <f>Tabelle7[[#This Row],[Hauptgruppe]]&amp;"/-/-"</f>
        <v>#N/A</v>
      </c>
      <c r="M579" t="e">
        <f ca="1">Tabelle7[[#This Row],[Hauptgruppe]]&amp;"/"&amp;Tabelle7[[#This Row],[Mittelgruppe]]&amp;"/-"</f>
        <v>#N/A</v>
      </c>
      <c r="N579" t="e">
        <f ca="1">Tabelle7[[#This Row],[Hauptgruppe]]&amp;"/"&amp;Tabelle7[[#This Row],[Mittelgruppe]]&amp;"/"&amp;Tabelle7[[#This Row],[Untergruppe]]</f>
        <v>#N/A</v>
      </c>
      <c r="O579" t="e">
        <f>INDEX(Tabelle6[Aktor],MATCH(Tabelle7[[#This Row],[Gesamtcode]],Tabelle6[Gesamtcode],0))&amp;" "&amp;INDEX(Tabelle6[Aktorkanal],MATCH(Tabelle7[[#This Row],[Gesamtcode]],Tabelle6[Gesamtcode],0))</f>
        <v>#N/A</v>
      </c>
    </row>
    <row r="580" spans="2:15" x14ac:dyDescent="0.25">
      <c r="B580" t="s">
        <v>376</v>
      </c>
      <c r="C580" t="str">
        <f>INDEX(Tabelle132[Zone],MATCH(Tabelle7[[#This Row],[Gesamtcode]],Tabelle132[Gesamtcode],0))</f>
        <v>Obergeschoss</v>
      </c>
      <c r="D580" t="str">
        <f>INDEX(Tabelle132[Raum],MATCH(Tabelle7[[#This Row],[Gesamtcode]],Tabelle132[Gesamtcode],0))</f>
        <v>Kinderzimmer 2</v>
      </c>
      <c r="E580" t="str">
        <f>INDEX(Tabelle132[Bezeichnung],MATCH(Tabelle7[[#This Row],[Gesamtcode]],Tabelle132[Gesamtcode],0))</f>
        <v>Präsenzmelder</v>
      </c>
      <c r="F580" t="str">
        <f>"_"&amp;INDEX(Tabelle132[Geräte/Gewerke],MATCH(Tabelle7[[#This Row],[Gesamtcode]],Tabelle132[Gesamtcode],0))</f>
        <v>_Sensoren</v>
      </c>
      <c r="G580">
        <f>INDEX(Tabelle13[Gewerknr.],MATCH(Tabelle7[[#This Row],[Gewerke]],Tabelle13[Hauptgruppe],0))</f>
        <v>5</v>
      </c>
      <c r="H580" t="s">
        <v>391</v>
      </c>
      <c r="I580">
        <f ca="1">INDEX(Tabelle134[Funktionsbereichsnr.],MATCH(Tabelle7[[#This Row],[Funktionsbereiche]],INDIRECT("Tabelle134["&amp;Tabelle7[[#This Row],[Gewerke]]&amp;"]"),0))</f>
        <v>5</v>
      </c>
      <c r="J580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80">
        <v>3</v>
      </c>
      <c r="L580" t="str">
        <f>Tabelle7[[#This Row],[Hauptgruppe]]&amp;"/-/-"</f>
        <v>5/-/-</v>
      </c>
      <c r="M580" t="str">
        <f ca="1">Tabelle7[[#This Row],[Hauptgruppe]]&amp;"/"&amp;Tabelle7[[#This Row],[Mittelgruppe]]&amp;"/-"</f>
        <v>5/5/-</v>
      </c>
      <c r="N580" t="str">
        <f ca="1">Tabelle7[[#This Row],[Hauptgruppe]]&amp;"/"&amp;Tabelle7[[#This Row],[Mittelgruppe]]&amp;"/"&amp;Tabelle7[[#This Row],[Untergruppe]]</f>
        <v>5/5/3</v>
      </c>
      <c r="O580" t="str">
        <f>INDEX(Tabelle6[Aktor],MATCH(Tabelle7[[#This Row],[Gesamtcode]],Tabelle6[Gesamtcode],0))&amp;" "&amp;INDEX(Tabelle6[Aktorkanal],MATCH(Tabelle7[[#This Row],[Gesamtcode]],Tabelle6[Gesamtcode],0))</f>
        <v>- -</v>
      </c>
    </row>
    <row r="581" spans="2:15" x14ac:dyDescent="0.25">
      <c r="B581" t="s">
        <v>373</v>
      </c>
      <c r="C581" t="e">
        <f>INDEX(Tabelle132[Zone],MATCH(Tabelle7[[#This Row],[Gesamtcode]],Tabelle132[Gesamtcode],0))</f>
        <v>#N/A</v>
      </c>
      <c r="D581" t="e">
        <f>INDEX(Tabelle132[Raum],MATCH(Tabelle7[[#This Row],[Gesamtcode]],Tabelle132[Gesamtcode],0))</f>
        <v>#N/A</v>
      </c>
      <c r="E581" t="e">
        <f>INDEX(Tabelle132[Bezeichnung],MATCH(Tabelle7[[#This Row],[Gesamtcode]],Tabelle132[Gesamtcode],0))</f>
        <v>#N/A</v>
      </c>
      <c r="F581" t="e">
        <f>"_"&amp;INDEX(Tabelle132[Geräte/Gewerke],MATCH(Tabelle7[[#This Row],[Gesamtcode]],Tabelle132[Gesamtcode],0))</f>
        <v>#N/A</v>
      </c>
      <c r="G581" t="e">
        <f>INDEX(Tabelle13[Gewerknr.],MATCH(Tabelle7[[#This Row],[Gewerke]],Tabelle13[Hauptgruppe],0))</f>
        <v>#N/A</v>
      </c>
      <c r="H581" t="s">
        <v>392</v>
      </c>
      <c r="I581" t="e">
        <f ca="1">INDEX(Tabelle134[Funktionsbereichsnr.],MATCH(Tabelle7[[#This Row],[Funktionsbereiche]],INDIRECT("Tabelle134["&amp;Tabelle7[[#This Row],[Gewerke]]&amp;"]"),0))</f>
        <v>#N/A</v>
      </c>
      <c r="J581" t="e">
        <f>Tabelle7[[#This Row],[Gesamtcode]]&amp;"_"&amp;Tabelle7[[#This Row],[Zone]]&amp;"_"&amp;Tabelle7[[#This Row],[Raum]]&amp;"_"&amp;Tabelle7[[#This Row],[Bezeichnung]]</f>
        <v>#N/A</v>
      </c>
      <c r="K581">
        <v>0</v>
      </c>
      <c r="L581" t="e">
        <f>Tabelle7[[#This Row],[Hauptgruppe]]&amp;"/-/-"</f>
        <v>#N/A</v>
      </c>
      <c r="M581" t="e">
        <f ca="1">Tabelle7[[#This Row],[Hauptgruppe]]&amp;"/"&amp;Tabelle7[[#This Row],[Mittelgruppe]]&amp;"/-"</f>
        <v>#N/A</v>
      </c>
      <c r="N581" t="e">
        <f ca="1">Tabelle7[[#This Row],[Hauptgruppe]]&amp;"/"&amp;Tabelle7[[#This Row],[Mittelgruppe]]&amp;"/"&amp;Tabelle7[[#This Row],[Untergruppe]]</f>
        <v>#N/A</v>
      </c>
      <c r="O581" t="e">
        <f>INDEX(Tabelle6[Aktor],MATCH(Tabelle7[[#This Row],[Gesamtcode]],Tabelle6[Gesamtcode],0))&amp;" "&amp;INDEX(Tabelle6[Aktorkanal],MATCH(Tabelle7[[#This Row],[Gesamtcode]],Tabelle6[Gesamtcode],0))</f>
        <v>#N/A</v>
      </c>
    </row>
    <row r="582" spans="2:15" x14ac:dyDescent="0.25">
      <c r="B582" t="s">
        <v>376</v>
      </c>
      <c r="C582" t="str">
        <f>INDEX(Tabelle132[Zone],MATCH(Tabelle7[[#This Row],[Gesamtcode]],Tabelle132[Gesamtcode],0))</f>
        <v>Obergeschoss</v>
      </c>
      <c r="D582" t="str">
        <f>INDEX(Tabelle132[Raum],MATCH(Tabelle7[[#This Row],[Gesamtcode]],Tabelle132[Gesamtcode],0))</f>
        <v>Kinderzimmer 2</v>
      </c>
      <c r="E582" t="str">
        <f>INDEX(Tabelle132[Bezeichnung],MATCH(Tabelle7[[#This Row],[Gesamtcode]],Tabelle132[Gesamtcode],0))</f>
        <v>Präsenzmelder</v>
      </c>
      <c r="F582" t="str">
        <f>"_"&amp;INDEX(Tabelle132[Geräte/Gewerke],MATCH(Tabelle7[[#This Row],[Gesamtcode]],Tabelle132[Gesamtcode],0))</f>
        <v>_Sensoren</v>
      </c>
      <c r="G582">
        <f>INDEX(Tabelle13[Gewerknr.],MATCH(Tabelle7[[#This Row],[Gewerke]],Tabelle13[Hauptgruppe],0))</f>
        <v>5</v>
      </c>
      <c r="H582" t="s">
        <v>392</v>
      </c>
      <c r="I582">
        <f ca="1">INDEX(Tabelle134[Funktionsbereichsnr.],MATCH(Tabelle7[[#This Row],[Funktionsbereiche]],INDIRECT("Tabelle134["&amp;Tabelle7[[#This Row],[Gewerke]]&amp;"]"),0))</f>
        <v>3</v>
      </c>
      <c r="J582" t="str">
        <f>Tabelle7[[#This Row],[Gesamtcode]]&amp;"_"&amp;Tabelle7[[#This Row],[Zone]]&amp;"_"&amp;Tabelle7[[#This Row],[Raum]]&amp;"_"&amp;Tabelle7[[#This Row],[Bezeichnung]]</f>
        <v>O2.PM1_Obergeschoss_Kinderzimmer 2_Präsenzmelder</v>
      </c>
      <c r="K582">
        <v>1</v>
      </c>
      <c r="L582" t="str">
        <f>Tabelle7[[#This Row],[Hauptgruppe]]&amp;"/-/-"</f>
        <v>5/-/-</v>
      </c>
      <c r="M582" t="str">
        <f ca="1">Tabelle7[[#This Row],[Hauptgruppe]]&amp;"/"&amp;Tabelle7[[#This Row],[Mittelgruppe]]&amp;"/-"</f>
        <v>5/3/-</v>
      </c>
      <c r="N582" t="str">
        <f ca="1">Tabelle7[[#This Row],[Hauptgruppe]]&amp;"/"&amp;Tabelle7[[#This Row],[Mittelgruppe]]&amp;"/"&amp;Tabelle7[[#This Row],[Untergruppe]]</f>
        <v>5/3/1</v>
      </c>
      <c r="O582" t="str">
        <f>INDEX(Tabelle6[Aktor],MATCH(Tabelle7[[#This Row],[Gesamtcode]],Tabelle6[Gesamtcode],0))&amp;" "&amp;INDEX(Tabelle6[Aktorkanal],MATCH(Tabelle7[[#This Row],[Gesamtcode]],Tabelle6[Gesamtcode],0))</f>
        <v>- -</v>
      </c>
    </row>
    <row r="583" spans="2:15" x14ac:dyDescent="0.25">
      <c r="B583" t="s">
        <v>393</v>
      </c>
      <c r="C583" t="e">
        <f>INDEX(Tabelle132[Zone],MATCH(Tabelle7[[#This Row],[Gesamtcode]],Tabelle132[Gesamtcode],0))</f>
        <v>#N/A</v>
      </c>
      <c r="D583" t="e">
        <f>INDEX(Tabelle132[Raum],MATCH(Tabelle7[[#This Row],[Gesamtcode]],Tabelle132[Gesamtcode],0))</f>
        <v>#N/A</v>
      </c>
      <c r="E583" t="e">
        <f>INDEX(Tabelle132[Bezeichnung],MATCH(Tabelle7[[#This Row],[Gesamtcode]],Tabelle132[Gesamtcode],0))</f>
        <v>#N/A</v>
      </c>
      <c r="F583" t="e">
        <f>"_"&amp;INDEX(Tabelle132[Geräte/Gewerke],MATCH(Tabelle7[[#This Row],[Gesamtcode]],Tabelle132[Gesamtcode],0))</f>
        <v>#N/A</v>
      </c>
      <c r="G583" t="e">
        <f>INDEX(Tabelle13[Gewerknr.],MATCH(Tabelle7[[#This Row],[Gewerke]],Tabelle13[Hauptgruppe],0))</f>
        <v>#N/A</v>
      </c>
      <c r="H583" t="s">
        <v>394</v>
      </c>
      <c r="I583" t="e">
        <f ca="1">INDEX(Tabelle134[Funktionsbereichsnr.],MATCH(Tabelle7[[#This Row],[Funktionsbereiche]],INDIRECT("Tabelle134["&amp;Tabelle7[[#This Row],[Gewerke]]&amp;"]"),0))</f>
        <v>#N/A</v>
      </c>
      <c r="J583" t="e">
        <f>Tabelle7[[#This Row],[Gesamtcode]]&amp;"_"&amp;Tabelle7[[#This Row],[Zone]]&amp;"_"&amp;Tabelle7[[#This Row],[Raum]]&amp;"_"&amp;Tabelle7[[#This Row],[Bezeichnung]]</f>
        <v>#N/A</v>
      </c>
      <c r="K583">
        <v>0</v>
      </c>
      <c r="L583" t="e">
        <f>Tabelle7[[#This Row],[Hauptgruppe]]&amp;"/-/-"</f>
        <v>#N/A</v>
      </c>
      <c r="M583" t="e">
        <f ca="1">Tabelle7[[#This Row],[Hauptgruppe]]&amp;"/"&amp;Tabelle7[[#This Row],[Mittelgruppe]]&amp;"/-"</f>
        <v>#N/A</v>
      </c>
      <c r="N583" t="e">
        <f ca="1">Tabelle7[[#This Row],[Hauptgruppe]]&amp;"/"&amp;Tabelle7[[#This Row],[Mittelgruppe]]&amp;"/"&amp;Tabelle7[[#This Row],[Untergruppe]]</f>
        <v>#N/A</v>
      </c>
      <c r="O583" t="e">
        <f>INDEX(Tabelle6[Aktor],MATCH(Tabelle7[[#This Row],[Gesamtcode]],Tabelle6[Gesamtcode],0))&amp;" "&amp;INDEX(Tabelle6[Aktorkanal],MATCH(Tabelle7[[#This Row],[Gesamtcode]],Tabelle6[Gesamtcode],0))</f>
        <v>#N/A</v>
      </c>
    </row>
    <row r="584" spans="2:15" x14ac:dyDescent="0.25">
      <c r="B584" t="s">
        <v>395</v>
      </c>
      <c r="C584" t="e">
        <f>INDEX(Tabelle132[Zone],MATCH(Tabelle7[[#This Row],[Gesamtcode]],Tabelle132[Gesamtcode],0))</f>
        <v>#N/A</v>
      </c>
      <c r="D584" t="e">
        <f>INDEX(Tabelle132[Raum],MATCH(Tabelle7[[#This Row],[Gesamtcode]],Tabelle132[Gesamtcode],0))</f>
        <v>#N/A</v>
      </c>
      <c r="E584" t="e">
        <f>INDEX(Tabelle132[Bezeichnung],MATCH(Tabelle7[[#This Row],[Gesamtcode]],Tabelle132[Gesamtcode],0))</f>
        <v>#N/A</v>
      </c>
      <c r="F584" t="e">
        <f>"_"&amp;INDEX(Tabelle132[Geräte/Gewerke],MATCH(Tabelle7[[#This Row],[Gesamtcode]],Tabelle132[Gesamtcode],0))</f>
        <v>#N/A</v>
      </c>
      <c r="G584" t="e">
        <f>INDEX(Tabelle13[Gewerknr.],MATCH(Tabelle7[[#This Row],[Gewerke]],Tabelle13[Hauptgruppe],0))</f>
        <v>#N/A</v>
      </c>
      <c r="H584" t="s">
        <v>394</v>
      </c>
      <c r="I584" t="e">
        <f ca="1">INDEX(Tabelle134[Funktionsbereichsnr.],MATCH(Tabelle7[[#This Row],[Funktionsbereiche]],INDIRECT("Tabelle134["&amp;Tabelle7[[#This Row],[Gewerke]]&amp;"]"),0))</f>
        <v>#N/A</v>
      </c>
      <c r="J584" t="e">
        <f>Tabelle7[[#This Row],[Gesamtcode]]&amp;"_"&amp;Tabelle7[[#This Row],[Zone]]&amp;"_"&amp;Tabelle7[[#This Row],[Raum]]&amp;"_"&amp;Tabelle7[[#This Row],[Bezeichnung]]</f>
        <v>#N/A</v>
      </c>
      <c r="K584">
        <v>1</v>
      </c>
      <c r="L584" t="e">
        <f>Tabelle7[[#This Row],[Hauptgruppe]]&amp;"/-/-"</f>
        <v>#N/A</v>
      </c>
      <c r="M584" t="e">
        <f ca="1">Tabelle7[[#This Row],[Hauptgruppe]]&amp;"/"&amp;Tabelle7[[#This Row],[Mittelgruppe]]&amp;"/-"</f>
        <v>#N/A</v>
      </c>
      <c r="N584" t="e">
        <f ca="1">Tabelle7[[#This Row],[Hauptgruppe]]&amp;"/"&amp;Tabelle7[[#This Row],[Mittelgruppe]]&amp;"/"&amp;Tabelle7[[#This Row],[Untergruppe]]</f>
        <v>#N/A</v>
      </c>
      <c r="O584" t="e">
        <f>INDEX(Tabelle6[Aktor],MATCH(Tabelle7[[#This Row],[Gesamtcode]],Tabelle6[Gesamtcode],0))&amp;" "&amp;INDEX(Tabelle6[Aktorkanal],MATCH(Tabelle7[[#This Row],[Gesamtcode]],Tabelle6[Gesamtcode],0))</f>
        <v>#N/A</v>
      </c>
    </row>
    <row r="585" spans="2:15" x14ac:dyDescent="0.25">
      <c r="B585" t="s">
        <v>396</v>
      </c>
      <c r="C585" t="e">
        <f>INDEX(Tabelle132[Zone],MATCH(Tabelle7[[#This Row],[Gesamtcode]],Tabelle132[Gesamtcode],0))</f>
        <v>#N/A</v>
      </c>
      <c r="D585" t="e">
        <f>INDEX(Tabelle132[Raum],MATCH(Tabelle7[[#This Row],[Gesamtcode]],Tabelle132[Gesamtcode],0))</f>
        <v>#N/A</v>
      </c>
      <c r="E585" t="e">
        <f>INDEX(Tabelle132[Bezeichnung],MATCH(Tabelle7[[#This Row],[Gesamtcode]],Tabelle132[Gesamtcode],0))</f>
        <v>#N/A</v>
      </c>
      <c r="F585" t="e">
        <f>"_"&amp;INDEX(Tabelle132[Geräte/Gewerke],MATCH(Tabelle7[[#This Row],[Gesamtcode]],Tabelle132[Gesamtcode],0))</f>
        <v>#N/A</v>
      </c>
      <c r="G585" t="e">
        <f>INDEX(Tabelle13[Gewerknr.],MATCH(Tabelle7[[#This Row],[Gewerke]],Tabelle13[Hauptgruppe],0))</f>
        <v>#N/A</v>
      </c>
      <c r="H585" t="s">
        <v>397</v>
      </c>
      <c r="I585" t="e">
        <f ca="1">INDEX(Tabelle134[Funktionsbereichsnr.],MATCH(Tabelle7[[#This Row],[Funktionsbereiche]],INDIRECT("Tabelle134["&amp;Tabelle7[[#This Row],[Gewerke]]&amp;"]"),0))</f>
        <v>#N/A</v>
      </c>
      <c r="J585" t="e">
        <f>Tabelle7[[#This Row],[Gesamtcode]]&amp;"_"&amp;Tabelle7[[#This Row],[Zone]]&amp;"_"&amp;Tabelle7[[#This Row],[Raum]]&amp;"_"&amp;Tabelle7[[#This Row],[Bezeichnung]]</f>
        <v>#N/A</v>
      </c>
      <c r="K585">
        <v>0</v>
      </c>
      <c r="L585" t="e">
        <f>Tabelle7[[#This Row],[Hauptgruppe]]&amp;"/-/-"</f>
        <v>#N/A</v>
      </c>
      <c r="M585" t="e">
        <f ca="1">Tabelle7[[#This Row],[Hauptgruppe]]&amp;"/"&amp;Tabelle7[[#This Row],[Mittelgruppe]]&amp;"/-"</f>
        <v>#N/A</v>
      </c>
      <c r="N585" t="e">
        <f ca="1">Tabelle7[[#This Row],[Hauptgruppe]]&amp;"/"&amp;Tabelle7[[#This Row],[Mittelgruppe]]&amp;"/"&amp;Tabelle7[[#This Row],[Untergruppe]]</f>
        <v>#N/A</v>
      </c>
      <c r="O585" t="e">
        <f>INDEX(Tabelle6[Aktor],MATCH(Tabelle7[[#This Row],[Gesamtcode]],Tabelle6[Gesamtcode],0))&amp;" "&amp;INDEX(Tabelle6[Aktorkanal],MATCH(Tabelle7[[#This Row],[Gesamtcode]],Tabelle6[Gesamtcode],0))</f>
        <v>#N/A</v>
      </c>
    </row>
    <row r="586" spans="2:15" x14ac:dyDescent="0.25">
      <c r="B586" t="s">
        <v>398</v>
      </c>
      <c r="C586" t="e">
        <f>INDEX(Tabelle132[Zone],MATCH(Tabelle7[[#This Row],[Gesamtcode]],Tabelle132[Gesamtcode],0))</f>
        <v>#N/A</v>
      </c>
      <c r="D586" t="e">
        <f>INDEX(Tabelle132[Raum],MATCH(Tabelle7[[#This Row],[Gesamtcode]],Tabelle132[Gesamtcode],0))</f>
        <v>#N/A</v>
      </c>
      <c r="E586" t="e">
        <f>INDEX(Tabelle132[Bezeichnung],MATCH(Tabelle7[[#This Row],[Gesamtcode]],Tabelle132[Gesamtcode],0))</f>
        <v>#N/A</v>
      </c>
      <c r="F586" t="e">
        <f>"_"&amp;INDEX(Tabelle132[Geräte/Gewerke],MATCH(Tabelle7[[#This Row],[Gesamtcode]],Tabelle132[Gesamtcode],0))</f>
        <v>#N/A</v>
      </c>
      <c r="G586" t="e">
        <f>INDEX(Tabelle13[Gewerknr.],MATCH(Tabelle7[[#This Row],[Gewerke]],Tabelle13[Hauptgruppe],0))</f>
        <v>#N/A</v>
      </c>
      <c r="H586" t="s">
        <v>397</v>
      </c>
      <c r="I586" t="e">
        <f ca="1">INDEX(Tabelle134[Funktionsbereichsnr.],MATCH(Tabelle7[[#This Row],[Funktionsbereiche]],INDIRECT("Tabelle134["&amp;Tabelle7[[#This Row],[Gewerke]]&amp;"]"),0))</f>
        <v>#N/A</v>
      </c>
      <c r="J586" t="e">
        <f>Tabelle7[[#This Row],[Gesamtcode]]&amp;"_"&amp;Tabelle7[[#This Row],[Zone]]&amp;"_"&amp;Tabelle7[[#This Row],[Raum]]&amp;"_"&amp;Tabelle7[[#This Row],[Bezeichnung]]</f>
        <v>#N/A</v>
      </c>
      <c r="K586">
        <v>1</v>
      </c>
      <c r="L586" t="e">
        <f>Tabelle7[[#This Row],[Hauptgruppe]]&amp;"/-/-"</f>
        <v>#N/A</v>
      </c>
      <c r="M586" t="e">
        <f ca="1">Tabelle7[[#This Row],[Hauptgruppe]]&amp;"/"&amp;Tabelle7[[#This Row],[Mittelgruppe]]&amp;"/-"</f>
        <v>#N/A</v>
      </c>
      <c r="N586" t="e">
        <f ca="1">Tabelle7[[#This Row],[Hauptgruppe]]&amp;"/"&amp;Tabelle7[[#This Row],[Mittelgruppe]]&amp;"/"&amp;Tabelle7[[#This Row],[Untergruppe]]</f>
        <v>#N/A</v>
      </c>
      <c r="O586" t="e">
        <f>INDEX(Tabelle6[Aktor],MATCH(Tabelle7[[#This Row],[Gesamtcode]],Tabelle6[Gesamtcode],0))&amp;" "&amp;INDEX(Tabelle6[Aktorkanal],MATCH(Tabelle7[[#This Row],[Gesamtcode]],Tabelle6[Gesamtcode],0))</f>
        <v>#N/A</v>
      </c>
    </row>
    <row r="587" spans="2:15" x14ac:dyDescent="0.25">
      <c r="B587" t="s">
        <v>399</v>
      </c>
      <c r="C587" t="e">
        <f>INDEX(Tabelle132[Zone],MATCH(Tabelle7[[#This Row],[Gesamtcode]],Tabelle132[Gesamtcode],0))</f>
        <v>#N/A</v>
      </c>
      <c r="D587" t="e">
        <f>INDEX(Tabelle132[Raum],MATCH(Tabelle7[[#This Row],[Gesamtcode]],Tabelle132[Gesamtcode],0))</f>
        <v>#N/A</v>
      </c>
      <c r="E587" t="e">
        <f>INDEX(Tabelle132[Bezeichnung],MATCH(Tabelle7[[#This Row],[Gesamtcode]],Tabelle132[Gesamtcode],0))</f>
        <v>#N/A</v>
      </c>
      <c r="F587" t="e">
        <f>"_"&amp;INDEX(Tabelle132[Geräte/Gewerke],MATCH(Tabelle7[[#This Row],[Gesamtcode]],Tabelle132[Gesamtcode],0))</f>
        <v>#N/A</v>
      </c>
      <c r="G587" t="e">
        <f>INDEX(Tabelle13[Gewerknr.],MATCH(Tabelle7[[#This Row],[Gewerke]],Tabelle13[Hauptgruppe],0))</f>
        <v>#N/A</v>
      </c>
      <c r="H587" t="s">
        <v>397</v>
      </c>
      <c r="I587" t="e">
        <f ca="1">INDEX(Tabelle134[Funktionsbereichsnr.],MATCH(Tabelle7[[#This Row],[Funktionsbereiche]],INDIRECT("Tabelle134["&amp;Tabelle7[[#This Row],[Gewerke]]&amp;"]"),0))</f>
        <v>#N/A</v>
      </c>
      <c r="J587" t="e">
        <f>Tabelle7[[#This Row],[Gesamtcode]]&amp;"_"&amp;Tabelle7[[#This Row],[Zone]]&amp;"_"&amp;Tabelle7[[#This Row],[Raum]]&amp;"_"&amp;Tabelle7[[#This Row],[Bezeichnung]]</f>
        <v>#N/A</v>
      </c>
      <c r="K587">
        <v>10</v>
      </c>
      <c r="L587" t="e">
        <f>Tabelle7[[#This Row],[Hauptgruppe]]&amp;"/-/-"</f>
        <v>#N/A</v>
      </c>
      <c r="M587" t="e">
        <f ca="1">Tabelle7[[#This Row],[Hauptgruppe]]&amp;"/"&amp;Tabelle7[[#This Row],[Mittelgruppe]]&amp;"/-"</f>
        <v>#N/A</v>
      </c>
      <c r="N587" t="e">
        <f ca="1">Tabelle7[[#This Row],[Hauptgruppe]]&amp;"/"&amp;Tabelle7[[#This Row],[Mittelgruppe]]&amp;"/"&amp;Tabelle7[[#This Row],[Untergruppe]]</f>
        <v>#N/A</v>
      </c>
      <c r="O587" t="e">
        <f>INDEX(Tabelle6[Aktor],MATCH(Tabelle7[[#This Row],[Gesamtcode]],Tabelle6[Gesamtcode],0))&amp;" "&amp;INDEX(Tabelle6[Aktorkanal],MATCH(Tabelle7[[#This Row],[Gesamtcode]],Tabelle6[Gesamtcode],0))</f>
        <v>#N/A</v>
      </c>
    </row>
    <row r="588" spans="2:15" x14ac:dyDescent="0.25">
      <c r="B588" t="s">
        <v>400</v>
      </c>
      <c r="C588" t="e">
        <f>INDEX(Tabelle132[Zone],MATCH(Tabelle7[[#This Row],[Gesamtcode]],Tabelle132[Gesamtcode],0))</f>
        <v>#N/A</v>
      </c>
      <c r="D588" t="e">
        <f>INDEX(Tabelle132[Raum],MATCH(Tabelle7[[#This Row],[Gesamtcode]],Tabelle132[Gesamtcode],0))</f>
        <v>#N/A</v>
      </c>
      <c r="E588" t="e">
        <f>INDEX(Tabelle132[Bezeichnung],MATCH(Tabelle7[[#This Row],[Gesamtcode]],Tabelle132[Gesamtcode],0))</f>
        <v>#N/A</v>
      </c>
      <c r="F588" t="e">
        <f>"_"&amp;INDEX(Tabelle132[Geräte/Gewerke],MATCH(Tabelle7[[#This Row],[Gesamtcode]],Tabelle132[Gesamtcode],0))</f>
        <v>#N/A</v>
      </c>
      <c r="G588" t="e">
        <f>INDEX(Tabelle13[Gewerknr.],MATCH(Tabelle7[[#This Row],[Gewerke]],Tabelle13[Hauptgruppe],0))</f>
        <v>#N/A</v>
      </c>
      <c r="H588" t="s">
        <v>397</v>
      </c>
      <c r="I588" t="e">
        <f ca="1">INDEX(Tabelle134[Funktionsbereichsnr.],MATCH(Tabelle7[[#This Row],[Funktionsbereiche]],INDIRECT("Tabelle134["&amp;Tabelle7[[#This Row],[Gewerke]]&amp;"]"),0))</f>
        <v>#N/A</v>
      </c>
      <c r="J588" t="e">
        <f>Tabelle7[[#This Row],[Gesamtcode]]&amp;"_"&amp;Tabelle7[[#This Row],[Zone]]&amp;"_"&amp;Tabelle7[[#This Row],[Raum]]&amp;"_"&amp;Tabelle7[[#This Row],[Bezeichnung]]</f>
        <v>#N/A</v>
      </c>
      <c r="K588">
        <v>11</v>
      </c>
      <c r="L588" t="e">
        <f>Tabelle7[[#This Row],[Hauptgruppe]]&amp;"/-/-"</f>
        <v>#N/A</v>
      </c>
      <c r="M588" t="e">
        <f ca="1">Tabelle7[[#This Row],[Hauptgruppe]]&amp;"/"&amp;Tabelle7[[#This Row],[Mittelgruppe]]&amp;"/-"</f>
        <v>#N/A</v>
      </c>
      <c r="N588" t="e">
        <f ca="1">Tabelle7[[#This Row],[Hauptgruppe]]&amp;"/"&amp;Tabelle7[[#This Row],[Mittelgruppe]]&amp;"/"&amp;Tabelle7[[#This Row],[Untergruppe]]</f>
        <v>#N/A</v>
      </c>
      <c r="O588" t="e">
        <f>INDEX(Tabelle6[Aktor],MATCH(Tabelle7[[#This Row],[Gesamtcode]],Tabelle6[Gesamtcode],0))&amp;" "&amp;INDEX(Tabelle6[Aktorkanal],MATCH(Tabelle7[[#This Row],[Gesamtcode]],Tabelle6[Gesamtcode],0))</f>
        <v>#N/A</v>
      </c>
    </row>
    <row r="589" spans="2:15" x14ac:dyDescent="0.25">
      <c r="B589" t="s">
        <v>401</v>
      </c>
      <c r="C589" t="e">
        <f>INDEX(Tabelle132[Zone],MATCH(Tabelle7[[#This Row],[Gesamtcode]],Tabelle132[Gesamtcode],0))</f>
        <v>#N/A</v>
      </c>
      <c r="D589" t="e">
        <f>INDEX(Tabelle132[Raum],MATCH(Tabelle7[[#This Row],[Gesamtcode]],Tabelle132[Gesamtcode],0))</f>
        <v>#N/A</v>
      </c>
      <c r="E589" t="e">
        <f>INDEX(Tabelle132[Bezeichnung],MATCH(Tabelle7[[#This Row],[Gesamtcode]],Tabelle132[Gesamtcode],0))</f>
        <v>#N/A</v>
      </c>
      <c r="F589" t="e">
        <f>"_"&amp;INDEX(Tabelle132[Geräte/Gewerke],MATCH(Tabelle7[[#This Row],[Gesamtcode]],Tabelle132[Gesamtcode],0))</f>
        <v>#N/A</v>
      </c>
      <c r="G589" t="e">
        <f>INDEX(Tabelle13[Gewerknr.],MATCH(Tabelle7[[#This Row],[Gewerke]],Tabelle13[Hauptgruppe],0))</f>
        <v>#N/A</v>
      </c>
      <c r="H589" t="s">
        <v>397</v>
      </c>
      <c r="I589" t="e">
        <f ca="1">INDEX(Tabelle134[Funktionsbereichsnr.],MATCH(Tabelle7[[#This Row],[Funktionsbereiche]],INDIRECT("Tabelle134["&amp;Tabelle7[[#This Row],[Gewerke]]&amp;"]"),0))</f>
        <v>#N/A</v>
      </c>
      <c r="J589" t="e">
        <f>Tabelle7[[#This Row],[Gesamtcode]]&amp;"_"&amp;Tabelle7[[#This Row],[Zone]]&amp;"_"&amp;Tabelle7[[#This Row],[Raum]]&amp;"_"&amp;Tabelle7[[#This Row],[Bezeichnung]]</f>
        <v>#N/A</v>
      </c>
      <c r="K589">
        <v>12</v>
      </c>
      <c r="L589" t="e">
        <f>Tabelle7[[#This Row],[Hauptgruppe]]&amp;"/-/-"</f>
        <v>#N/A</v>
      </c>
      <c r="M589" t="e">
        <f ca="1">Tabelle7[[#This Row],[Hauptgruppe]]&amp;"/"&amp;Tabelle7[[#This Row],[Mittelgruppe]]&amp;"/-"</f>
        <v>#N/A</v>
      </c>
      <c r="N589" t="e">
        <f ca="1">Tabelle7[[#This Row],[Hauptgruppe]]&amp;"/"&amp;Tabelle7[[#This Row],[Mittelgruppe]]&amp;"/"&amp;Tabelle7[[#This Row],[Untergruppe]]</f>
        <v>#N/A</v>
      </c>
      <c r="O589" t="e">
        <f>INDEX(Tabelle6[Aktor],MATCH(Tabelle7[[#This Row],[Gesamtcode]],Tabelle6[Gesamtcode],0))&amp;" "&amp;INDEX(Tabelle6[Aktorkanal],MATCH(Tabelle7[[#This Row],[Gesamtcode]],Tabelle6[Gesamtcode],0))</f>
        <v>#N/A</v>
      </c>
    </row>
    <row r="590" spans="2:15" x14ac:dyDescent="0.25">
      <c r="B590" t="s">
        <v>402</v>
      </c>
      <c r="C590" t="e">
        <f>INDEX(Tabelle132[Zone],MATCH(Tabelle7[[#This Row],[Gesamtcode]],Tabelle132[Gesamtcode],0))</f>
        <v>#N/A</v>
      </c>
      <c r="D590" t="e">
        <f>INDEX(Tabelle132[Raum],MATCH(Tabelle7[[#This Row],[Gesamtcode]],Tabelle132[Gesamtcode],0))</f>
        <v>#N/A</v>
      </c>
      <c r="E590" t="e">
        <f>INDEX(Tabelle132[Bezeichnung],MATCH(Tabelle7[[#This Row],[Gesamtcode]],Tabelle132[Gesamtcode],0))</f>
        <v>#N/A</v>
      </c>
      <c r="F590" t="e">
        <f>"_"&amp;INDEX(Tabelle132[Geräte/Gewerke],MATCH(Tabelle7[[#This Row],[Gesamtcode]],Tabelle132[Gesamtcode],0))</f>
        <v>#N/A</v>
      </c>
      <c r="G590" t="e">
        <f>INDEX(Tabelle13[Gewerknr.],MATCH(Tabelle7[[#This Row],[Gewerke]],Tabelle13[Hauptgruppe],0))</f>
        <v>#N/A</v>
      </c>
      <c r="H590" t="s">
        <v>397</v>
      </c>
      <c r="I590" t="e">
        <f ca="1">INDEX(Tabelle134[Funktionsbereichsnr.],MATCH(Tabelle7[[#This Row],[Funktionsbereiche]],INDIRECT("Tabelle134["&amp;Tabelle7[[#This Row],[Gewerke]]&amp;"]"),0))</f>
        <v>#N/A</v>
      </c>
      <c r="J590" t="e">
        <f>Tabelle7[[#This Row],[Gesamtcode]]&amp;"_"&amp;Tabelle7[[#This Row],[Zone]]&amp;"_"&amp;Tabelle7[[#This Row],[Raum]]&amp;"_"&amp;Tabelle7[[#This Row],[Bezeichnung]]</f>
        <v>#N/A</v>
      </c>
      <c r="K590">
        <v>13</v>
      </c>
      <c r="L590" t="e">
        <f>Tabelle7[[#This Row],[Hauptgruppe]]&amp;"/-/-"</f>
        <v>#N/A</v>
      </c>
      <c r="M590" t="e">
        <f ca="1">Tabelle7[[#This Row],[Hauptgruppe]]&amp;"/"&amp;Tabelle7[[#This Row],[Mittelgruppe]]&amp;"/-"</f>
        <v>#N/A</v>
      </c>
      <c r="N590" t="e">
        <f ca="1">Tabelle7[[#This Row],[Hauptgruppe]]&amp;"/"&amp;Tabelle7[[#This Row],[Mittelgruppe]]&amp;"/"&amp;Tabelle7[[#This Row],[Untergruppe]]</f>
        <v>#N/A</v>
      </c>
      <c r="O590" t="e">
        <f>INDEX(Tabelle6[Aktor],MATCH(Tabelle7[[#This Row],[Gesamtcode]],Tabelle6[Gesamtcode],0))&amp;" "&amp;INDEX(Tabelle6[Aktorkanal],MATCH(Tabelle7[[#This Row],[Gesamtcode]],Tabelle6[Gesamtcode],0))</f>
        <v>#N/A</v>
      </c>
    </row>
    <row r="591" spans="2:15" x14ac:dyDescent="0.25">
      <c r="B591" t="s">
        <v>403</v>
      </c>
      <c r="C591" t="e">
        <f>INDEX(Tabelle132[Zone],MATCH(Tabelle7[[#This Row],[Gesamtcode]],Tabelle132[Gesamtcode],0))</f>
        <v>#N/A</v>
      </c>
      <c r="D591" t="e">
        <f>INDEX(Tabelle132[Raum],MATCH(Tabelle7[[#This Row],[Gesamtcode]],Tabelle132[Gesamtcode],0))</f>
        <v>#N/A</v>
      </c>
      <c r="E591" t="e">
        <f>INDEX(Tabelle132[Bezeichnung],MATCH(Tabelle7[[#This Row],[Gesamtcode]],Tabelle132[Gesamtcode],0))</f>
        <v>#N/A</v>
      </c>
      <c r="F591" t="e">
        <f>"_"&amp;INDEX(Tabelle132[Geräte/Gewerke],MATCH(Tabelle7[[#This Row],[Gesamtcode]],Tabelle132[Gesamtcode],0))</f>
        <v>#N/A</v>
      </c>
      <c r="G591" t="e">
        <f>INDEX(Tabelle13[Gewerknr.],MATCH(Tabelle7[[#This Row],[Gewerke]],Tabelle13[Hauptgruppe],0))</f>
        <v>#N/A</v>
      </c>
      <c r="H591" t="s">
        <v>397</v>
      </c>
      <c r="I591" t="e">
        <f ca="1">INDEX(Tabelle134[Funktionsbereichsnr.],MATCH(Tabelle7[[#This Row],[Funktionsbereiche]],INDIRECT("Tabelle134["&amp;Tabelle7[[#This Row],[Gewerke]]&amp;"]"),0))</f>
        <v>#N/A</v>
      </c>
      <c r="J591" t="e">
        <f>Tabelle7[[#This Row],[Gesamtcode]]&amp;"_"&amp;Tabelle7[[#This Row],[Zone]]&amp;"_"&amp;Tabelle7[[#This Row],[Raum]]&amp;"_"&amp;Tabelle7[[#This Row],[Bezeichnung]]</f>
        <v>#N/A</v>
      </c>
      <c r="K591">
        <v>14</v>
      </c>
      <c r="L591" t="e">
        <f>Tabelle7[[#This Row],[Hauptgruppe]]&amp;"/-/-"</f>
        <v>#N/A</v>
      </c>
      <c r="M591" t="e">
        <f ca="1">Tabelle7[[#This Row],[Hauptgruppe]]&amp;"/"&amp;Tabelle7[[#This Row],[Mittelgruppe]]&amp;"/-"</f>
        <v>#N/A</v>
      </c>
      <c r="N591" t="e">
        <f ca="1">Tabelle7[[#This Row],[Hauptgruppe]]&amp;"/"&amp;Tabelle7[[#This Row],[Mittelgruppe]]&amp;"/"&amp;Tabelle7[[#This Row],[Untergruppe]]</f>
        <v>#N/A</v>
      </c>
      <c r="O591" t="e">
        <f>INDEX(Tabelle6[Aktor],MATCH(Tabelle7[[#This Row],[Gesamtcode]],Tabelle6[Gesamtcode],0))&amp;" "&amp;INDEX(Tabelle6[Aktorkanal],MATCH(Tabelle7[[#This Row],[Gesamtcode]],Tabelle6[Gesamtcode],0))</f>
        <v>#N/A</v>
      </c>
    </row>
    <row r="592" spans="2:15" x14ac:dyDescent="0.25">
      <c r="B592" t="s">
        <v>404</v>
      </c>
      <c r="C592" t="e">
        <f>INDEX(Tabelle132[Zone],MATCH(Tabelle7[[#This Row],[Gesamtcode]],Tabelle132[Gesamtcode],0))</f>
        <v>#N/A</v>
      </c>
      <c r="D592" t="e">
        <f>INDEX(Tabelle132[Raum],MATCH(Tabelle7[[#This Row],[Gesamtcode]],Tabelle132[Gesamtcode],0))</f>
        <v>#N/A</v>
      </c>
      <c r="E592" t="e">
        <f>INDEX(Tabelle132[Bezeichnung],MATCH(Tabelle7[[#This Row],[Gesamtcode]],Tabelle132[Gesamtcode],0))</f>
        <v>#N/A</v>
      </c>
      <c r="F592" t="e">
        <f>"_"&amp;INDEX(Tabelle132[Geräte/Gewerke],MATCH(Tabelle7[[#This Row],[Gesamtcode]],Tabelle132[Gesamtcode],0))</f>
        <v>#N/A</v>
      </c>
      <c r="G592" t="e">
        <f>INDEX(Tabelle13[Gewerknr.],MATCH(Tabelle7[[#This Row],[Gewerke]],Tabelle13[Hauptgruppe],0))</f>
        <v>#N/A</v>
      </c>
      <c r="H592" t="s">
        <v>397</v>
      </c>
      <c r="I592" t="e">
        <f ca="1">INDEX(Tabelle134[Funktionsbereichsnr.],MATCH(Tabelle7[[#This Row],[Funktionsbereiche]],INDIRECT("Tabelle134["&amp;Tabelle7[[#This Row],[Gewerke]]&amp;"]"),0))</f>
        <v>#N/A</v>
      </c>
      <c r="J592" t="e">
        <f>Tabelle7[[#This Row],[Gesamtcode]]&amp;"_"&amp;Tabelle7[[#This Row],[Zone]]&amp;"_"&amp;Tabelle7[[#This Row],[Raum]]&amp;"_"&amp;Tabelle7[[#This Row],[Bezeichnung]]</f>
        <v>#N/A</v>
      </c>
      <c r="K592">
        <v>15</v>
      </c>
      <c r="L592" t="e">
        <f>Tabelle7[[#This Row],[Hauptgruppe]]&amp;"/-/-"</f>
        <v>#N/A</v>
      </c>
      <c r="M592" t="e">
        <f ca="1">Tabelle7[[#This Row],[Hauptgruppe]]&amp;"/"&amp;Tabelle7[[#This Row],[Mittelgruppe]]&amp;"/-"</f>
        <v>#N/A</v>
      </c>
      <c r="N592" t="e">
        <f ca="1">Tabelle7[[#This Row],[Hauptgruppe]]&amp;"/"&amp;Tabelle7[[#This Row],[Mittelgruppe]]&amp;"/"&amp;Tabelle7[[#This Row],[Untergruppe]]</f>
        <v>#N/A</v>
      </c>
      <c r="O592" t="e">
        <f>INDEX(Tabelle6[Aktor],MATCH(Tabelle7[[#This Row],[Gesamtcode]],Tabelle6[Gesamtcode],0))&amp;" "&amp;INDEX(Tabelle6[Aktorkanal],MATCH(Tabelle7[[#This Row],[Gesamtcode]],Tabelle6[Gesamtcode],0))</f>
        <v>#N/A</v>
      </c>
    </row>
    <row r="593" spans="2:15" x14ac:dyDescent="0.25">
      <c r="B593" t="s">
        <v>405</v>
      </c>
      <c r="C593" t="e">
        <f>INDEX(Tabelle132[Zone],MATCH(Tabelle7[[#This Row],[Gesamtcode]],Tabelle132[Gesamtcode],0))</f>
        <v>#N/A</v>
      </c>
      <c r="D593" t="e">
        <f>INDEX(Tabelle132[Raum],MATCH(Tabelle7[[#This Row],[Gesamtcode]],Tabelle132[Gesamtcode],0))</f>
        <v>#N/A</v>
      </c>
      <c r="E593" t="e">
        <f>INDEX(Tabelle132[Bezeichnung],MATCH(Tabelle7[[#This Row],[Gesamtcode]],Tabelle132[Gesamtcode],0))</f>
        <v>#N/A</v>
      </c>
      <c r="F593" t="e">
        <f>"_"&amp;INDEX(Tabelle132[Geräte/Gewerke],MATCH(Tabelle7[[#This Row],[Gesamtcode]],Tabelle132[Gesamtcode],0))</f>
        <v>#N/A</v>
      </c>
      <c r="G593" t="e">
        <f>INDEX(Tabelle13[Gewerknr.],MATCH(Tabelle7[[#This Row],[Gewerke]],Tabelle13[Hauptgruppe],0))</f>
        <v>#N/A</v>
      </c>
      <c r="H593" t="s">
        <v>397</v>
      </c>
      <c r="I593" t="e">
        <f ca="1">INDEX(Tabelle134[Funktionsbereichsnr.],MATCH(Tabelle7[[#This Row],[Funktionsbereiche]],INDIRECT("Tabelle134["&amp;Tabelle7[[#This Row],[Gewerke]]&amp;"]"),0))</f>
        <v>#N/A</v>
      </c>
      <c r="J593" t="e">
        <f>Tabelle7[[#This Row],[Gesamtcode]]&amp;"_"&amp;Tabelle7[[#This Row],[Zone]]&amp;"_"&amp;Tabelle7[[#This Row],[Raum]]&amp;"_"&amp;Tabelle7[[#This Row],[Bezeichnung]]</f>
        <v>#N/A</v>
      </c>
      <c r="K593">
        <v>16</v>
      </c>
      <c r="L593" t="e">
        <f>Tabelle7[[#This Row],[Hauptgruppe]]&amp;"/-/-"</f>
        <v>#N/A</v>
      </c>
      <c r="M593" t="e">
        <f ca="1">Tabelle7[[#This Row],[Hauptgruppe]]&amp;"/"&amp;Tabelle7[[#This Row],[Mittelgruppe]]&amp;"/-"</f>
        <v>#N/A</v>
      </c>
      <c r="N593" t="e">
        <f ca="1">Tabelle7[[#This Row],[Hauptgruppe]]&amp;"/"&amp;Tabelle7[[#This Row],[Mittelgruppe]]&amp;"/"&amp;Tabelle7[[#This Row],[Untergruppe]]</f>
        <v>#N/A</v>
      </c>
      <c r="O593" t="e">
        <f>INDEX(Tabelle6[Aktor],MATCH(Tabelle7[[#This Row],[Gesamtcode]],Tabelle6[Gesamtcode],0))&amp;" "&amp;INDEX(Tabelle6[Aktorkanal],MATCH(Tabelle7[[#This Row],[Gesamtcode]],Tabelle6[Gesamtcode],0))</f>
        <v>#N/A</v>
      </c>
    </row>
    <row r="594" spans="2:15" x14ac:dyDescent="0.25">
      <c r="B594" t="s">
        <v>406</v>
      </c>
      <c r="C594" t="e">
        <f>INDEX(Tabelle132[Zone],MATCH(Tabelle7[[#This Row],[Gesamtcode]],Tabelle132[Gesamtcode],0))</f>
        <v>#N/A</v>
      </c>
      <c r="D594" t="e">
        <f>INDEX(Tabelle132[Raum],MATCH(Tabelle7[[#This Row],[Gesamtcode]],Tabelle132[Gesamtcode],0))</f>
        <v>#N/A</v>
      </c>
      <c r="E594" t="e">
        <f>INDEX(Tabelle132[Bezeichnung],MATCH(Tabelle7[[#This Row],[Gesamtcode]],Tabelle132[Gesamtcode],0))</f>
        <v>#N/A</v>
      </c>
      <c r="F594" t="e">
        <f>"_"&amp;INDEX(Tabelle132[Geräte/Gewerke],MATCH(Tabelle7[[#This Row],[Gesamtcode]],Tabelle132[Gesamtcode],0))</f>
        <v>#N/A</v>
      </c>
      <c r="G594" t="e">
        <f>INDEX(Tabelle13[Gewerknr.],MATCH(Tabelle7[[#This Row],[Gewerke]],Tabelle13[Hauptgruppe],0))</f>
        <v>#N/A</v>
      </c>
      <c r="H594" t="s">
        <v>397</v>
      </c>
      <c r="I594" t="e">
        <f ca="1">INDEX(Tabelle134[Funktionsbereichsnr.],MATCH(Tabelle7[[#This Row],[Funktionsbereiche]],INDIRECT("Tabelle134["&amp;Tabelle7[[#This Row],[Gewerke]]&amp;"]"),0))</f>
        <v>#N/A</v>
      </c>
      <c r="J594" t="e">
        <f>Tabelle7[[#This Row],[Gesamtcode]]&amp;"_"&amp;Tabelle7[[#This Row],[Zone]]&amp;"_"&amp;Tabelle7[[#This Row],[Raum]]&amp;"_"&amp;Tabelle7[[#This Row],[Bezeichnung]]</f>
        <v>#N/A</v>
      </c>
      <c r="K594">
        <v>17</v>
      </c>
      <c r="L594" t="e">
        <f>Tabelle7[[#This Row],[Hauptgruppe]]&amp;"/-/-"</f>
        <v>#N/A</v>
      </c>
      <c r="M594" t="e">
        <f ca="1">Tabelle7[[#This Row],[Hauptgruppe]]&amp;"/"&amp;Tabelle7[[#This Row],[Mittelgruppe]]&amp;"/-"</f>
        <v>#N/A</v>
      </c>
      <c r="N594" t="e">
        <f ca="1">Tabelle7[[#This Row],[Hauptgruppe]]&amp;"/"&amp;Tabelle7[[#This Row],[Mittelgruppe]]&amp;"/"&amp;Tabelle7[[#This Row],[Untergruppe]]</f>
        <v>#N/A</v>
      </c>
      <c r="O594" t="e">
        <f>INDEX(Tabelle6[Aktor],MATCH(Tabelle7[[#This Row],[Gesamtcode]],Tabelle6[Gesamtcode],0))&amp;" "&amp;INDEX(Tabelle6[Aktorkanal],MATCH(Tabelle7[[#This Row],[Gesamtcode]],Tabelle6[Gesamtcode],0))</f>
        <v>#N/A</v>
      </c>
    </row>
    <row r="595" spans="2:15" x14ac:dyDescent="0.25">
      <c r="B595" t="s">
        <v>407</v>
      </c>
      <c r="C595" t="e">
        <f>INDEX(Tabelle132[Zone],MATCH(Tabelle7[[#This Row],[Gesamtcode]],Tabelle132[Gesamtcode],0))</f>
        <v>#N/A</v>
      </c>
      <c r="D595" t="e">
        <f>INDEX(Tabelle132[Raum],MATCH(Tabelle7[[#This Row],[Gesamtcode]],Tabelle132[Gesamtcode],0))</f>
        <v>#N/A</v>
      </c>
      <c r="E595" t="e">
        <f>INDEX(Tabelle132[Bezeichnung],MATCH(Tabelle7[[#This Row],[Gesamtcode]],Tabelle132[Gesamtcode],0))</f>
        <v>#N/A</v>
      </c>
      <c r="F595" t="e">
        <f>"_"&amp;INDEX(Tabelle132[Geräte/Gewerke],MATCH(Tabelle7[[#This Row],[Gesamtcode]],Tabelle132[Gesamtcode],0))</f>
        <v>#N/A</v>
      </c>
      <c r="G595" t="e">
        <f>INDEX(Tabelle13[Gewerknr.],MATCH(Tabelle7[[#This Row],[Gewerke]],Tabelle13[Hauptgruppe],0))</f>
        <v>#N/A</v>
      </c>
      <c r="H595" t="s">
        <v>397</v>
      </c>
      <c r="I595" t="e">
        <f ca="1">INDEX(Tabelle134[Funktionsbereichsnr.],MATCH(Tabelle7[[#This Row],[Funktionsbereiche]],INDIRECT("Tabelle134["&amp;Tabelle7[[#This Row],[Gewerke]]&amp;"]"),0))</f>
        <v>#N/A</v>
      </c>
      <c r="J595" t="e">
        <f>Tabelle7[[#This Row],[Gesamtcode]]&amp;"_"&amp;Tabelle7[[#This Row],[Zone]]&amp;"_"&amp;Tabelle7[[#This Row],[Raum]]&amp;"_"&amp;Tabelle7[[#This Row],[Bezeichnung]]</f>
        <v>#N/A</v>
      </c>
      <c r="K595">
        <v>18</v>
      </c>
      <c r="L595" t="e">
        <f>Tabelle7[[#This Row],[Hauptgruppe]]&amp;"/-/-"</f>
        <v>#N/A</v>
      </c>
      <c r="M595" t="e">
        <f ca="1">Tabelle7[[#This Row],[Hauptgruppe]]&amp;"/"&amp;Tabelle7[[#This Row],[Mittelgruppe]]&amp;"/-"</f>
        <v>#N/A</v>
      </c>
      <c r="N595" t="e">
        <f ca="1">Tabelle7[[#This Row],[Hauptgruppe]]&amp;"/"&amp;Tabelle7[[#This Row],[Mittelgruppe]]&amp;"/"&amp;Tabelle7[[#This Row],[Untergruppe]]</f>
        <v>#N/A</v>
      </c>
      <c r="O595" t="e">
        <f>INDEX(Tabelle6[Aktor],MATCH(Tabelle7[[#This Row],[Gesamtcode]],Tabelle6[Gesamtcode],0))&amp;" "&amp;INDEX(Tabelle6[Aktorkanal],MATCH(Tabelle7[[#This Row],[Gesamtcode]],Tabelle6[Gesamtcode],0))</f>
        <v>#N/A</v>
      </c>
    </row>
    <row r="596" spans="2:15" x14ac:dyDescent="0.25">
      <c r="B596" t="s">
        <v>408</v>
      </c>
      <c r="C596" t="e">
        <f>INDEX(Tabelle132[Zone],MATCH(Tabelle7[[#This Row],[Gesamtcode]],Tabelle132[Gesamtcode],0))</f>
        <v>#N/A</v>
      </c>
      <c r="D596" t="e">
        <f>INDEX(Tabelle132[Raum],MATCH(Tabelle7[[#This Row],[Gesamtcode]],Tabelle132[Gesamtcode],0))</f>
        <v>#N/A</v>
      </c>
      <c r="E596" t="e">
        <f>INDEX(Tabelle132[Bezeichnung],MATCH(Tabelle7[[#This Row],[Gesamtcode]],Tabelle132[Gesamtcode],0))</f>
        <v>#N/A</v>
      </c>
      <c r="F596" t="e">
        <f>"_"&amp;INDEX(Tabelle132[Geräte/Gewerke],MATCH(Tabelle7[[#This Row],[Gesamtcode]],Tabelle132[Gesamtcode],0))</f>
        <v>#N/A</v>
      </c>
      <c r="G596" t="e">
        <f>INDEX(Tabelle13[Gewerknr.],MATCH(Tabelle7[[#This Row],[Gewerke]],Tabelle13[Hauptgruppe],0))</f>
        <v>#N/A</v>
      </c>
      <c r="H596" t="s">
        <v>397</v>
      </c>
      <c r="I596" t="e">
        <f ca="1">INDEX(Tabelle134[Funktionsbereichsnr.],MATCH(Tabelle7[[#This Row],[Funktionsbereiche]],INDIRECT("Tabelle134["&amp;Tabelle7[[#This Row],[Gewerke]]&amp;"]"),0))</f>
        <v>#N/A</v>
      </c>
      <c r="J596" t="e">
        <f>Tabelle7[[#This Row],[Gesamtcode]]&amp;"_"&amp;Tabelle7[[#This Row],[Zone]]&amp;"_"&amp;Tabelle7[[#This Row],[Raum]]&amp;"_"&amp;Tabelle7[[#This Row],[Bezeichnung]]</f>
        <v>#N/A</v>
      </c>
      <c r="K596">
        <v>19</v>
      </c>
      <c r="L596" t="e">
        <f>Tabelle7[[#This Row],[Hauptgruppe]]&amp;"/-/-"</f>
        <v>#N/A</v>
      </c>
      <c r="M596" t="e">
        <f ca="1">Tabelle7[[#This Row],[Hauptgruppe]]&amp;"/"&amp;Tabelle7[[#This Row],[Mittelgruppe]]&amp;"/-"</f>
        <v>#N/A</v>
      </c>
      <c r="N596" t="e">
        <f ca="1">Tabelle7[[#This Row],[Hauptgruppe]]&amp;"/"&amp;Tabelle7[[#This Row],[Mittelgruppe]]&amp;"/"&amp;Tabelle7[[#This Row],[Untergruppe]]</f>
        <v>#N/A</v>
      </c>
      <c r="O596" t="e">
        <f>INDEX(Tabelle6[Aktor],MATCH(Tabelle7[[#This Row],[Gesamtcode]],Tabelle6[Gesamtcode],0))&amp;" "&amp;INDEX(Tabelle6[Aktorkanal],MATCH(Tabelle7[[#This Row],[Gesamtcode]],Tabelle6[Gesamtcode],0))</f>
        <v>#N/A</v>
      </c>
    </row>
    <row r="597" spans="2:15" x14ac:dyDescent="0.25">
      <c r="B597" t="s">
        <v>409</v>
      </c>
      <c r="C597" t="e">
        <f>INDEX(Tabelle132[Zone],MATCH(Tabelle7[[#This Row],[Gesamtcode]],Tabelle132[Gesamtcode],0))</f>
        <v>#N/A</v>
      </c>
      <c r="D597" t="e">
        <f>INDEX(Tabelle132[Raum],MATCH(Tabelle7[[#This Row],[Gesamtcode]],Tabelle132[Gesamtcode],0))</f>
        <v>#N/A</v>
      </c>
      <c r="E597" t="e">
        <f>INDEX(Tabelle132[Bezeichnung],MATCH(Tabelle7[[#This Row],[Gesamtcode]],Tabelle132[Gesamtcode],0))</f>
        <v>#N/A</v>
      </c>
      <c r="F597" t="e">
        <f>"_"&amp;INDEX(Tabelle132[Geräte/Gewerke],MATCH(Tabelle7[[#This Row],[Gesamtcode]],Tabelle132[Gesamtcode],0))</f>
        <v>#N/A</v>
      </c>
      <c r="G597" t="e">
        <f>INDEX(Tabelle13[Gewerknr.],MATCH(Tabelle7[[#This Row],[Gewerke]],Tabelle13[Hauptgruppe],0))</f>
        <v>#N/A</v>
      </c>
      <c r="H597" t="s">
        <v>397</v>
      </c>
      <c r="I597" t="e">
        <f ca="1">INDEX(Tabelle134[Funktionsbereichsnr.],MATCH(Tabelle7[[#This Row],[Funktionsbereiche]],INDIRECT("Tabelle134["&amp;Tabelle7[[#This Row],[Gewerke]]&amp;"]"),0))</f>
        <v>#N/A</v>
      </c>
      <c r="J597" t="e">
        <f>Tabelle7[[#This Row],[Gesamtcode]]&amp;"_"&amp;Tabelle7[[#This Row],[Zone]]&amp;"_"&amp;Tabelle7[[#This Row],[Raum]]&amp;"_"&amp;Tabelle7[[#This Row],[Bezeichnung]]</f>
        <v>#N/A</v>
      </c>
      <c r="K597">
        <v>2</v>
      </c>
      <c r="L597" t="e">
        <f>Tabelle7[[#This Row],[Hauptgruppe]]&amp;"/-/-"</f>
        <v>#N/A</v>
      </c>
      <c r="M597" t="e">
        <f ca="1">Tabelle7[[#This Row],[Hauptgruppe]]&amp;"/"&amp;Tabelle7[[#This Row],[Mittelgruppe]]&amp;"/-"</f>
        <v>#N/A</v>
      </c>
      <c r="N597" t="e">
        <f ca="1">Tabelle7[[#This Row],[Hauptgruppe]]&amp;"/"&amp;Tabelle7[[#This Row],[Mittelgruppe]]&amp;"/"&amp;Tabelle7[[#This Row],[Untergruppe]]</f>
        <v>#N/A</v>
      </c>
      <c r="O597" t="e">
        <f>INDEX(Tabelle6[Aktor],MATCH(Tabelle7[[#This Row],[Gesamtcode]],Tabelle6[Gesamtcode],0))&amp;" "&amp;INDEX(Tabelle6[Aktorkanal],MATCH(Tabelle7[[#This Row],[Gesamtcode]],Tabelle6[Gesamtcode],0))</f>
        <v>#N/A</v>
      </c>
    </row>
    <row r="598" spans="2:15" x14ac:dyDescent="0.25">
      <c r="B598" t="s">
        <v>410</v>
      </c>
      <c r="C598" t="e">
        <f>INDEX(Tabelle132[Zone],MATCH(Tabelle7[[#This Row],[Gesamtcode]],Tabelle132[Gesamtcode],0))</f>
        <v>#N/A</v>
      </c>
      <c r="D598" t="e">
        <f>INDEX(Tabelle132[Raum],MATCH(Tabelle7[[#This Row],[Gesamtcode]],Tabelle132[Gesamtcode],0))</f>
        <v>#N/A</v>
      </c>
      <c r="E598" t="e">
        <f>INDEX(Tabelle132[Bezeichnung],MATCH(Tabelle7[[#This Row],[Gesamtcode]],Tabelle132[Gesamtcode],0))</f>
        <v>#N/A</v>
      </c>
      <c r="F598" t="e">
        <f>"_"&amp;INDEX(Tabelle132[Geräte/Gewerke],MATCH(Tabelle7[[#This Row],[Gesamtcode]],Tabelle132[Gesamtcode],0))</f>
        <v>#N/A</v>
      </c>
      <c r="G598" t="e">
        <f>INDEX(Tabelle13[Gewerknr.],MATCH(Tabelle7[[#This Row],[Gewerke]],Tabelle13[Hauptgruppe],0))</f>
        <v>#N/A</v>
      </c>
      <c r="H598" t="s">
        <v>397</v>
      </c>
      <c r="I598" t="e">
        <f ca="1">INDEX(Tabelle134[Funktionsbereichsnr.],MATCH(Tabelle7[[#This Row],[Funktionsbereiche]],INDIRECT("Tabelle134["&amp;Tabelle7[[#This Row],[Gewerke]]&amp;"]"),0))</f>
        <v>#N/A</v>
      </c>
      <c r="J598" t="e">
        <f>Tabelle7[[#This Row],[Gesamtcode]]&amp;"_"&amp;Tabelle7[[#This Row],[Zone]]&amp;"_"&amp;Tabelle7[[#This Row],[Raum]]&amp;"_"&amp;Tabelle7[[#This Row],[Bezeichnung]]</f>
        <v>#N/A</v>
      </c>
      <c r="K598">
        <v>3</v>
      </c>
      <c r="L598" t="e">
        <f>Tabelle7[[#This Row],[Hauptgruppe]]&amp;"/-/-"</f>
        <v>#N/A</v>
      </c>
      <c r="M598" t="e">
        <f ca="1">Tabelle7[[#This Row],[Hauptgruppe]]&amp;"/"&amp;Tabelle7[[#This Row],[Mittelgruppe]]&amp;"/-"</f>
        <v>#N/A</v>
      </c>
      <c r="N598" t="e">
        <f ca="1">Tabelle7[[#This Row],[Hauptgruppe]]&amp;"/"&amp;Tabelle7[[#This Row],[Mittelgruppe]]&amp;"/"&amp;Tabelle7[[#This Row],[Untergruppe]]</f>
        <v>#N/A</v>
      </c>
      <c r="O598" t="e">
        <f>INDEX(Tabelle6[Aktor],MATCH(Tabelle7[[#This Row],[Gesamtcode]],Tabelle6[Gesamtcode],0))&amp;" "&amp;INDEX(Tabelle6[Aktorkanal],MATCH(Tabelle7[[#This Row],[Gesamtcode]],Tabelle6[Gesamtcode],0))</f>
        <v>#N/A</v>
      </c>
    </row>
    <row r="599" spans="2:15" x14ac:dyDescent="0.25">
      <c r="B599" t="s">
        <v>411</v>
      </c>
      <c r="C599" t="e">
        <f>INDEX(Tabelle132[Zone],MATCH(Tabelle7[[#This Row],[Gesamtcode]],Tabelle132[Gesamtcode],0))</f>
        <v>#N/A</v>
      </c>
      <c r="D599" t="e">
        <f>INDEX(Tabelle132[Raum],MATCH(Tabelle7[[#This Row],[Gesamtcode]],Tabelle132[Gesamtcode],0))</f>
        <v>#N/A</v>
      </c>
      <c r="E599" t="e">
        <f>INDEX(Tabelle132[Bezeichnung],MATCH(Tabelle7[[#This Row],[Gesamtcode]],Tabelle132[Gesamtcode],0))</f>
        <v>#N/A</v>
      </c>
      <c r="F599" t="e">
        <f>"_"&amp;INDEX(Tabelle132[Geräte/Gewerke],MATCH(Tabelle7[[#This Row],[Gesamtcode]],Tabelle132[Gesamtcode],0))</f>
        <v>#N/A</v>
      </c>
      <c r="G599" t="e">
        <f>INDEX(Tabelle13[Gewerknr.],MATCH(Tabelle7[[#This Row],[Gewerke]],Tabelle13[Hauptgruppe],0))</f>
        <v>#N/A</v>
      </c>
      <c r="H599" t="s">
        <v>397</v>
      </c>
      <c r="I599" t="e">
        <f ca="1">INDEX(Tabelle134[Funktionsbereichsnr.],MATCH(Tabelle7[[#This Row],[Funktionsbereiche]],INDIRECT("Tabelle134["&amp;Tabelle7[[#This Row],[Gewerke]]&amp;"]"),0))</f>
        <v>#N/A</v>
      </c>
      <c r="J599" t="e">
        <f>Tabelle7[[#This Row],[Gesamtcode]]&amp;"_"&amp;Tabelle7[[#This Row],[Zone]]&amp;"_"&amp;Tabelle7[[#This Row],[Raum]]&amp;"_"&amp;Tabelle7[[#This Row],[Bezeichnung]]</f>
        <v>#N/A</v>
      </c>
      <c r="K599">
        <v>4</v>
      </c>
      <c r="L599" t="e">
        <f>Tabelle7[[#This Row],[Hauptgruppe]]&amp;"/-/-"</f>
        <v>#N/A</v>
      </c>
      <c r="M599" t="e">
        <f ca="1">Tabelle7[[#This Row],[Hauptgruppe]]&amp;"/"&amp;Tabelle7[[#This Row],[Mittelgruppe]]&amp;"/-"</f>
        <v>#N/A</v>
      </c>
      <c r="N599" t="e">
        <f ca="1">Tabelle7[[#This Row],[Hauptgruppe]]&amp;"/"&amp;Tabelle7[[#This Row],[Mittelgruppe]]&amp;"/"&amp;Tabelle7[[#This Row],[Untergruppe]]</f>
        <v>#N/A</v>
      </c>
      <c r="O599" t="e">
        <f>INDEX(Tabelle6[Aktor],MATCH(Tabelle7[[#This Row],[Gesamtcode]],Tabelle6[Gesamtcode],0))&amp;" "&amp;INDEX(Tabelle6[Aktorkanal],MATCH(Tabelle7[[#This Row],[Gesamtcode]],Tabelle6[Gesamtcode],0))</f>
        <v>#N/A</v>
      </c>
    </row>
    <row r="600" spans="2:15" x14ac:dyDescent="0.25">
      <c r="B600" t="s">
        <v>412</v>
      </c>
      <c r="C600" t="e">
        <f>INDEX(Tabelle132[Zone],MATCH(Tabelle7[[#This Row],[Gesamtcode]],Tabelle132[Gesamtcode],0))</f>
        <v>#N/A</v>
      </c>
      <c r="D600" t="e">
        <f>INDEX(Tabelle132[Raum],MATCH(Tabelle7[[#This Row],[Gesamtcode]],Tabelle132[Gesamtcode],0))</f>
        <v>#N/A</v>
      </c>
      <c r="E600" t="e">
        <f>INDEX(Tabelle132[Bezeichnung],MATCH(Tabelle7[[#This Row],[Gesamtcode]],Tabelle132[Gesamtcode],0))</f>
        <v>#N/A</v>
      </c>
      <c r="F600" t="e">
        <f>"_"&amp;INDEX(Tabelle132[Geräte/Gewerke],MATCH(Tabelle7[[#This Row],[Gesamtcode]],Tabelle132[Gesamtcode],0))</f>
        <v>#N/A</v>
      </c>
      <c r="G600" t="e">
        <f>INDEX(Tabelle13[Gewerknr.],MATCH(Tabelle7[[#This Row],[Gewerke]],Tabelle13[Hauptgruppe],0))</f>
        <v>#N/A</v>
      </c>
      <c r="H600" t="s">
        <v>397</v>
      </c>
      <c r="I600" t="e">
        <f ca="1">INDEX(Tabelle134[Funktionsbereichsnr.],MATCH(Tabelle7[[#This Row],[Funktionsbereiche]],INDIRECT("Tabelle134["&amp;Tabelle7[[#This Row],[Gewerke]]&amp;"]"),0))</f>
        <v>#N/A</v>
      </c>
      <c r="J600" t="e">
        <f>Tabelle7[[#This Row],[Gesamtcode]]&amp;"_"&amp;Tabelle7[[#This Row],[Zone]]&amp;"_"&amp;Tabelle7[[#This Row],[Raum]]&amp;"_"&amp;Tabelle7[[#This Row],[Bezeichnung]]</f>
        <v>#N/A</v>
      </c>
      <c r="K600">
        <v>5</v>
      </c>
      <c r="L600" t="e">
        <f>Tabelle7[[#This Row],[Hauptgruppe]]&amp;"/-/-"</f>
        <v>#N/A</v>
      </c>
      <c r="M600" t="e">
        <f ca="1">Tabelle7[[#This Row],[Hauptgruppe]]&amp;"/"&amp;Tabelle7[[#This Row],[Mittelgruppe]]&amp;"/-"</f>
        <v>#N/A</v>
      </c>
      <c r="N600" t="e">
        <f ca="1">Tabelle7[[#This Row],[Hauptgruppe]]&amp;"/"&amp;Tabelle7[[#This Row],[Mittelgruppe]]&amp;"/"&amp;Tabelle7[[#This Row],[Untergruppe]]</f>
        <v>#N/A</v>
      </c>
      <c r="O600" t="e">
        <f>INDEX(Tabelle6[Aktor],MATCH(Tabelle7[[#This Row],[Gesamtcode]],Tabelle6[Gesamtcode],0))&amp;" "&amp;INDEX(Tabelle6[Aktorkanal],MATCH(Tabelle7[[#This Row],[Gesamtcode]],Tabelle6[Gesamtcode],0))</f>
        <v>#N/A</v>
      </c>
    </row>
    <row r="601" spans="2:15" x14ac:dyDescent="0.25">
      <c r="B601" t="s">
        <v>413</v>
      </c>
      <c r="C601" t="e">
        <f>INDEX(Tabelle132[Zone],MATCH(Tabelle7[[#This Row],[Gesamtcode]],Tabelle132[Gesamtcode],0))</f>
        <v>#N/A</v>
      </c>
      <c r="D601" t="e">
        <f>INDEX(Tabelle132[Raum],MATCH(Tabelle7[[#This Row],[Gesamtcode]],Tabelle132[Gesamtcode],0))</f>
        <v>#N/A</v>
      </c>
      <c r="E601" t="e">
        <f>INDEX(Tabelle132[Bezeichnung],MATCH(Tabelle7[[#This Row],[Gesamtcode]],Tabelle132[Gesamtcode],0))</f>
        <v>#N/A</v>
      </c>
      <c r="F601" t="e">
        <f>"_"&amp;INDEX(Tabelle132[Geräte/Gewerke],MATCH(Tabelle7[[#This Row],[Gesamtcode]],Tabelle132[Gesamtcode],0))</f>
        <v>#N/A</v>
      </c>
      <c r="G601" t="e">
        <f>INDEX(Tabelle13[Gewerknr.],MATCH(Tabelle7[[#This Row],[Gewerke]],Tabelle13[Hauptgruppe],0))</f>
        <v>#N/A</v>
      </c>
      <c r="H601" t="s">
        <v>397</v>
      </c>
      <c r="I601" t="e">
        <f ca="1">INDEX(Tabelle134[Funktionsbereichsnr.],MATCH(Tabelle7[[#This Row],[Funktionsbereiche]],INDIRECT("Tabelle134["&amp;Tabelle7[[#This Row],[Gewerke]]&amp;"]"),0))</f>
        <v>#N/A</v>
      </c>
      <c r="J601" t="e">
        <f>Tabelle7[[#This Row],[Gesamtcode]]&amp;"_"&amp;Tabelle7[[#This Row],[Zone]]&amp;"_"&amp;Tabelle7[[#This Row],[Raum]]&amp;"_"&amp;Tabelle7[[#This Row],[Bezeichnung]]</f>
        <v>#N/A</v>
      </c>
      <c r="K601">
        <v>6</v>
      </c>
      <c r="L601" t="e">
        <f>Tabelle7[[#This Row],[Hauptgruppe]]&amp;"/-/-"</f>
        <v>#N/A</v>
      </c>
      <c r="M601" t="e">
        <f ca="1">Tabelle7[[#This Row],[Hauptgruppe]]&amp;"/"&amp;Tabelle7[[#This Row],[Mittelgruppe]]&amp;"/-"</f>
        <v>#N/A</v>
      </c>
      <c r="N601" t="e">
        <f ca="1">Tabelle7[[#This Row],[Hauptgruppe]]&amp;"/"&amp;Tabelle7[[#This Row],[Mittelgruppe]]&amp;"/"&amp;Tabelle7[[#This Row],[Untergruppe]]</f>
        <v>#N/A</v>
      </c>
      <c r="O601" t="e">
        <f>INDEX(Tabelle6[Aktor],MATCH(Tabelle7[[#This Row],[Gesamtcode]],Tabelle6[Gesamtcode],0))&amp;" "&amp;INDEX(Tabelle6[Aktorkanal],MATCH(Tabelle7[[#This Row],[Gesamtcode]],Tabelle6[Gesamtcode],0))</f>
        <v>#N/A</v>
      </c>
    </row>
    <row r="602" spans="2:15" x14ac:dyDescent="0.25">
      <c r="B602" t="s">
        <v>414</v>
      </c>
      <c r="C602" t="e">
        <f>INDEX(Tabelle132[Zone],MATCH(Tabelle7[[#This Row],[Gesamtcode]],Tabelle132[Gesamtcode],0))</f>
        <v>#N/A</v>
      </c>
      <c r="D602" t="e">
        <f>INDEX(Tabelle132[Raum],MATCH(Tabelle7[[#This Row],[Gesamtcode]],Tabelle132[Gesamtcode],0))</f>
        <v>#N/A</v>
      </c>
      <c r="E602" t="e">
        <f>INDEX(Tabelle132[Bezeichnung],MATCH(Tabelle7[[#This Row],[Gesamtcode]],Tabelle132[Gesamtcode],0))</f>
        <v>#N/A</v>
      </c>
      <c r="F602" t="e">
        <f>"_"&amp;INDEX(Tabelle132[Geräte/Gewerke],MATCH(Tabelle7[[#This Row],[Gesamtcode]],Tabelle132[Gesamtcode],0))</f>
        <v>#N/A</v>
      </c>
      <c r="G602" t="e">
        <f>INDEX(Tabelle13[Gewerknr.],MATCH(Tabelle7[[#This Row],[Gewerke]],Tabelle13[Hauptgruppe],0))</f>
        <v>#N/A</v>
      </c>
      <c r="H602" t="s">
        <v>397</v>
      </c>
      <c r="I602" t="e">
        <f ca="1">INDEX(Tabelle134[Funktionsbereichsnr.],MATCH(Tabelle7[[#This Row],[Funktionsbereiche]],INDIRECT("Tabelle134["&amp;Tabelle7[[#This Row],[Gewerke]]&amp;"]"),0))</f>
        <v>#N/A</v>
      </c>
      <c r="J602" t="e">
        <f>Tabelle7[[#This Row],[Gesamtcode]]&amp;"_"&amp;Tabelle7[[#This Row],[Zone]]&amp;"_"&amp;Tabelle7[[#This Row],[Raum]]&amp;"_"&amp;Tabelle7[[#This Row],[Bezeichnung]]</f>
        <v>#N/A</v>
      </c>
      <c r="K602">
        <v>7</v>
      </c>
      <c r="L602" t="e">
        <f>Tabelle7[[#This Row],[Hauptgruppe]]&amp;"/-/-"</f>
        <v>#N/A</v>
      </c>
      <c r="M602" t="e">
        <f ca="1">Tabelle7[[#This Row],[Hauptgruppe]]&amp;"/"&amp;Tabelle7[[#This Row],[Mittelgruppe]]&amp;"/-"</f>
        <v>#N/A</v>
      </c>
      <c r="N602" t="e">
        <f ca="1">Tabelle7[[#This Row],[Hauptgruppe]]&amp;"/"&amp;Tabelle7[[#This Row],[Mittelgruppe]]&amp;"/"&amp;Tabelle7[[#This Row],[Untergruppe]]</f>
        <v>#N/A</v>
      </c>
      <c r="O602" t="e">
        <f>INDEX(Tabelle6[Aktor],MATCH(Tabelle7[[#This Row],[Gesamtcode]],Tabelle6[Gesamtcode],0))&amp;" "&amp;INDEX(Tabelle6[Aktorkanal],MATCH(Tabelle7[[#This Row],[Gesamtcode]],Tabelle6[Gesamtcode],0))</f>
        <v>#N/A</v>
      </c>
    </row>
    <row r="603" spans="2:15" x14ac:dyDescent="0.25">
      <c r="B603" t="s">
        <v>415</v>
      </c>
      <c r="C603" t="e">
        <f>INDEX(Tabelle132[Zone],MATCH(Tabelle7[[#This Row],[Gesamtcode]],Tabelle132[Gesamtcode],0))</f>
        <v>#N/A</v>
      </c>
      <c r="D603" t="e">
        <f>INDEX(Tabelle132[Raum],MATCH(Tabelle7[[#This Row],[Gesamtcode]],Tabelle132[Gesamtcode],0))</f>
        <v>#N/A</v>
      </c>
      <c r="E603" t="e">
        <f>INDEX(Tabelle132[Bezeichnung],MATCH(Tabelle7[[#This Row],[Gesamtcode]],Tabelle132[Gesamtcode],0))</f>
        <v>#N/A</v>
      </c>
      <c r="F603" t="e">
        <f>"_"&amp;INDEX(Tabelle132[Geräte/Gewerke],MATCH(Tabelle7[[#This Row],[Gesamtcode]],Tabelle132[Gesamtcode],0))</f>
        <v>#N/A</v>
      </c>
      <c r="G603" t="e">
        <f>INDEX(Tabelle13[Gewerknr.],MATCH(Tabelle7[[#This Row],[Gewerke]],Tabelle13[Hauptgruppe],0))</f>
        <v>#N/A</v>
      </c>
      <c r="H603" t="s">
        <v>397</v>
      </c>
      <c r="I603" t="e">
        <f ca="1">INDEX(Tabelle134[Funktionsbereichsnr.],MATCH(Tabelle7[[#This Row],[Funktionsbereiche]],INDIRECT("Tabelle134["&amp;Tabelle7[[#This Row],[Gewerke]]&amp;"]"),0))</f>
        <v>#N/A</v>
      </c>
      <c r="J603" t="e">
        <f>Tabelle7[[#This Row],[Gesamtcode]]&amp;"_"&amp;Tabelle7[[#This Row],[Zone]]&amp;"_"&amp;Tabelle7[[#This Row],[Raum]]&amp;"_"&amp;Tabelle7[[#This Row],[Bezeichnung]]</f>
        <v>#N/A</v>
      </c>
      <c r="K603">
        <v>8</v>
      </c>
      <c r="L603" t="e">
        <f>Tabelle7[[#This Row],[Hauptgruppe]]&amp;"/-/-"</f>
        <v>#N/A</v>
      </c>
      <c r="M603" t="e">
        <f ca="1">Tabelle7[[#This Row],[Hauptgruppe]]&amp;"/"&amp;Tabelle7[[#This Row],[Mittelgruppe]]&amp;"/-"</f>
        <v>#N/A</v>
      </c>
      <c r="N603" t="e">
        <f ca="1">Tabelle7[[#This Row],[Hauptgruppe]]&amp;"/"&amp;Tabelle7[[#This Row],[Mittelgruppe]]&amp;"/"&amp;Tabelle7[[#This Row],[Untergruppe]]</f>
        <v>#N/A</v>
      </c>
      <c r="O603" t="e">
        <f>INDEX(Tabelle6[Aktor],MATCH(Tabelle7[[#This Row],[Gesamtcode]],Tabelle6[Gesamtcode],0))&amp;" "&amp;INDEX(Tabelle6[Aktorkanal],MATCH(Tabelle7[[#This Row],[Gesamtcode]],Tabelle6[Gesamtcode],0))</f>
        <v>#N/A</v>
      </c>
    </row>
    <row r="604" spans="2:15" x14ac:dyDescent="0.25">
      <c r="B604" t="s">
        <v>416</v>
      </c>
      <c r="C604" t="e">
        <f>INDEX(Tabelle132[Zone],MATCH(Tabelle7[[#This Row],[Gesamtcode]],Tabelle132[Gesamtcode],0))</f>
        <v>#N/A</v>
      </c>
      <c r="D604" t="e">
        <f>INDEX(Tabelle132[Raum],MATCH(Tabelle7[[#This Row],[Gesamtcode]],Tabelle132[Gesamtcode],0))</f>
        <v>#N/A</v>
      </c>
      <c r="E604" t="e">
        <f>INDEX(Tabelle132[Bezeichnung],MATCH(Tabelle7[[#This Row],[Gesamtcode]],Tabelle132[Gesamtcode],0))</f>
        <v>#N/A</v>
      </c>
      <c r="F604" t="e">
        <f>"_"&amp;INDEX(Tabelle132[Geräte/Gewerke],MATCH(Tabelle7[[#This Row],[Gesamtcode]],Tabelle132[Gesamtcode],0))</f>
        <v>#N/A</v>
      </c>
      <c r="G604" t="e">
        <f>INDEX(Tabelle13[Gewerknr.],MATCH(Tabelle7[[#This Row],[Gewerke]],Tabelle13[Hauptgruppe],0))</f>
        <v>#N/A</v>
      </c>
      <c r="H604" t="s">
        <v>397</v>
      </c>
      <c r="I604" t="e">
        <f ca="1">INDEX(Tabelle134[Funktionsbereichsnr.],MATCH(Tabelle7[[#This Row],[Funktionsbereiche]],INDIRECT("Tabelle134["&amp;Tabelle7[[#This Row],[Gewerke]]&amp;"]"),0))</f>
        <v>#N/A</v>
      </c>
      <c r="J604" t="e">
        <f>Tabelle7[[#This Row],[Gesamtcode]]&amp;"_"&amp;Tabelle7[[#This Row],[Zone]]&amp;"_"&amp;Tabelle7[[#This Row],[Raum]]&amp;"_"&amp;Tabelle7[[#This Row],[Bezeichnung]]</f>
        <v>#N/A</v>
      </c>
      <c r="K604">
        <v>9</v>
      </c>
      <c r="L604" t="e">
        <f>Tabelle7[[#This Row],[Hauptgruppe]]&amp;"/-/-"</f>
        <v>#N/A</v>
      </c>
      <c r="M604" t="e">
        <f ca="1">Tabelle7[[#This Row],[Hauptgruppe]]&amp;"/"&amp;Tabelle7[[#This Row],[Mittelgruppe]]&amp;"/-"</f>
        <v>#N/A</v>
      </c>
      <c r="N604" t="e">
        <f ca="1">Tabelle7[[#This Row],[Hauptgruppe]]&amp;"/"&amp;Tabelle7[[#This Row],[Mittelgruppe]]&amp;"/"&amp;Tabelle7[[#This Row],[Untergruppe]]</f>
        <v>#N/A</v>
      </c>
      <c r="O604" t="e">
        <f>INDEX(Tabelle6[Aktor],MATCH(Tabelle7[[#This Row],[Gesamtcode]],Tabelle6[Gesamtcode],0))&amp;" "&amp;INDEX(Tabelle6[Aktorkanal],MATCH(Tabelle7[[#This Row],[Gesamtcode]],Tabelle6[Gesamtcode],0))</f>
        <v>#N/A</v>
      </c>
    </row>
    <row r="605" spans="2:15" x14ac:dyDescent="0.25">
      <c r="B605" t="s">
        <v>417</v>
      </c>
      <c r="C605" t="e">
        <f>INDEX(Tabelle132[Zone],MATCH(Tabelle7[[#This Row],[Gesamtcode]],Tabelle132[Gesamtcode],0))</f>
        <v>#N/A</v>
      </c>
      <c r="D605" t="e">
        <f>INDEX(Tabelle132[Raum],MATCH(Tabelle7[[#This Row],[Gesamtcode]],Tabelle132[Gesamtcode],0))</f>
        <v>#N/A</v>
      </c>
      <c r="E605" t="e">
        <f>INDEX(Tabelle132[Bezeichnung],MATCH(Tabelle7[[#This Row],[Gesamtcode]],Tabelle132[Gesamtcode],0))</f>
        <v>#N/A</v>
      </c>
      <c r="F605" t="e">
        <f>"_"&amp;INDEX(Tabelle132[Geräte/Gewerke],MATCH(Tabelle7[[#This Row],[Gesamtcode]],Tabelle132[Gesamtcode],0))</f>
        <v>#N/A</v>
      </c>
      <c r="G605" t="e">
        <f>INDEX(Tabelle13[Gewerknr.],MATCH(Tabelle7[[#This Row],[Gewerke]],Tabelle13[Hauptgruppe],0))</f>
        <v>#N/A</v>
      </c>
      <c r="H605" t="s">
        <v>255</v>
      </c>
      <c r="I605" t="e">
        <f ca="1">INDEX(Tabelle134[Funktionsbereichsnr.],MATCH(Tabelle7[[#This Row],[Funktionsbereiche]],INDIRECT("Tabelle134["&amp;Tabelle7[[#This Row],[Gewerke]]&amp;"]"),0))</f>
        <v>#N/A</v>
      </c>
      <c r="J605" t="e">
        <f>Tabelle7[[#This Row],[Gesamtcode]]&amp;"_"&amp;Tabelle7[[#This Row],[Zone]]&amp;"_"&amp;Tabelle7[[#This Row],[Raum]]&amp;"_"&amp;Tabelle7[[#This Row],[Bezeichnung]]</f>
        <v>#N/A</v>
      </c>
      <c r="K605">
        <v>0</v>
      </c>
      <c r="L605" t="e">
        <f>Tabelle7[[#This Row],[Hauptgruppe]]&amp;"/-/-"</f>
        <v>#N/A</v>
      </c>
      <c r="M605" t="e">
        <f ca="1">Tabelle7[[#This Row],[Hauptgruppe]]&amp;"/"&amp;Tabelle7[[#This Row],[Mittelgruppe]]&amp;"/-"</f>
        <v>#N/A</v>
      </c>
      <c r="N605" t="e">
        <f ca="1">Tabelle7[[#This Row],[Hauptgruppe]]&amp;"/"&amp;Tabelle7[[#This Row],[Mittelgruppe]]&amp;"/"&amp;Tabelle7[[#This Row],[Untergruppe]]</f>
        <v>#N/A</v>
      </c>
      <c r="O605" t="e">
        <f>INDEX(Tabelle6[Aktor],MATCH(Tabelle7[[#This Row],[Gesamtcode]],Tabelle6[Gesamtcode],0))&amp;" "&amp;INDEX(Tabelle6[Aktorkanal],MATCH(Tabelle7[[#This Row],[Gesamtcode]],Tabelle6[Gesamtcode],0))</f>
        <v>#N/A</v>
      </c>
    </row>
    <row r="606" spans="2:15" x14ac:dyDescent="0.25">
      <c r="B606" t="s">
        <v>418</v>
      </c>
      <c r="C606" t="e">
        <f>INDEX(Tabelle132[Zone],MATCH(Tabelle7[[#This Row],[Gesamtcode]],Tabelle132[Gesamtcode],0))</f>
        <v>#N/A</v>
      </c>
      <c r="D606" t="e">
        <f>INDEX(Tabelle132[Raum],MATCH(Tabelle7[[#This Row],[Gesamtcode]],Tabelle132[Gesamtcode],0))</f>
        <v>#N/A</v>
      </c>
      <c r="E606" t="e">
        <f>INDEX(Tabelle132[Bezeichnung],MATCH(Tabelle7[[#This Row],[Gesamtcode]],Tabelle132[Gesamtcode],0))</f>
        <v>#N/A</v>
      </c>
      <c r="F606" t="e">
        <f>"_"&amp;INDEX(Tabelle132[Geräte/Gewerke],MATCH(Tabelle7[[#This Row],[Gesamtcode]],Tabelle132[Gesamtcode],0))</f>
        <v>#N/A</v>
      </c>
      <c r="G606" t="e">
        <f>INDEX(Tabelle13[Gewerknr.],MATCH(Tabelle7[[#This Row],[Gewerke]],Tabelle13[Hauptgruppe],0))</f>
        <v>#N/A</v>
      </c>
      <c r="H606" t="s">
        <v>255</v>
      </c>
      <c r="I606" t="e">
        <f ca="1">INDEX(Tabelle134[Funktionsbereichsnr.],MATCH(Tabelle7[[#This Row],[Funktionsbereiche]],INDIRECT("Tabelle134["&amp;Tabelle7[[#This Row],[Gewerke]]&amp;"]"),0))</f>
        <v>#N/A</v>
      </c>
      <c r="J606" t="e">
        <f>Tabelle7[[#This Row],[Gesamtcode]]&amp;"_"&amp;Tabelle7[[#This Row],[Zone]]&amp;"_"&amp;Tabelle7[[#This Row],[Raum]]&amp;"_"&amp;Tabelle7[[#This Row],[Bezeichnung]]</f>
        <v>#N/A</v>
      </c>
      <c r="K606">
        <v>1</v>
      </c>
      <c r="L606" t="e">
        <f>Tabelle7[[#This Row],[Hauptgruppe]]&amp;"/-/-"</f>
        <v>#N/A</v>
      </c>
      <c r="M606" t="e">
        <f ca="1">Tabelle7[[#This Row],[Hauptgruppe]]&amp;"/"&amp;Tabelle7[[#This Row],[Mittelgruppe]]&amp;"/-"</f>
        <v>#N/A</v>
      </c>
      <c r="N606" t="e">
        <f ca="1">Tabelle7[[#This Row],[Hauptgruppe]]&amp;"/"&amp;Tabelle7[[#This Row],[Mittelgruppe]]&amp;"/"&amp;Tabelle7[[#This Row],[Untergruppe]]</f>
        <v>#N/A</v>
      </c>
      <c r="O606" t="e">
        <f>INDEX(Tabelle6[Aktor],MATCH(Tabelle7[[#This Row],[Gesamtcode]],Tabelle6[Gesamtcode],0))&amp;" "&amp;INDEX(Tabelle6[Aktorkanal],MATCH(Tabelle7[[#This Row],[Gesamtcode]],Tabelle6[Gesamtcode],0))</f>
        <v>#N/A</v>
      </c>
    </row>
    <row r="607" spans="2:15" x14ac:dyDescent="0.25">
      <c r="B607" t="s">
        <v>419</v>
      </c>
      <c r="C607" t="e">
        <f>INDEX(Tabelle132[Zone],MATCH(Tabelle7[[#This Row],[Gesamtcode]],Tabelle132[Gesamtcode],0))</f>
        <v>#N/A</v>
      </c>
      <c r="D607" t="e">
        <f>INDEX(Tabelle132[Raum],MATCH(Tabelle7[[#This Row],[Gesamtcode]],Tabelle132[Gesamtcode],0))</f>
        <v>#N/A</v>
      </c>
      <c r="E607" t="e">
        <f>INDEX(Tabelle132[Bezeichnung],MATCH(Tabelle7[[#This Row],[Gesamtcode]],Tabelle132[Gesamtcode],0))</f>
        <v>#N/A</v>
      </c>
      <c r="F607" t="e">
        <f>"_"&amp;INDEX(Tabelle132[Geräte/Gewerke],MATCH(Tabelle7[[#This Row],[Gesamtcode]],Tabelle132[Gesamtcode],0))</f>
        <v>#N/A</v>
      </c>
      <c r="G607" t="e">
        <f>INDEX(Tabelle13[Gewerknr.],MATCH(Tabelle7[[#This Row],[Gewerke]],Tabelle13[Hauptgruppe],0))</f>
        <v>#N/A</v>
      </c>
      <c r="H607" t="s">
        <v>255</v>
      </c>
      <c r="I607" t="e">
        <f ca="1">INDEX(Tabelle134[Funktionsbereichsnr.],MATCH(Tabelle7[[#This Row],[Funktionsbereiche]],INDIRECT("Tabelle134["&amp;Tabelle7[[#This Row],[Gewerke]]&amp;"]"),0))</f>
        <v>#N/A</v>
      </c>
      <c r="J607" t="e">
        <f>Tabelle7[[#This Row],[Gesamtcode]]&amp;"_"&amp;Tabelle7[[#This Row],[Zone]]&amp;"_"&amp;Tabelle7[[#This Row],[Raum]]&amp;"_"&amp;Tabelle7[[#This Row],[Bezeichnung]]</f>
        <v>#N/A</v>
      </c>
      <c r="K607">
        <v>2</v>
      </c>
      <c r="L607" t="e">
        <f>Tabelle7[[#This Row],[Hauptgruppe]]&amp;"/-/-"</f>
        <v>#N/A</v>
      </c>
      <c r="M607" t="e">
        <f ca="1">Tabelle7[[#This Row],[Hauptgruppe]]&amp;"/"&amp;Tabelle7[[#This Row],[Mittelgruppe]]&amp;"/-"</f>
        <v>#N/A</v>
      </c>
      <c r="N607" t="e">
        <f ca="1">Tabelle7[[#This Row],[Hauptgruppe]]&amp;"/"&amp;Tabelle7[[#This Row],[Mittelgruppe]]&amp;"/"&amp;Tabelle7[[#This Row],[Untergruppe]]</f>
        <v>#N/A</v>
      </c>
      <c r="O607" t="e">
        <f>INDEX(Tabelle6[Aktor],MATCH(Tabelle7[[#This Row],[Gesamtcode]],Tabelle6[Gesamtcode],0))&amp;" "&amp;INDEX(Tabelle6[Aktorkanal],MATCH(Tabelle7[[#This Row],[Gesamtcode]],Tabelle6[Gesamtcode],0))</f>
        <v>#N/A</v>
      </c>
    </row>
    <row r="608" spans="2:15" x14ac:dyDescent="0.25">
      <c r="B608" t="s">
        <v>420</v>
      </c>
      <c r="C608" t="e">
        <f>INDEX(Tabelle132[Zone],MATCH(Tabelle7[[#This Row],[Gesamtcode]],Tabelle132[Gesamtcode],0))</f>
        <v>#N/A</v>
      </c>
      <c r="D608" t="e">
        <f>INDEX(Tabelle132[Raum],MATCH(Tabelle7[[#This Row],[Gesamtcode]],Tabelle132[Gesamtcode],0))</f>
        <v>#N/A</v>
      </c>
      <c r="E608" t="e">
        <f>INDEX(Tabelle132[Bezeichnung],MATCH(Tabelle7[[#This Row],[Gesamtcode]],Tabelle132[Gesamtcode],0))</f>
        <v>#N/A</v>
      </c>
      <c r="F608" t="e">
        <f>"_"&amp;INDEX(Tabelle132[Geräte/Gewerke],MATCH(Tabelle7[[#This Row],[Gesamtcode]],Tabelle132[Gesamtcode],0))</f>
        <v>#N/A</v>
      </c>
      <c r="G608" t="e">
        <f>INDEX(Tabelle13[Gewerknr.],MATCH(Tabelle7[[#This Row],[Gewerke]],Tabelle13[Hauptgruppe],0))</f>
        <v>#N/A</v>
      </c>
      <c r="H608" t="s">
        <v>255</v>
      </c>
      <c r="I608" t="e">
        <f ca="1">INDEX(Tabelle134[Funktionsbereichsnr.],MATCH(Tabelle7[[#This Row],[Funktionsbereiche]],INDIRECT("Tabelle134["&amp;Tabelle7[[#This Row],[Gewerke]]&amp;"]"),0))</f>
        <v>#N/A</v>
      </c>
      <c r="J608" t="e">
        <f>Tabelle7[[#This Row],[Gesamtcode]]&amp;"_"&amp;Tabelle7[[#This Row],[Zone]]&amp;"_"&amp;Tabelle7[[#This Row],[Raum]]&amp;"_"&amp;Tabelle7[[#This Row],[Bezeichnung]]</f>
        <v>#N/A</v>
      </c>
      <c r="K608">
        <v>3</v>
      </c>
      <c r="L608" t="e">
        <f>Tabelle7[[#This Row],[Hauptgruppe]]&amp;"/-/-"</f>
        <v>#N/A</v>
      </c>
      <c r="M608" t="e">
        <f ca="1">Tabelle7[[#This Row],[Hauptgruppe]]&amp;"/"&amp;Tabelle7[[#This Row],[Mittelgruppe]]&amp;"/-"</f>
        <v>#N/A</v>
      </c>
      <c r="N608" t="e">
        <f ca="1">Tabelle7[[#This Row],[Hauptgruppe]]&amp;"/"&amp;Tabelle7[[#This Row],[Mittelgruppe]]&amp;"/"&amp;Tabelle7[[#This Row],[Untergruppe]]</f>
        <v>#N/A</v>
      </c>
      <c r="O608" t="e">
        <f>INDEX(Tabelle6[Aktor],MATCH(Tabelle7[[#This Row],[Gesamtcode]],Tabelle6[Gesamtcode],0))&amp;" "&amp;INDEX(Tabelle6[Aktorkanal],MATCH(Tabelle7[[#This Row],[Gesamtcode]],Tabelle6[Gesamtcode],0))</f>
        <v>#N/A</v>
      </c>
    </row>
    <row r="609" spans="2:15" x14ac:dyDescent="0.25">
      <c r="B609" t="s">
        <v>421</v>
      </c>
      <c r="C609" t="e">
        <f>INDEX(Tabelle132[Zone],MATCH(Tabelle7[[#This Row],[Gesamtcode]],Tabelle132[Gesamtcode],0))</f>
        <v>#N/A</v>
      </c>
      <c r="D609" t="e">
        <f>INDEX(Tabelle132[Raum],MATCH(Tabelle7[[#This Row],[Gesamtcode]],Tabelle132[Gesamtcode],0))</f>
        <v>#N/A</v>
      </c>
      <c r="E609" t="e">
        <f>INDEX(Tabelle132[Bezeichnung],MATCH(Tabelle7[[#This Row],[Gesamtcode]],Tabelle132[Gesamtcode],0))</f>
        <v>#N/A</v>
      </c>
      <c r="F609" t="e">
        <f>"_"&amp;INDEX(Tabelle132[Geräte/Gewerke],MATCH(Tabelle7[[#This Row],[Gesamtcode]],Tabelle132[Gesamtcode],0))</f>
        <v>#N/A</v>
      </c>
      <c r="G609" t="e">
        <f>INDEX(Tabelle13[Gewerknr.],MATCH(Tabelle7[[#This Row],[Gewerke]],Tabelle13[Hauptgruppe],0))</f>
        <v>#N/A</v>
      </c>
      <c r="H609" t="s">
        <v>255</v>
      </c>
      <c r="I609" t="e">
        <f ca="1">INDEX(Tabelle134[Funktionsbereichsnr.],MATCH(Tabelle7[[#This Row],[Funktionsbereiche]],INDIRECT("Tabelle134["&amp;Tabelle7[[#This Row],[Gewerke]]&amp;"]"),0))</f>
        <v>#N/A</v>
      </c>
      <c r="J609" t="e">
        <f>Tabelle7[[#This Row],[Gesamtcode]]&amp;"_"&amp;Tabelle7[[#This Row],[Zone]]&amp;"_"&amp;Tabelle7[[#This Row],[Raum]]&amp;"_"&amp;Tabelle7[[#This Row],[Bezeichnung]]</f>
        <v>#N/A</v>
      </c>
      <c r="K609">
        <v>4</v>
      </c>
      <c r="L609" t="e">
        <f>Tabelle7[[#This Row],[Hauptgruppe]]&amp;"/-/-"</f>
        <v>#N/A</v>
      </c>
      <c r="M609" t="e">
        <f ca="1">Tabelle7[[#This Row],[Hauptgruppe]]&amp;"/"&amp;Tabelle7[[#This Row],[Mittelgruppe]]&amp;"/-"</f>
        <v>#N/A</v>
      </c>
      <c r="N609" t="e">
        <f ca="1">Tabelle7[[#This Row],[Hauptgruppe]]&amp;"/"&amp;Tabelle7[[#This Row],[Mittelgruppe]]&amp;"/"&amp;Tabelle7[[#This Row],[Untergruppe]]</f>
        <v>#N/A</v>
      </c>
      <c r="O609" t="e">
        <f>INDEX(Tabelle6[Aktor],MATCH(Tabelle7[[#This Row],[Gesamtcode]],Tabelle6[Gesamtcode],0))&amp;" "&amp;INDEX(Tabelle6[Aktorkanal],MATCH(Tabelle7[[#This Row],[Gesamtcode]],Tabelle6[Gesamtcode],0))</f>
        <v>#N/A</v>
      </c>
    </row>
    <row r="610" spans="2:15" x14ac:dyDescent="0.25">
      <c r="B610" t="s">
        <v>422</v>
      </c>
      <c r="C610" t="e">
        <f>INDEX(Tabelle132[Zone],MATCH(Tabelle7[[#This Row],[Gesamtcode]],Tabelle132[Gesamtcode],0))</f>
        <v>#N/A</v>
      </c>
      <c r="D610" t="e">
        <f>INDEX(Tabelle132[Raum],MATCH(Tabelle7[[#This Row],[Gesamtcode]],Tabelle132[Gesamtcode],0))</f>
        <v>#N/A</v>
      </c>
      <c r="E610" t="e">
        <f>INDEX(Tabelle132[Bezeichnung],MATCH(Tabelle7[[#This Row],[Gesamtcode]],Tabelle132[Gesamtcode],0))</f>
        <v>#N/A</v>
      </c>
      <c r="F610" t="e">
        <f>"_"&amp;INDEX(Tabelle132[Geräte/Gewerke],MATCH(Tabelle7[[#This Row],[Gesamtcode]],Tabelle132[Gesamtcode],0))</f>
        <v>#N/A</v>
      </c>
      <c r="G610" t="e">
        <f>INDEX(Tabelle13[Gewerknr.],MATCH(Tabelle7[[#This Row],[Gewerke]],Tabelle13[Hauptgruppe],0))</f>
        <v>#N/A</v>
      </c>
      <c r="H610" t="s">
        <v>255</v>
      </c>
      <c r="I610" t="e">
        <f ca="1">INDEX(Tabelle134[Funktionsbereichsnr.],MATCH(Tabelle7[[#This Row],[Funktionsbereiche]],INDIRECT("Tabelle134["&amp;Tabelle7[[#This Row],[Gewerke]]&amp;"]"),0))</f>
        <v>#N/A</v>
      </c>
      <c r="J610" t="e">
        <f>Tabelle7[[#This Row],[Gesamtcode]]&amp;"_"&amp;Tabelle7[[#This Row],[Zone]]&amp;"_"&amp;Tabelle7[[#This Row],[Raum]]&amp;"_"&amp;Tabelle7[[#This Row],[Bezeichnung]]</f>
        <v>#N/A</v>
      </c>
      <c r="K610">
        <v>5</v>
      </c>
      <c r="L610" t="e">
        <f>Tabelle7[[#This Row],[Hauptgruppe]]&amp;"/-/-"</f>
        <v>#N/A</v>
      </c>
      <c r="M610" t="e">
        <f ca="1">Tabelle7[[#This Row],[Hauptgruppe]]&amp;"/"&amp;Tabelle7[[#This Row],[Mittelgruppe]]&amp;"/-"</f>
        <v>#N/A</v>
      </c>
      <c r="N610" t="e">
        <f ca="1">Tabelle7[[#This Row],[Hauptgruppe]]&amp;"/"&amp;Tabelle7[[#This Row],[Mittelgruppe]]&amp;"/"&amp;Tabelle7[[#This Row],[Untergruppe]]</f>
        <v>#N/A</v>
      </c>
      <c r="O610" t="e">
        <f>INDEX(Tabelle6[Aktor],MATCH(Tabelle7[[#This Row],[Gesamtcode]],Tabelle6[Gesamtcode],0))&amp;" "&amp;INDEX(Tabelle6[Aktorkanal],MATCH(Tabelle7[[#This Row],[Gesamtcode]],Tabelle6[Gesamtcode],0))</f>
        <v>#N/A</v>
      </c>
    </row>
    <row r="611" spans="2:15" x14ac:dyDescent="0.25">
      <c r="B611" t="s">
        <v>423</v>
      </c>
      <c r="C611" t="e">
        <f>INDEX(Tabelle132[Zone],MATCH(Tabelle7[[#This Row],[Gesamtcode]],Tabelle132[Gesamtcode],0))</f>
        <v>#N/A</v>
      </c>
      <c r="D611" t="e">
        <f>INDEX(Tabelle132[Raum],MATCH(Tabelle7[[#This Row],[Gesamtcode]],Tabelle132[Gesamtcode],0))</f>
        <v>#N/A</v>
      </c>
      <c r="E611" t="e">
        <f>INDEX(Tabelle132[Bezeichnung],MATCH(Tabelle7[[#This Row],[Gesamtcode]],Tabelle132[Gesamtcode],0))</f>
        <v>#N/A</v>
      </c>
      <c r="F611" t="e">
        <f>"_"&amp;INDEX(Tabelle132[Geräte/Gewerke],MATCH(Tabelle7[[#This Row],[Gesamtcode]],Tabelle132[Gesamtcode],0))</f>
        <v>#N/A</v>
      </c>
      <c r="G611" t="e">
        <f>INDEX(Tabelle13[Gewerknr.],MATCH(Tabelle7[[#This Row],[Gewerke]],Tabelle13[Hauptgruppe],0))</f>
        <v>#N/A</v>
      </c>
      <c r="H611" t="s">
        <v>255</v>
      </c>
      <c r="I611" t="e">
        <f ca="1">INDEX(Tabelle134[Funktionsbereichsnr.],MATCH(Tabelle7[[#This Row],[Funktionsbereiche]],INDIRECT("Tabelle134["&amp;Tabelle7[[#This Row],[Gewerke]]&amp;"]"),0))</f>
        <v>#N/A</v>
      </c>
      <c r="J611" t="e">
        <f>Tabelle7[[#This Row],[Gesamtcode]]&amp;"_"&amp;Tabelle7[[#This Row],[Zone]]&amp;"_"&amp;Tabelle7[[#This Row],[Raum]]&amp;"_"&amp;Tabelle7[[#This Row],[Bezeichnung]]</f>
        <v>#N/A</v>
      </c>
      <c r="K611">
        <v>6</v>
      </c>
      <c r="L611" t="e">
        <f>Tabelle7[[#This Row],[Hauptgruppe]]&amp;"/-/-"</f>
        <v>#N/A</v>
      </c>
      <c r="M611" t="e">
        <f ca="1">Tabelle7[[#This Row],[Hauptgruppe]]&amp;"/"&amp;Tabelle7[[#This Row],[Mittelgruppe]]&amp;"/-"</f>
        <v>#N/A</v>
      </c>
      <c r="N611" t="e">
        <f ca="1">Tabelle7[[#This Row],[Hauptgruppe]]&amp;"/"&amp;Tabelle7[[#This Row],[Mittelgruppe]]&amp;"/"&amp;Tabelle7[[#This Row],[Untergruppe]]</f>
        <v>#N/A</v>
      </c>
      <c r="O611" t="e">
        <f>INDEX(Tabelle6[Aktor],MATCH(Tabelle7[[#This Row],[Gesamtcode]],Tabelle6[Gesamtcode],0))&amp;" "&amp;INDEX(Tabelle6[Aktorkanal],MATCH(Tabelle7[[#This Row],[Gesamtcode]],Tabelle6[Gesamtcode],0))</f>
        <v>#N/A</v>
      </c>
    </row>
    <row r="612" spans="2:15" x14ac:dyDescent="0.25">
      <c r="B612" t="s">
        <v>424</v>
      </c>
      <c r="C612" t="e">
        <f>INDEX(Tabelle132[Zone],MATCH(Tabelle7[[#This Row],[Gesamtcode]],Tabelle132[Gesamtcode],0))</f>
        <v>#N/A</v>
      </c>
      <c r="D612" t="e">
        <f>INDEX(Tabelle132[Raum],MATCH(Tabelle7[[#This Row],[Gesamtcode]],Tabelle132[Gesamtcode],0))</f>
        <v>#N/A</v>
      </c>
      <c r="E612" t="e">
        <f>INDEX(Tabelle132[Bezeichnung],MATCH(Tabelle7[[#This Row],[Gesamtcode]],Tabelle132[Gesamtcode],0))</f>
        <v>#N/A</v>
      </c>
      <c r="F612" t="e">
        <f>"_"&amp;INDEX(Tabelle132[Geräte/Gewerke],MATCH(Tabelle7[[#This Row],[Gesamtcode]],Tabelle132[Gesamtcode],0))</f>
        <v>#N/A</v>
      </c>
      <c r="G612" t="e">
        <f>INDEX(Tabelle13[Gewerknr.],MATCH(Tabelle7[[#This Row],[Gewerke]],Tabelle13[Hauptgruppe],0))</f>
        <v>#N/A</v>
      </c>
      <c r="H612" t="s">
        <v>255</v>
      </c>
      <c r="I612" t="e">
        <f ca="1">INDEX(Tabelle134[Funktionsbereichsnr.],MATCH(Tabelle7[[#This Row],[Funktionsbereiche]],INDIRECT("Tabelle134["&amp;Tabelle7[[#This Row],[Gewerke]]&amp;"]"),0))</f>
        <v>#N/A</v>
      </c>
      <c r="J612" t="e">
        <f>Tabelle7[[#This Row],[Gesamtcode]]&amp;"_"&amp;Tabelle7[[#This Row],[Zone]]&amp;"_"&amp;Tabelle7[[#This Row],[Raum]]&amp;"_"&amp;Tabelle7[[#This Row],[Bezeichnung]]</f>
        <v>#N/A</v>
      </c>
      <c r="K612">
        <v>7</v>
      </c>
      <c r="L612" t="e">
        <f>Tabelle7[[#This Row],[Hauptgruppe]]&amp;"/-/-"</f>
        <v>#N/A</v>
      </c>
      <c r="M612" t="e">
        <f ca="1">Tabelle7[[#This Row],[Hauptgruppe]]&amp;"/"&amp;Tabelle7[[#This Row],[Mittelgruppe]]&amp;"/-"</f>
        <v>#N/A</v>
      </c>
      <c r="N612" t="e">
        <f ca="1">Tabelle7[[#This Row],[Hauptgruppe]]&amp;"/"&amp;Tabelle7[[#This Row],[Mittelgruppe]]&amp;"/"&amp;Tabelle7[[#This Row],[Untergruppe]]</f>
        <v>#N/A</v>
      </c>
      <c r="O612" t="e">
        <f>INDEX(Tabelle6[Aktor],MATCH(Tabelle7[[#This Row],[Gesamtcode]],Tabelle6[Gesamtcode],0))&amp;" "&amp;INDEX(Tabelle6[Aktorkanal],MATCH(Tabelle7[[#This Row],[Gesamtcode]],Tabelle6[Gesamtcode],0))</f>
        <v>#N/A</v>
      </c>
    </row>
    <row r="613" spans="2:15" x14ac:dyDescent="0.25">
      <c r="B613" t="s">
        <v>417</v>
      </c>
      <c r="C613" t="e">
        <f>INDEX(Tabelle132[Zone],MATCH(Tabelle7[[#This Row],[Gesamtcode]],Tabelle132[Gesamtcode],0))</f>
        <v>#N/A</v>
      </c>
      <c r="D613" t="e">
        <f>INDEX(Tabelle132[Raum],MATCH(Tabelle7[[#This Row],[Gesamtcode]],Tabelle132[Gesamtcode],0))</f>
        <v>#N/A</v>
      </c>
      <c r="E613" t="e">
        <f>INDEX(Tabelle132[Bezeichnung],MATCH(Tabelle7[[#This Row],[Gesamtcode]],Tabelle132[Gesamtcode],0))</f>
        <v>#N/A</v>
      </c>
      <c r="F613" t="e">
        <f>"_"&amp;INDEX(Tabelle132[Geräte/Gewerke],MATCH(Tabelle7[[#This Row],[Gesamtcode]],Tabelle132[Gesamtcode],0))</f>
        <v>#N/A</v>
      </c>
      <c r="G613" t="e">
        <f>INDEX(Tabelle13[Gewerknr.],MATCH(Tabelle7[[#This Row],[Gewerke]],Tabelle13[Hauptgruppe],0))</f>
        <v>#N/A</v>
      </c>
      <c r="H613" t="s">
        <v>274</v>
      </c>
      <c r="I613" t="e">
        <f ca="1">INDEX(Tabelle134[Funktionsbereichsnr.],MATCH(Tabelle7[[#This Row],[Funktionsbereiche]],INDIRECT("Tabelle134["&amp;Tabelle7[[#This Row],[Gewerke]]&amp;"]"),0))</f>
        <v>#N/A</v>
      </c>
      <c r="J613" t="e">
        <f>Tabelle7[[#This Row],[Gesamtcode]]&amp;"_"&amp;Tabelle7[[#This Row],[Zone]]&amp;"_"&amp;Tabelle7[[#This Row],[Raum]]&amp;"_"&amp;Tabelle7[[#This Row],[Bezeichnung]]</f>
        <v>#N/A</v>
      </c>
      <c r="K613">
        <v>0</v>
      </c>
      <c r="L613" t="e">
        <f>Tabelle7[[#This Row],[Hauptgruppe]]&amp;"/-/-"</f>
        <v>#N/A</v>
      </c>
      <c r="M613" t="e">
        <f ca="1">Tabelle7[[#This Row],[Hauptgruppe]]&amp;"/"&amp;Tabelle7[[#This Row],[Mittelgruppe]]&amp;"/-"</f>
        <v>#N/A</v>
      </c>
      <c r="N613" t="e">
        <f ca="1">Tabelle7[[#This Row],[Hauptgruppe]]&amp;"/"&amp;Tabelle7[[#This Row],[Mittelgruppe]]&amp;"/"&amp;Tabelle7[[#This Row],[Untergruppe]]</f>
        <v>#N/A</v>
      </c>
      <c r="O613" t="e">
        <f>INDEX(Tabelle6[Aktor],MATCH(Tabelle7[[#This Row],[Gesamtcode]],Tabelle6[Gesamtcode],0))&amp;" "&amp;INDEX(Tabelle6[Aktorkanal],MATCH(Tabelle7[[#This Row],[Gesamtcode]],Tabelle6[Gesamtcode],0))</f>
        <v>#N/A</v>
      </c>
    </row>
    <row r="614" spans="2:15" x14ac:dyDescent="0.25">
      <c r="B614" t="s">
        <v>418</v>
      </c>
      <c r="C614" t="e">
        <f>INDEX(Tabelle132[Zone],MATCH(Tabelle7[[#This Row],[Gesamtcode]],Tabelle132[Gesamtcode],0))</f>
        <v>#N/A</v>
      </c>
      <c r="D614" t="e">
        <f>INDEX(Tabelle132[Raum],MATCH(Tabelle7[[#This Row],[Gesamtcode]],Tabelle132[Gesamtcode],0))</f>
        <v>#N/A</v>
      </c>
      <c r="E614" t="e">
        <f>INDEX(Tabelle132[Bezeichnung],MATCH(Tabelle7[[#This Row],[Gesamtcode]],Tabelle132[Gesamtcode],0))</f>
        <v>#N/A</v>
      </c>
      <c r="F614" t="e">
        <f>"_"&amp;INDEX(Tabelle132[Geräte/Gewerke],MATCH(Tabelle7[[#This Row],[Gesamtcode]],Tabelle132[Gesamtcode],0))</f>
        <v>#N/A</v>
      </c>
      <c r="G614" t="e">
        <f>INDEX(Tabelle13[Gewerknr.],MATCH(Tabelle7[[#This Row],[Gewerke]],Tabelle13[Hauptgruppe],0))</f>
        <v>#N/A</v>
      </c>
      <c r="H614" t="s">
        <v>274</v>
      </c>
      <c r="I614" t="e">
        <f ca="1">INDEX(Tabelle134[Funktionsbereichsnr.],MATCH(Tabelle7[[#This Row],[Funktionsbereiche]],INDIRECT("Tabelle134["&amp;Tabelle7[[#This Row],[Gewerke]]&amp;"]"),0))</f>
        <v>#N/A</v>
      </c>
      <c r="J614" t="e">
        <f>Tabelle7[[#This Row],[Gesamtcode]]&amp;"_"&amp;Tabelle7[[#This Row],[Zone]]&amp;"_"&amp;Tabelle7[[#This Row],[Raum]]&amp;"_"&amp;Tabelle7[[#This Row],[Bezeichnung]]</f>
        <v>#N/A</v>
      </c>
      <c r="K614">
        <v>1</v>
      </c>
      <c r="L614" t="e">
        <f>Tabelle7[[#This Row],[Hauptgruppe]]&amp;"/-/-"</f>
        <v>#N/A</v>
      </c>
      <c r="M614" t="e">
        <f ca="1">Tabelle7[[#This Row],[Hauptgruppe]]&amp;"/"&amp;Tabelle7[[#This Row],[Mittelgruppe]]&amp;"/-"</f>
        <v>#N/A</v>
      </c>
      <c r="N614" t="e">
        <f ca="1">Tabelle7[[#This Row],[Hauptgruppe]]&amp;"/"&amp;Tabelle7[[#This Row],[Mittelgruppe]]&amp;"/"&amp;Tabelle7[[#This Row],[Untergruppe]]</f>
        <v>#N/A</v>
      </c>
      <c r="O614" t="e">
        <f>INDEX(Tabelle6[Aktor],MATCH(Tabelle7[[#This Row],[Gesamtcode]],Tabelle6[Gesamtcode],0))&amp;" "&amp;INDEX(Tabelle6[Aktorkanal],MATCH(Tabelle7[[#This Row],[Gesamtcode]],Tabelle6[Gesamtcode],0))</f>
        <v>#N/A</v>
      </c>
    </row>
    <row r="615" spans="2:15" x14ac:dyDescent="0.25">
      <c r="B615" t="s">
        <v>419</v>
      </c>
      <c r="C615" t="e">
        <f>INDEX(Tabelle132[Zone],MATCH(Tabelle7[[#This Row],[Gesamtcode]],Tabelle132[Gesamtcode],0))</f>
        <v>#N/A</v>
      </c>
      <c r="D615" t="e">
        <f>INDEX(Tabelle132[Raum],MATCH(Tabelle7[[#This Row],[Gesamtcode]],Tabelle132[Gesamtcode],0))</f>
        <v>#N/A</v>
      </c>
      <c r="E615" t="e">
        <f>INDEX(Tabelle132[Bezeichnung],MATCH(Tabelle7[[#This Row],[Gesamtcode]],Tabelle132[Gesamtcode],0))</f>
        <v>#N/A</v>
      </c>
      <c r="F615" t="e">
        <f>"_"&amp;INDEX(Tabelle132[Geräte/Gewerke],MATCH(Tabelle7[[#This Row],[Gesamtcode]],Tabelle132[Gesamtcode],0))</f>
        <v>#N/A</v>
      </c>
      <c r="G615" t="e">
        <f>INDEX(Tabelle13[Gewerknr.],MATCH(Tabelle7[[#This Row],[Gewerke]],Tabelle13[Hauptgruppe],0))</f>
        <v>#N/A</v>
      </c>
      <c r="H615" t="s">
        <v>274</v>
      </c>
      <c r="I615" t="e">
        <f ca="1">INDEX(Tabelle134[Funktionsbereichsnr.],MATCH(Tabelle7[[#This Row],[Funktionsbereiche]],INDIRECT("Tabelle134["&amp;Tabelle7[[#This Row],[Gewerke]]&amp;"]"),0))</f>
        <v>#N/A</v>
      </c>
      <c r="J615" t="e">
        <f>Tabelle7[[#This Row],[Gesamtcode]]&amp;"_"&amp;Tabelle7[[#This Row],[Zone]]&amp;"_"&amp;Tabelle7[[#This Row],[Raum]]&amp;"_"&amp;Tabelle7[[#This Row],[Bezeichnung]]</f>
        <v>#N/A</v>
      </c>
      <c r="K615">
        <v>2</v>
      </c>
      <c r="L615" t="e">
        <f>Tabelle7[[#This Row],[Hauptgruppe]]&amp;"/-/-"</f>
        <v>#N/A</v>
      </c>
      <c r="M615" t="e">
        <f ca="1">Tabelle7[[#This Row],[Hauptgruppe]]&amp;"/"&amp;Tabelle7[[#This Row],[Mittelgruppe]]&amp;"/-"</f>
        <v>#N/A</v>
      </c>
      <c r="N615" t="e">
        <f ca="1">Tabelle7[[#This Row],[Hauptgruppe]]&amp;"/"&amp;Tabelle7[[#This Row],[Mittelgruppe]]&amp;"/"&amp;Tabelle7[[#This Row],[Untergruppe]]</f>
        <v>#N/A</v>
      </c>
      <c r="O615" t="e">
        <f>INDEX(Tabelle6[Aktor],MATCH(Tabelle7[[#This Row],[Gesamtcode]],Tabelle6[Gesamtcode],0))&amp;" "&amp;INDEX(Tabelle6[Aktorkanal],MATCH(Tabelle7[[#This Row],[Gesamtcode]],Tabelle6[Gesamtcode],0))</f>
        <v>#N/A</v>
      </c>
    </row>
    <row r="616" spans="2:15" x14ac:dyDescent="0.25">
      <c r="B616" t="s">
        <v>420</v>
      </c>
      <c r="C616" t="e">
        <f>INDEX(Tabelle132[Zone],MATCH(Tabelle7[[#This Row],[Gesamtcode]],Tabelle132[Gesamtcode],0))</f>
        <v>#N/A</v>
      </c>
      <c r="D616" t="e">
        <f>INDEX(Tabelle132[Raum],MATCH(Tabelle7[[#This Row],[Gesamtcode]],Tabelle132[Gesamtcode],0))</f>
        <v>#N/A</v>
      </c>
      <c r="E616" t="e">
        <f>INDEX(Tabelle132[Bezeichnung],MATCH(Tabelle7[[#This Row],[Gesamtcode]],Tabelle132[Gesamtcode],0))</f>
        <v>#N/A</v>
      </c>
      <c r="F616" t="e">
        <f>"_"&amp;INDEX(Tabelle132[Geräte/Gewerke],MATCH(Tabelle7[[#This Row],[Gesamtcode]],Tabelle132[Gesamtcode],0))</f>
        <v>#N/A</v>
      </c>
      <c r="G616" t="e">
        <f>INDEX(Tabelle13[Gewerknr.],MATCH(Tabelle7[[#This Row],[Gewerke]],Tabelle13[Hauptgruppe],0))</f>
        <v>#N/A</v>
      </c>
      <c r="H616" t="s">
        <v>274</v>
      </c>
      <c r="I616" t="e">
        <f ca="1">INDEX(Tabelle134[Funktionsbereichsnr.],MATCH(Tabelle7[[#This Row],[Funktionsbereiche]],INDIRECT("Tabelle134["&amp;Tabelle7[[#This Row],[Gewerke]]&amp;"]"),0))</f>
        <v>#N/A</v>
      </c>
      <c r="J616" t="e">
        <f>Tabelle7[[#This Row],[Gesamtcode]]&amp;"_"&amp;Tabelle7[[#This Row],[Zone]]&amp;"_"&amp;Tabelle7[[#This Row],[Raum]]&amp;"_"&amp;Tabelle7[[#This Row],[Bezeichnung]]</f>
        <v>#N/A</v>
      </c>
      <c r="K616">
        <v>3</v>
      </c>
      <c r="L616" t="e">
        <f>Tabelle7[[#This Row],[Hauptgruppe]]&amp;"/-/-"</f>
        <v>#N/A</v>
      </c>
      <c r="M616" t="e">
        <f ca="1">Tabelle7[[#This Row],[Hauptgruppe]]&amp;"/"&amp;Tabelle7[[#This Row],[Mittelgruppe]]&amp;"/-"</f>
        <v>#N/A</v>
      </c>
      <c r="N616" t="e">
        <f ca="1">Tabelle7[[#This Row],[Hauptgruppe]]&amp;"/"&amp;Tabelle7[[#This Row],[Mittelgruppe]]&amp;"/"&amp;Tabelle7[[#This Row],[Untergruppe]]</f>
        <v>#N/A</v>
      </c>
      <c r="O616" t="e">
        <f>INDEX(Tabelle6[Aktor],MATCH(Tabelle7[[#This Row],[Gesamtcode]],Tabelle6[Gesamtcode],0))&amp;" "&amp;INDEX(Tabelle6[Aktorkanal],MATCH(Tabelle7[[#This Row],[Gesamtcode]],Tabelle6[Gesamtcode],0))</f>
        <v>#N/A</v>
      </c>
    </row>
    <row r="617" spans="2:15" x14ac:dyDescent="0.25">
      <c r="B617" t="s">
        <v>421</v>
      </c>
      <c r="C617" t="e">
        <f>INDEX(Tabelle132[Zone],MATCH(Tabelle7[[#This Row],[Gesamtcode]],Tabelle132[Gesamtcode],0))</f>
        <v>#N/A</v>
      </c>
      <c r="D617" t="e">
        <f>INDEX(Tabelle132[Raum],MATCH(Tabelle7[[#This Row],[Gesamtcode]],Tabelle132[Gesamtcode],0))</f>
        <v>#N/A</v>
      </c>
      <c r="E617" t="e">
        <f>INDEX(Tabelle132[Bezeichnung],MATCH(Tabelle7[[#This Row],[Gesamtcode]],Tabelle132[Gesamtcode],0))</f>
        <v>#N/A</v>
      </c>
      <c r="F617" t="e">
        <f>"_"&amp;INDEX(Tabelle132[Geräte/Gewerke],MATCH(Tabelle7[[#This Row],[Gesamtcode]],Tabelle132[Gesamtcode],0))</f>
        <v>#N/A</v>
      </c>
      <c r="G617" t="e">
        <f>INDEX(Tabelle13[Gewerknr.],MATCH(Tabelle7[[#This Row],[Gewerke]],Tabelle13[Hauptgruppe],0))</f>
        <v>#N/A</v>
      </c>
      <c r="H617" t="s">
        <v>274</v>
      </c>
      <c r="I617" t="e">
        <f ca="1">INDEX(Tabelle134[Funktionsbereichsnr.],MATCH(Tabelle7[[#This Row],[Funktionsbereiche]],INDIRECT("Tabelle134["&amp;Tabelle7[[#This Row],[Gewerke]]&amp;"]"),0))</f>
        <v>#N/A</v>
      </c>
      <c r="J617" t="e">
        <f>Tabelle7[[#This Row],[Gesamtcode]]&amp;"_"&amp;Tabelle7[[#This Row],[Zone]]&amp;"_"&amp;Tabelle7[[#This Row],[Raum]]&amp;"_"&amp;Tabelle7[[#This Row],[Bezeichnung]]</f>
        <v>#N/A</v>
      </c>
      <c r="K617">
        <v>4</v>
      </c>
      <c r="L617" t="e">
        <f>Tabelle7[[#This Row],[Hauptgruppe]]&amp;"/-/-"</f>
        <v>#N/A</v>
      </c>
      <c r="M617" t="e">
        <f ca="1">Tabelle7[[#This Row],[Hauptgruppe]]&amp;"/"&amp;Tabelle7[[#This Row],[Mittelgruppe]]&amp;"/-"</f>
        <v>#N/A</v>
      </c>
      <c r="N617" t="e">
        <f ca="1">Tabelle7[[#This Row],[Hauptgruppe]]&amp;"/"&amp;Tabelle7[[#This Row],[Mittelgruppe]]&amp;"/"&amp;Tabelle7[[#This Row],[Untergruppe]]</f>
        <v>#N/A</v>
      </c>
      <c r="O617" t="e">
        <f>INDEX(Tabelle6[Aktor],MATCH(Tabelle7[[#This Row],[Gesamtcode]],Tabelle6[Gesamtcode],0))&amp;" "&amp;INDEX(Tabelle6[Aktorkanal],MATCH(Tabelle7[[#This Row],[Gesamtcode]],Tabelle6[Gesamtcode],0))</f>
        <v>#N/A</v>
      </c>
    </row>
    <row r="618" spans="2:15" x14ac:dyDescent="0.25">
      <c r="B618" t="s">
        <v>422</v>
      </c>
      <c r="C618" t="e">
        <f>INDEX(Tabelle132[Zone],MATCH(Tabelle7[[#This Row],[Gesamtcode]],Tabelle132[Gesamtcode],0))</f>
        <v>#N/A</v>
      </c>
      <c r="D618" t="e">
        <f>INDEX(Tabelle132[Raum],MATCH(Tabelle7[[#This Row],[Gesamtcode]],Tabelle132[Gesamtcode],0))</f>
        <v>#N/A</v>
      </c>
      <c r="E618" t="e">
        <f>INDEX(Tabelle132[Bezeichnung],MATCH(Tabelle7[[#This Row],[Gesamtcode]],Tabelle132[Gesamtcode],0))</f>
        <v>#N/A</v>
      </c>
      <c r="F618" t="e">
        <f>"_"&amp;INDEX(Tabelle132[Geräte/Gewerke],MATCH(Tabelle7[[#This Row],[Gesamtcode]],Tabelle132[Gesamtcode],0))</f>
        <v>#N/A</v>
      </c>
      <c r="G618" t="e">
        <f>INDEX(Tabelle13[Gewerknr.],MATCH(Tabelle7[[#This Row],[Gewerke]],Tabelle13[Hauptgruppe],0))</f>
        <v>#N/A</v>
      </c>
      <c r="H618" t="s">
        <v>274</v>
      </c>
      <c r="I618" t="e">
        <f ca="1">INDEX(Tabelle134[Funktionsbereichsnr.],MATCH(Tabelle7[[#This Row],[Funktionsbereiche]],INDIRECT("Tabelle134["&amp;Tabelle7[[#This Row],[Gewerke]]&amp;"]"),0))</f>
        <v>#N/A</v>
      </c>
      <c r="J618" t="e">
        <f>Tabelle7[[#This Row],[Gesamtcode]]&amp;"_"&amp;Tabelle7[[#This Row],[Zone]]&amp;"_"&amp;Tabelle7[[#This Row],[Raum]]&amp;"_"&amp;Tabelle7[[#This Row],[Bezeichnung]]</f>
        <v>#N/A</v>
      </c>
      <c r="K618">
        <v>5</v>
      </c>
      <c r="L618" t="e">
        <f>Tabelle7[[#This Row],[Hauptgruppe]]&amp;"/-/-"</f>
        <v>#N/A</v>
      </c>
      <c r="M618" t="e">
        <f ca="1">Tabelle7[[#This Row],[Hauptgruppe]]&amp;"/"&amp;Tabelle7[[#This Row],[Mittelgruppe]]&amp;"/-"</f>
        <v>#N/A</v>
      </c>
      <c r="N618" t="e">
        <f ca="1">Tabelle7[[#This Row],[Hauptgruppe]]&amp;"/"&amp;Tabelle7[[#This Row],[Mittelgruppe]]&amp;"/"&amp;Tabelle7[[#This Row],[Untergruppe]]</f>
        <v>#N/A</v>
      </c>
      <c r="O618" t="e">
        <f>INDEX(Tabelle6[Aktor],MATCH(Tabelle7[[#This Row],[Gesamtcode]],Tabelle6[Gesamtcode],0))&amp;" "&amp;INDEX(Tabelle6[Aktorkanal],MATCH(Tabelle7[[#This Row],[Gesamtcode]],Tabelle6[Gesamtcode],0))</f>
        <v>#N/A</v>
      </c>
    </row>
    <row r="619" spans="2:15" x14ac:dyDescent="0.25">
      <c r="B619" t="s">
        <v>423</v>
      </c>
      <c r="C619" t="e">
        <f>INDEX(Tabelle132[Zone],MATCH(Tabelle7[[#This Row],[Gesamtcode]],Tabelle132[Gesamtcode],0))</f>
        <v>#N/A</v>
      </c>
      <c r="D619" t="e">
        <f>INDEX(Tabelle132[Raum],MATCH(Tabelle7[[#This Row],[Gesamtcode]],Tabelle132[Gesamtcode],0))</f>
        <v>#N/A</v>
      </c>
      <c r="E619" t="e">
        <f>INDEX(Tabelle132[Bezeichnung],MATCH(Tabelle7[[#This Row],[Gesamtcode]],Tabelle132[Gesamtcode],0))</f>
        <v>#N/A</v>
      </c>
      <c r="F619" t="e">
        <f>"_"&amp;INDEX(Tabelle132[Geräte/Gewerke],MATCH(Tabelle7[[#This Row],[Gesamtcode]],Tabelle132[Gesamtcode],0))</f>
        <v>#N/A</v>
      </c>
      <c r="G619" t="e">
        <f>INDEX(Tabelle13[Gewerknr.],MATCH(Tabelle7[[#This Row],[Gewerke]],Tabelle13[Hauptgruppe],0))</f>
        <v>#N/A</v>
      </c>
      <c r="H619" t="s">
        <v>274</v>
      </c>
      <c r="I619" t="e">
        <f ca="1">INDEX(Tabelle134[Funktionsbereichsnr.],MATCH(Tabelle7[[#This Row],[Funktionsbereiche]],INDIRECT("Tabelle134["&amp;Tabelle7[[#This Row],[Gewerke]]&amp;"]"),0))</f>
        <v>#N/A</v>
      </c>
      <c r="J619" t="e">
        <f>Tabelle7[[#This Row],[Gesamtcode]]&amp;"_"&amp;Tabelle7[[#This Row],[Zone]]&amp;"_"&amp;Tabelle7[[#This Row],[Raum]]&amp;"_"&amp;Tabelle7[[#This Row],[Bezeichnung]]</f>
        <v>#N/A</v>
      </c>
      <c r="K619">
        <v>6</v>
      </c>
      <c r="L619" t="e">
        <f>Tabelle7[[#This Row],[Hauptgruppe]]&amp;"/-/-"</f>
        <v>#N/A</v>
      </c>
      <c r="M619" t="e">
        <f ca="1">Tabelle7[[#This Row],[Hauptgruppe]]&amp;"/"&amp;Tabelle7[[#This Row],[Mittelgruppe]]&amp;"/-"</f>
        <v>#N/A</v>
      </c>
      <c r="N619" t="e">
        <f ca="1">Tabelle7[[#This Row],[Hauptgruppe]]&amp;"/"&amp;Tabelle7[[#This Row],[Mittelgruppe]]&amp;"/"&amp;Tabelle7[[#This Row],[Untergruppe]]</f>
        <v>#N/A</v>
      </c>
      <c r="O619" t="e">
        <f>INDEX(Tabelle6[Aktor],MATCH(Tabelle7[[#This Row],[Gesamtcode]],Tabelle6[Gesamtcode],0))&amp;" "&amp;INDEX(Tabelle6[Aktorkanal],MATCH(Tabelle7[[#This Row],[Gesamtcode]],Tabelle6[Gesamtcode],0))</f>
        <v>#N/A</v>
      </c>
    </row>
    <row r="620" spans="2:15" x14ac:dyDescent="0.25">
      <c r="B620" t="s">
        <v>424</v>
      </c>
      <c r="C620" t="e">
        <f>INDEX(Tabelle132[Zone],MATCH(Tabelle7[[#This Row],[Gesamtcode]],Tabelle132[Gesamtcode],0))</f>
        <v>#N/A</v>
      </c>
      <c r="D620" t="e">
        <f>INDEX(Tabelle132[Raum],MATCH(Tabelle7[[#This Row],[Gesamtcode]],Tabelle132[Gesamtcode],0))</f>
        <v>#N/A</v>
      </c>
      <c r="E620" t="e">
        <f>INDEX(Tabelle132[Bezeichnung],MATCH(Tabelle7[[#This Row],[Gesamtcode]],Tabelle132[Gesamtcode],0))</f>
        <v>#N/A</v>
      </c>
      <c r="F620" t="e">
        <f>"_"&amp;INDEX(Tabelle132[Geräte/Gewerke],MATCH(Tabelle7[[#This Row],[Gesamtcode]],Tabelle132[Gesamtcode],0))</f>
        <v>#N/A</v>
      </c>
      <c r="G620" t="e">
        <f>INDEX(Tabelle13[Gewerknr.],MATCH(Tabelle7[[#This Row],[Gewerke]],Tabelle13[Hauptgruppe],0))</f>
        <v>#N/A</v>
      </c>
      <c r="H620" t="s">
        <v>274</v>
      </c>
      <c r="I620" t="e">
        <f ca="1">INDEX(Tabelle134[Funktionsbereichsnr.],MATCH(Tabelle7[[#This Row],[Funktionsbereiche]],INDIRECT("Tabelle134["&amp;Tabelle7[[#This Row],[Gewerke]]&amp;"]"),0))</f>
        <v>#N/A</v>
      </c>
      <c r="J620" t="e">
        <f>Tabelle7[[#This Row],[Gesamtcode]]&amp;"_"&amp;Tabelle7[[#This Row],[Zone]]&amp;"_"&amp;Tabelle7[[#This Row],[Raum]]&amp;"_"&amp;Tabelle7[[#This Row],[Bezeichnung]]</f>
        <v>#N/A</v>
      </c>
      <c r="K620">
        <v>7</v>
      </c>
      <c r="L620" t="e">
        <f>Tabelle7[[#This Row],[Hauptgruppe]]&amp;"/-/-"</f>
        <v>#N/A</v>
      </c>
      <c r="M620" t="e">
        <f ca="1">Tabelle7[[#This Row],[Hauptgruppe]]&amp;"/"&amp;Tabelle7[[#This Row],[Mittelgruppe]]&amp;"/-"</f>
        <v>#N/A</v>
      </c>
      <c r="N620" t="e">
        <f ca="1">Tabelle7[[#This Row],[Hauptgruppe]]&amp;"/"&amp;Tabelle7[[#This Row],[Mittelgruppe]]&amp;"/"&amp;Tabelle7[[#This Row],[Untergruppe]]</f>
        <v>#N/A</v>
      </c>
      <c r="O620" t="e">
        <f>INDEX(Tabelle6[Aktor],MATCH(Tabelle7[[#This Row],[Gesamtcode]],Tabelle6[Gesamtcode],0))&amp;" "&amp;INDEX(Tabelle6[Aktorkanal],MATCH(Tabelle7[[#This Row],[Gesamtcode]],Tabelle6[Gesamtcode],0))</f>
        <v>#N/A</v>
      </c>
    </row>
    <row r="621" spans="2:15" x14ac:dyDescent="0.25">
      <c r="B621" t="s">
        <v>417</v>
      </c>
      <c r="C621" t="e">
        <f>INDEX(Tabelle132[Zone],MATCH(Tabelle7[[#This Row],[Gesamtcode]],Tabelle132[Gesamtcode],0))</f>
        <v>#N/A</v>
      </c>
      <c r="D621" t="e">
        <f>INDEX(Tabelle132[Raum],MATCH(Tabelle7[[#This Row],[Gesamtcode]],Tabelle132[Gesamtcode],0))</f>
        <v>#N/A</v>
      </c>
      <c r="E621" t="e">
        <f>INDEX(Tabelle132[Bezeichnung],MATCH(Tabelle7[[#This Row],[Gesamtcode]],Tabelle132[Gesamtcode],0))</f>
        <v>#N/A</v>
      </c>
      <c r="F621" t="e">
        <f>"_"&amp;INDEX(Tabelle132[Geräte/Gewerke],MATCH(Tabelle7[[#This Row],[Gesamtcode]],Tabelle132[Gesamtcode],0))</f>
        <v>#N/A</v>
      </c>
      <c r="G621" t="e">
        <f>INDEX(Tabelle13[Gewerknr.],MATCH(Tabelle7[[#This Row],[Gewerke]],Tabelle13[Hauptgruppe],0))</f>
        <v>#N/A</v>
      </c>
      <c r="H621" t="s">
        <v>275</v>
      </c>
      <c r="I621" t="e">
        <f ca="1">INDEX(Tabelle134[Funktionsbereichsnr.],MATCH(Tabelle7[[#This Row],[Funktionsbereiche]],INDIRECT("Tabelle134["&amp;Tabelle7[[#This Row],[Gewerke]]&amp;"]"),0))</f>
        <v>#N/A</v>
      </c>
      <c r="J621" t="e">
        <f>Tabelle7[[#This Row],[Gesamtcode]]&amp;"_"&amp;Tabelle7[[#This Row],[Zone]]&amp;"_"&amp;Tabelle7[[#This Row],[Raum]]&amp;"_"&amp;Tabelle7[[#This Row],[Bezeichnung]]</f>
        <v>#N/A</v>
      </c>
      <c r="K621">
        <v>0</v>
      </c>
      <c r="L621" t="e">
        <f>Tabelle7[[#This Row],[Hauptgruppe]]&amp;"/-/-"</f>
        <v>#N/A</v>
      </c>
      <c r="M621" t="e">
        <f ca="1">Tabelle7[[#This Row],[Hauptgruppe]]&amp;"/"&amp;Tabelle7[[#This Row],[Mittelgruppe]]&amp;"/-"</f>
        <v>#N/A</v>
      </c>
      <c r="N621" t="e">
        <f ca="1">Tabelle7[[#This Row],[Hauptgruppe]]&amp;"/"&amp;Tabelle7[[#This Row],[Mittelgruppe]]&amp;"/"&amp;Tabelle7[[#This Row],[Untergruppe]]</f>
        <v>#N/A</v>
      </c>
      <c r="O621" t="e">
        <f>INDEX(Tabelle6[Aktor],MATCH(Tabelle7[[#This Row],[Gesamtcode]],Tabelle6[Gesamtcode],0))&amp;" "&amp;INDEX(Tabelle6[Aktorkanal],MATCH(Tabelle7[[#This Row],[Gesamtcode]],Tabelle6[Gesamtcode],0))</f>
        <v>#N/A</v>
      </c>
    </row>
    <row r="622" spans="2:15" x14ac:dyDescent="0.25">
      <c r="B622" t="s">
        <v>418</v>
      </c>
      <c r="C622" t="e">
        <f>INDEX(Tabelle132[Zone],MATCH(Tabelle7[[#This Row],[Gesamtcode]],Tabelle132[Gesamtcode],0))</f>
        <v>#N/A</v>
      </c>
      <c r="D622" t="e">
        <f>INDEX(Tabelle132[Raum],MATCH(Tabelle7[[#This Row],[Gesamtcode]],Tabelle132[Gesamtcode],0))</f>
        <v>#N/A</v>
      </c>
      <c r="E622" t="e">
        <f>INDEX(Tabelle132[Bezeichnung],MATCH(Tabelle7[[#This Row],[Gesamtcode]],Tabelle132[Gesamtcode],0))</f>
        <v>#N/A</v>
      </c>
      <c r="F622" t="e">
        <f>"_"&amp;INDEX(Tabelle132[Geräte/Gewerke],MATCH(Tabelle7[[#This Row],[Gesamtcode]],Tabelle132[Gesamtcode],0))</f>
        <v>#N/A</v>
      </c>
      <c r="G622" t="e">
        <f>INDEX(Tabelle13[Gewerknr.],MATCH(Tabelle7[[#This Row],[Gewerke]],Tabelle13[Hauptgruppe],0))</f>
        <v>#N/A</v>
      </c>
      <c r="H622" t="s">
        <v>275</v>
      </c>
      <c r="I622" t="e">
        <f ca="1">INDEX(Tabelle134[Funktionsbereichsnr.],MATCH(Tabelle7[[#This Row],[Funktionsbereiche]],INDIRECT("Tabelle134["&amp;Tabelle7[[#This Row],[Gewerke]]&amp;"]"),0))</f>
        <v>#N/A</v>
      </c>
      <c r="J622" t="e">
        <f>Tabelle7[[#This Row],[Gesamtcode]]&amp;"_"&amp;Tabelle7[[#This Row],[Zone]]&amp;"_"&amp;Tabelle7[[#This Row],[Raum]]&amp;"_"&amp;Tabelle7[[#This Row],[Bezeichnung]]</f>
        <v>#N/A</v>
      </c>
      <c r="K622">
        <v>1</v>
      </c>
      <c r="L622" t="e">
        <f>Tabelle7[[#This Row],[Hauptgruppe]]&amp;"/-/-"</f>
        <v>#N/A</v>
      </c>
      <c r="M622" t="e">
        <f ca="1">Tabelle7[[#This Row],[Hauptgruppe]]&amp;"/"&amp;Tabelle7[[#This Row],[Mittelgruppe]]&amp;"/-"</f>
        <v>#N/A</v>
      </c>
      <c r="N622" t="e">
        <f ca="1">Tabelle7[[#This Row],[Hauptgruppe]]&amp;"/"&amp;Tabelle7[[#This Row],[Mittelgruppe]]&amp;"/"&amp;Tabelle7[[#This Row],[Untergruppe]]</f>
        <v>#N/A</v>
      </c>
      <c r="O622" t="e">
        <f>INDEX(Tabelle6[Aktor],MATCH(Tabelle7[[#This Row],[Gesamtcode]],Tabelle6[Gesamtcode],0))&amp;" "&amp;INDEX(Tabelle6[Aktorkanal],MATCH(Tabelle7[[#This Row],[Gesamtcode]],Tabelle6[Gesamtcode],0))</f>
        <v>#N/A</v>
      </c>
    </row>
    <row r="623" spans="2:15" x14ac:dyDescent="0.25">
      <c r="B623" t="s">
        <v>419</v>
      </c>
      <c r="C623" t="e">
        <f>INDEX(Tabelle132[Zone],MATCH(Tabelle7[[#This Row],[Gesamtcode]],Tabelle132[Gesamtcode],0))</f>
        <v>#N/A</v>
      </c>
      <c r="D623" t="e">
        <f>INDEX(Tabelle132[Raum],MATCH(Tabelle7[[#This Row],[Gesamtcode]],Tabelle132[Gesamtcode],0))</f>
        <v>#N/A</v>
      </c>
      <c r="E623" t="e">
        <f>INDEX(Tabelle132[Bezeichnung],MATCH(Tabelle7[[#This Row],[Gesamtcode]],Tabelle132[Gesamtcode],0))</f>
        <v>#N/A</v>
      </c>
      <c r="F623" t="e">
        <f>"_"&amp;INDEX(Tabelle132[Geräte/Gewerke],MATCH(Tabelle7[[#This Row],[Gesamtcode]],Tabelle132[Gesamtcode],0))</f>
        <v>#N/A</v>
      </c>
      <c r="G623" t="e">
        <f>INDEX(Tabelle13[Gewerknr.],MATCH(Tabelle7[[#This Row],[Gewerke]],Tabelle13[Hauptgruppe],0))</f>
        <v>#N/A</v>
      </c>
      <c r="H623" t="s">
        <v>275</v>
      </c>
      <c r="I623" t="e">
        <f ca="1">INDEX(Tabelle134[Funktionsbereichsnr.],MATCH(Tabelle7[[#This Row],[Funktionsbereiche]],INDIRECT("Tabelle134["&amp;Tabelle7[[#This Row],[Gewerke]]&amp;"]"),0))</f>
        <v>#N/A</v>
      </c>
      <c r="J623" t="e">
        <f>Tabelle7[[#This Row],[Gesamtcode]]&amp;"_"&amp;Tabelle7[[#This Row],[Zone]]&amp;"_"&amp;Tabelle7[[#This Row],[Raum]]&amp;"_"&amp;Tabelle7[[#This Row],[Bezeichnung]]</f>
        <v>#N/A</v>
      </c>
      <c r="K623">
        <v>2</v>
      </c>
      <c r="L623" t="e">
        <f>Tabelle7[[#This Row],[Hauptgruppe]]&amp;"/-/-"</f>
        <v>#N/A</v>
      </c>
      <c r="M623" t="e">
        <f ca="1">Tabelle7[[#This Row],[Hauptgruppe]]&amp;"/"&amp;Tabelle7[[#This Row],[Mittelgruppe]]&amp;"/-"</f>
        <v>#N/A</v>
      </c>
      <c r="N623" t="e">
        <f ca="1">Tabelle7[[#This Row],[Hauptgruppe]]&amp;"/"&amp;Tabelle7[[#This Row],[Mittelgruppe]]&amp;"/"&amp;Tabelle7[[#This Row],[Untergruppe]]</f>
        <v>#N/A</v>
      </c>
      <c r="O623" t="e">
        <f>INDEX(Tabelle6[Aktor],MATCH(Tabelle7[[#This Row],[Gesamtcode]],Tabelle6[Gesamtcode],0))&amp;" "&amp;INDEX(Tabelle6[Aktorkanal],MATCH(Tabelle7[[#This Row],[Gesamtcode]],Tabelle6[Gesamtcode],0))</f>
        <v>#N/A</v>
      </c>
    </row>
    <row r="624" spans="2:15" x14ac:dyDescent="0.25">
      <c r="B624" t="s">
        <v>420</v>
      </c>
      <c r="C624" t="e">
        <f>INDEX(Tabelle132[Zone],MATCH(Tabelle7[[#This Row],[Gesamtcode]],Tabelle132[Gesamtcode],0))</f>
        <v>#N/A</v>
      </c>
      <c r="D624" t="e">
        <f>INDEX(Tabelle132[Raum],MATCH(Tabelle7[[#This Row],[Gesamtcode]],Tabelle132[Gesamtcode],0))</f>
        <v>#N/A</v>
      </c>
      <c r="E624" t="e">
        <f>INDEX(Tabelle132[Bezeichnung],MATCH(Tabelle7[[#This Row],[Gesamtcode]],Tabelle132[Gesamtcode],0))</f>
        <v>#N/A</v>
      </c>
      <c r="F624" t="e">
        <f>"_"&amp;INDEX(Tabelle132[Geräte/Gewerke],MATCH(Tabelle7[[#This Row],[Gesamtcode]],Tabelle132[Gesamtcode],0))</f>
        <v>#N/A</v>
      </c>
      <c r="G624" t="e">
        <f>INDEX(Tabelle13[Gewerknr.],MATCH(Tabelle7[[#This Row],[Gewerke]],Tabelle13[Hauptgruppe],0))</f>
        <v>#N/A</v>
      </c>
      <c r="H624" t="s">
        <v>275</v>
      </c>
      <c r="I624" t="e">
        <f ca="1">INDEX(Tabelle134[Funktionsbereichsnr.],MATCH(Tabelle7[[#This Row],[Funktionsbereiche]],INDIRECT("Tabelle134["&amp;Tabelle7[[#This Row],[Gewerke]]&amp;"]"),0))</f>
        <v>#N/A</v>
      </c>
      <c r="J624" t="e">
        <f>Tabelle7[[#This Row],[Gesamtcode]]&amp;"_"&amp;Tabelle7[[#This Row],[Zone]]&amp;"_"&amp;Tabelle7[[#This Row],[Raum]]&amp;"_"&amp;Tabelle7[[#This Row],[Bezeichnung]]</f>
        <v>#N/A</v>
      </c>
      <c r="K624">
        <v>3</v>
      </c>
      <c r="L624" t="e">
        <f>Tabelle7[[#This Row],[Hauptgruppe]]&amp;"/-/-"</f>
        <v>#N/A</v>
      </c>
      <c r="M624" t="e">
        <f ca="1">Tabelle7[[#This Row],[Hauptgruppe]]&amp;"/"&amp;Tabelle7[[#This Row],[Mittelgruppe]]&amp;"/-"</f>
        <v>#N/A</v>
      </c>
      <c r="N624" t="e">
        <f ca="1">Tabelle7[[#This Row],[Hauptgruppe]]&amp;"/"&amp;Tabelle7[[#This Row],[Mittelgruppe]]&amp;"/"&amp;Tabelle7[[#This Row],[Untergruppe]]</f>
        <v>#N/A</v>
      </c>
      <c r="O624" t="e">
        <f>INDEX(Tabelle6[Aktor],MATCH(Tabelle7[[#This Row],[Gesamtcode]],Tabelle6[Gesamtcode],0))&amp;" "&amp;INDEX(Tabelle6[Aktorkanal],MATCH(Tabelle7[[#This Row],[Gesamtcode]],Tabelle6[Gesamtcode],0))</f>
        <v>#N/A</v>
      </c>
    </row>
    <row r="625" spans="2:15" x14ac:dyDescent="0.25">
      <c r="B625" t="s">
        <v>421</v>
      </c>
      <c r="C625" t="e">
        <f>INDEX(Tabelle132[Zone],MATCH(Tabelle7[[#This Row],[Gesamtcode]],Tabelle132[Gesamtcode],0))</f>
        <v>#N/A</v>
      </c>
      <c r="D625" t="e">
        <f>INDEX(Tabelle132[Raum],MATCH(Tabelle7[[#This Row],[Gesamtcode]],Tabelle132[Gesamtcode],0))</f>
        <v>#N/A</v>
      </c>
      <c r="E625" t="e">
        <f>INDEX(Tabelle132[Bezeichnung],MATCH(Tabelle7[[#This Row],[Gesamtcode]],Tabelle132[Gesamtcode],0))</f>
        <v>#N/A</v>
      </c>
      <c r="F625" t="e">
        <f>"_"&amp;INDEX(Tabelle132[Geräte/Gewerke],MATCH(Tabelle7[[#This Row],[Gesamtcode]],Tabelle132[Gesamtcode],0))</f>
        <v>#N/A</v>
      </c>
      <c r="G625" t="e">
        <f>INDEX(Tabelle13[Gewerknr.],MATCH(Tabelle7[[#This Row],[Gewerke]],Tabelle13[Hauptgruppe],0))</f>
        <v>#N/A</v>
      </c>
      <c r="H625" t="s">
        <v>275</v>
      </c>
      <c r="I625" t="e">
        <f ca="1">INDEX(Tabelle134[Funktionsbereichsnr.],MATCH(Tabelle7[[#This Row],[Funktionsbereiche]],INDIRECT("Tabelle134["&amp;Tabelle7[[#This Row],[Gewerke]]&amp;"]"),0))</f>
        <v>#N/A</v>
      </c>
      <c r="J625" t="e">
        <f>Tabelle7[[#This Row],[Gesamtcode]]&amp;"_"&amp;Tabelle7[[#This Row],[Zone]]&amp;"_"&amp;Tabelle7[[#This Row],[Raum]]&amp;"_"&amp;Tabelle7[[#This Row],[Bezeichnung]]</f>
        <v>#N/A</v>
      </c>
      <c r="K625">
        <v>4</v>
      </c>
      <c r="L625" t="e">
        <f>Tabelle7[[#This Row],[Hauptgruppe]]&amp;"/-/-"</f>
        <v>#N/A</v>
      </c>
      <c r="M625" t="e">
        <f ca="1">Tabelle7[[#This Row],[Hauptgruppe]]&amp;"/"&amp;Tabelle7[[#This Row],[Mittelgruppe]]&amp;"/-"</f>
        <v>#N/A</v>
      </c>
      <c r="N625" t="e">
        <f ca="1">Tabelle7[[#This Row],[Hauptgruppe]]&amp;"/"&amp;Tabelle7[[#This Row],[Mittelgruppe]]&amp;"/"&amp;Tabelle7[[#This Row],[Untergruppe]]</f>
        <v>#N/A</v>
      </c>
      <c r="O625" t="e">
        <f>INDEX(Tabelle6[Aktor],MATCH(Tabelle7[[#This Row],[Gesamtcode]],Tabelle6[Gesamtcode],0))&amp;" "&amp;INDEX(Tabelle6[Aktorkanal],MATCH(Tabelle7[[#This Row],[Gesamtcode]],Tabelle6[Gesamtcode],0))</f>
        <v>#N/A</v>
      </c>
    </row>
    <row r="626" spans="2:15" x14ac:dyDescent="0.25">
      <c r="B626" t="s">
        <v>422</v>
      </c>
      <c r="C626" t="e">
        <f>INDEX(Tabelle132[Zone],MATCH(Tabelle7[[#This Row],[Gesamtcode]],Tabelle132[Gesamtcode],0))</f>
        <v>#N/A</v>
      </c>
      <c r="D626" t="e">
        <f>INDEX(Tabelle132[Raum],MATCH(Tabelle7[[#This Row],[Gesamtcode]],Tabelle132[Gesamtcode],0))</f>
        <v>#N/A</v>
      </c>
      <c r="E626" t="e">
        <f>INDEX(Tabelle132[Bezeichnung],MATCH(Tabelle7[[#This Row],[Gesamtcode]],Tabelle132[Gesamtcode],0))</f>
        <v>#N/A</v>
      </c>
      <c r="F626" t="e">
        <f>"_"&amp;INDEX(Tabelle132[Geräte/Gewerke],MATCH(Tabelle7[[#This Row],[Gesamtcode]],Tabelle132[Gesamtcode],0))</f>
        <v>#N/A</v>
      </c>
      <c r="G626" t="e">
        <f>INDEX(Tabelle13[Gewerknr.],MATCH(Tabelle7[[#This Row],[Gewerke]],Tabelle13[Hauptgruppe],0))</f>
        <v>#N/A</v>
      </c>
      <c r="H626" t="s">
        <v>275</v>
      </c>
      <c r="I626" t="e">
        <f ca="1">INDEX(Tabelle134[Funktionsbereichsnr.],MATCH(Tabelle7[[#This Row],[Funktionsbereiche]],INDIRECT("Tabelle134["&amp;Tabelle7[[#This Row],[Gewerke]]&amp;"]"),0))</f>
        <v>#N/A</v>
      </c>
      <c r="J626" t="e">
        <f>Tabelle7[[#This Row],[Gesamtcode]]&amp;"_"&amp;Tabelle7[[#This Row],[Zone]]&amp;"_"&amp;Tabelle7[[#This Row],[Raum]]&amp;"_"&amp;Tabelle7[[#This Row],[Bezeichnung]]</f>
        <v>#N/A</v>
      </c>
      <c r="K626">
        <v>5</v>
      </c>
      <c r="L626" t="e">
        <f>Tabelle7[[#This Row],[Hauptgruppe]]&amp;"/-/-"</f>
        <v>#N/A</v>
      </c>
      <c r="M626" t="e">
        <f ca="1">Tabelle7[[#This Row],[Hauptgruppe]]&amp;"/"&amp;Tabelle7[[#This Row],[Mittelgruppe]]&amp;"/-"</f>
        <v>#N/A</v>
      </c>
      <c r="N626" t="e">
        <f ca="1">Tabelle7[[#This Row],[Hauptgruppe]]&amp;"/"&amp;Tabelle7[[#This Row],[Mittelgruppe]]&amp;"/"&amp;Tabelle7[[#This Row],[Untergruppe]]</f>
        <v>#N/A</v>
      </c>
      <c r="O626" t="e">
        <f>INDEX(Tabelle6[Aktor],MATCH(Tabelle7[[#This Row],[Gesamtcode]],Tabelle6[Gesamtcode],0))&amp;" "&amp;INDEX(Tabelle6[Aktorkanal],MATCH(Tabelle7[[#This Row],[Gesamtcode]],Tabelle6[Gesamtcode],0))</f>
        <v>#N/A</v>
      </c>
    </row>
    <row r="627" spans="2:15" x14ac:dyDescent="0.25">
      <c r="B627" t="s">
        <v>423</v>
      </c>
      <c r="C627" t="e">
        <f>INDEX(Tabelle132[Zone],MATCH(Tabelle7[[#This Row],[Gesamtcode]],Tabelle132[Gesamtcode],0))</f>
        <v>#N/A</v>
      </c>
      <c r="D627" t="e">
        <f>INDEX(Tabelle132[Raum],MATCH(Tabelle7[[#This Row],[Gesamtcode]],Tabelle132[Gesamtcode],0))</f>
        <v>#N/A</v>
      </c>
      <c r="E627" t="e">
        <f>INDEX(Tabelle132[Bezeichnung],MATCH(Tabelle7[[#This Row],[Gesamtcode]],Tabelle132[Gesamtcode],0))</f>
        <v>#N/A</v>
      </c>
      <c r="F627" t="e">
        <f>"_"&amp;INDEX(Tabelle132[Geräte/Gewerke],MATCH(Tabelle7[[#This Row],[Gesamtcode]],Tabelle132[Gesamtcode],0))</f>
        <v>#N/A</v>
      </c>
      <c r="G627" t="e">
        <f>INDEX(Tabelle13[Gewerknr.],MATCH(Tabelle7[[#This Row],[Gewerke]],Tabelle13[Hauptgruppe],0))</f>
        <v>#N/A</v>
      </c>
      <c r="H627" t="s">
        <v>275</v>
      </c>
      <c r="I627" t="e">
        <f ca="1">INDEX(Tabelle134[Funktionsbereichsnr.],MATCH(Tabelle7[[#This Row],[Funktionsbereiche]],INDIRECT("Tabelle134["&amp;Tabelle7[[#This Row],[Gewerke]]&amp;"]"),0))</f>
        <v>#N/A</v>
      </c>
      <c r="J627" t="e">
        <f>Tabelle7[[#This Row],[Gesamtcode]]&amp;"_"&amp;Tabelle7[[#This Row],[Zone]]&amp;"_"&amp;Tabelle7[[#This Row],[Raum]]&amp;"_"&amp;Tabelle7[[#This Row],[Bezeichnung]]</f>
        <v>#N/A</v>
      </c>
      <c r="K627">
        <v>6</v>
      </c>
      <c r="L627" t="e">
        <f>Tabelle7[[#This Row],[Hauptgruppe]]&amp;"/-/-"</f>
        <v>#N/A</v>
      </c>
      <c r="M627" t="e">
        <f ca="1">Tabelle7[[#This Row],[Hauptgruppe]]&amp;"/"&amp;Tabelle7[[#This Row],[Mittelgruppe]]&amp;"/-"</f>
        <v>#N/A</v>
      </c>
      <c r="N627" t="e">
        <f ca="1">Tabelle7[[#This Row],[Hauptgruppe]]&amp;"/"&amp;Tabelle7[[#This Row],[Mittelgruppe]]&amp;"/"&amp;Tabelle7[[#This Row],[Untergruppe]]</f>
        <v>#N/A</v>
      </c>
      <c r="O627" t="e">
        <f>INDEX(Tabelle6[Aktor],MATCH(Tabelle7[[#This Row],[Gesamtcode]],Tabelle6[Gesamtcode],0))&amp;" "&amp;INDEX(Tabelle6[Aktorkanal],MATCH(Tabelle7[[#This Row],[Gesamtcode]],Tabelle6[Gesamtcode],0))</f>
        <v>#N/A</v>
      </c>
    </row>
    <row r="628" spans="2:15" x14ac:dyDescent="0.25">
      <c r="B628" t="s">
        <v>424</v>
      </c>
      <c r="C628" t="e">
        <f>INDEX(Tabelle132[Zone],MATCH(Tabelle7[[#This Row],[Gesamtcode]],Tabelle132[Gesamtcode],0))</f>
        <v>#N/A</v>
      </c>
      <c r="D628" t="e">
        <f>INDEX(Tabelle132[Raum],MATCH(Tabelle7[[#This Row],[Gesamtcode]],Tabelle132[Gesamtcode],0))</f>
        <v>#N/A</v>
      </c>
      <c r="E628" t="e">
        <f>INDEX(Tabelle132[Bezeichnung],MATCH(Tabelle7[[#This Row],[Gesamtcode]],Tabelle132[Gesamtcode],0))</f>
        <v>#N/A</v>
      </c>
      <c r="F628" t="e">
        <f>"_"&amp;INDEX(Tabelle132[Geräte/Gewerke],MATCH(Tabelle7[[#This Row],[Gesamtcode]],Tabelle132[Gesamtcode],0))</f>
        <v>#N/A</v>
      </c>
      <c r="G628" t="e">
        <f>INDEX(Tabelle13[Gewerknr.],MATCH(Tabelle7[[#This Row],[Gewerke]],Tabelle13[Hauptgruppe],0))</f>
        <v>#N/A</v>
      </c>
      <c r="H628" t="s">
        <v>275</v>
      </c>
      <c r="I628" t="e">
        <f ca="1">INDEX(Tabelle134[Funktionsbereichsnr.],MATCH(Tabelle7[[#This Row],[Funktionsbereiche]],INDIRECT("Tabelle134["&amp;Tabelle7[[#This Row],[Gewerke]]&amp;"]"),0))</f>
        <v>#N/A</v>
      </c>
      <c r="J628" t="e">
        <f>Tabelle7[[#This Row],[Gesamtcode]]&amp;"_"&amp;Tabelle7[[#This Row],[Zone]]&amp;"_"&amp;Tabelle7[[#This Row],[Raum]]&amp;"_"&amp;Tabelle7[[#This Row],[Bezeichnung]]</f>
        <v>#N/A</v>
      </c>
      <c r="K628">
        <v>7</v>
      </c>
      <c r="L628" t="e">
        <f>Tabelle7[[#This Row],[Hauptgruppe]]&amp;"/-/-"</f>
        <v>#N/A</v>
      </c>
      <c r="M628" t="e">
        <f ca="1">Tabelle7[[#This Row],[Hauptgruppe]]&amp;"/"&amp;Tabelle7[[#This Row],[Mittelgruppe]]&amp;"/-"</f>
        <v>#N/A</v>
      </c>
      <c r="N628" t="e">
        <f ca="1">Tabelle7[[#This Row],[Hauptgruppe]]&amp;"/"&amp;Tabelle7[[#This Row],[Mittelgruppe]]&amp;"/"&amp;Tabelle7[[#This Row],[Untergruppe]]</f>
        <v>#N/A</v>
      </c>
      <c r="O628" t="e">
        <f>INDEX(Tabelle6[Aktor],MATCH(Tabelle7[[#This Row],[Gesamtcode]],Tabelle6[Gesamtcode],0))&amp;" "&amp;INDEX(Tabelle6[Aktorkanal],MATCH(Tabelle7[[#This Row],[Gesamtcode]],Tabelle6[Gesamtcode],0))</f>
        <v>#N/A</v>
      </c>
    </row>
    <row r="629" spans="2:15" x14ac:dyDescent="0.25">
      <c r="B629" t="s">
        <v>417</v>
      </c>
      <c r="C629" t="e">
        <f>INDEX(Tabelle132[Zone],MATCH(Tabelle7[[#This Row],[Gesamtcode]],Tabelle132[Gesamtcode],0))</f>
        <v>#N/A</v>
      </c>
      <c r="D629" t="e">
        <f>INDEX(Tabelle132[Raum],MATCH(Tabelle7[[#This Row],[Gesamtcode]],Tabelle132[Gesamtcode],0))</f>
        <v>#N/A</v>
      </c>
      <c r="E629" t="e">
        <f>INDEX(Tabelle132[Bezeichnung],MATCH(Tabelle7[[#This Row],[Gesamtcode]],Tabelle132[Gesamtcode],0))</f>
        <v>#N/A</v>
      </c>
      <c r="F629" t="e">
        <f>"_"&amp;INDEX(Tabelle132[Geräte/Gewerke],MATCH(Tabelle7[[#This Row],[Gesamtcode]],Tabelle132[Gesamtcode],0))</f>
        <v>#N/A</v>
      </c>
      <c r="G629" t="e">
        <f>INDEX(Tabelle13[Gewerknr.],MATCH(Tabelle7[[#This Row],[Gewerke]],Tabelle13[Hauptgruppe],0))</f>
        <v>#N/A</v>
      </c>
      <c r="H629" t="s">
        <v>276</v>
      </c>
      <c r="I629" t="e">
        <f ca="1">INDEX(Tabelle134[Funktionsbereichsnr.],MATCH(Tabelle7[[#This Row],[Funktionsbereiche]],INDIRECT("Tabelle134["&amp;Tabelle7[[#This Row],[Gewerke]]&amp;"]"),0))</f>
        <v>#N/A</v>
      </c>
      <c r="J629" t="e">
        <f>Tabelle7[[#This Row],[Gesamtcode]]&amp;"_"&amp;Tabelle7[[#This Row],[Zone]]&amp;"_"&amp;Tabelle7[[#This Row],[Raum]]&amp;"_"&amp;Tabelle7[[#This Row],[Bezeichnung]]</f>
        <v>#N/A</v>
      </c>
      <c r="K629">
        <v>0</v>
      </c>
      <c r="L629" t="e">
        <f>Tabelle7[[#This Row],[Hauptgruppe]]&amp;"/-/-"</f>
        <v>#N/A</v>
      </c>
      <c r="M629" t="e">
        <f ca="1">Tabelle7[[#This Row],[Hauptgruppe]]&amp;"/"&amp;Tabelle7[[#This Row],[Mittelgruppe]]&amp;"/-"</f>
        <v>#N/A</v>
      </c>
      <c r="N629" t="e">
        <f ca="1">Tabelle7[[#This Row],[Hauptgruppe]]&amp;"/"&amp;Tabelle7[[#This Row],[Mittelgruppe]]&amp;"/"&amp;Tabelle7[[#This Row],[Untergruppe]]</f>
        <v>#N/A</v>
      </c>
      <c r="O629" t="e">
        <f>INDEX(Tabelle6[Aktor],MATCH(Tabelle7[[#This Row],[Gesamtcode]],Tabelle6[Gesamtcode],0))&amp;" "&amp;INDEX(Tabelle6[Aktorkanal],MATCH(Tabelle7[[#This Row],[Gesamtcode]],Tabelle6[Gesamtcode],0))</f>
        <v>#N/A</v>
      </c>
    </row>
    <row r="630" spans="2:15" x14ac:dyDescent="0.25">
      <c r="B630" t="s">
        <v>418</v>
      </c>
      <c r="C630" t="e">
        <f>INDEX(Tabelle132[Zone],MATCH(Tabelle7[[#This Row],[Gesamtcode]],Tabelle132[Gesamtcode],0))</f>
        <v>#N/A</v>
      </c>
      <c r="D630" t="e">
        <f>INDEX(Tabelle132[Raum],MATCH(Tabelle7[[#This Row],[Gesamtcode]],Tabelle132[Gesamtcode],0))</f>
        <v>#N/A</v>
      </c>
      <c r="E630" t="e">
        <f>INDEX(Tabelle132[Bezeichnung],MATCH(Tabelle7[[#This Row],[Gesamtcode]],Tabelle132[Gesamtcode],0))</f>
        <v>#N/A</v>
      </c>
      <c r="F630" t="e">
        <f>"_"&amp;INDEX(Tabelle132[Geräte/Gewerke],MATCH(Tabelle7[[#This Row],[Gesamtcode]],Tabelle132[Gesamtcode],0))</f>
        <v>#N/A</v>
      </c>
      <c r="G630" t="e">
        <f>INDEX(Tabelle13[Gewerknr.],MATCH(Tabelle7[[#This Row],[Gewerke]],Tabelle13[Hauptgruppe],0))</f>
        <v>#N/A</v>
      </c>
      <c r="H630" t="s">
        <v>276</v>
      </c>
      <c r="I630" t="e">
        <f ca="1">INDEX(Tabelle134[Funktionsbereichsnr.],MATCH(Tabelle7[[#This Row],[Funktionsbereiche]],INDIRECT("Tabelle134["&amp;Tabelle7[[#This Row],[Gewerke]]&amp;"]"),0))</f>
        <v>#N/A</v>
      </c>
      <c r="J630" t="e">
        <f>Tabelle7[[#This Row],[Gesamtcode]]&amp;"_"&amp;Tabelle7[[#This Row],[Zone]]&amp;"_"&amp;Tabelle7[[#This Row],[Raum]]&amp;"_"&amp;Tabelle7[[#This Row],[Bezeichnung]]</f>
        <v>#N/A</v>
      </c>
      <c r="K630">
        <v>1</v>
      </c>
      <c r="L630" t="e">
        <f>Tabelle7[[#This Row],[Hauptgruppe]]&amp;"/-/-"</f>
        <v>#N/A</v>
      </c>
      <c r="M630" t="e">
        <f ca="1">Tabelle7[[#This Row],[Hauptgruppe]]&amp;"/"&amp;Tabelle7[[#This Row],[Mittelgruppe]]&amp;"/-"</f>
        <v>#N/A</v>
      </c>
      <c r="N630" t="e">
        <f ca="1">Tabelle7[[#This Row],[Hauptgruppe]]&amp;"/"&amp;Tabelle7[[#This Row],[Mittelgruppe]]&amp;"/"&amp;Tabelle7[[#This Row],[Untergruppe]]</f>
        <v>#N/A</v>
      </c>
      <c r="O630" t="e">
        <f>INDEX(Tabelle6[Aktor],MATCH(Tabelle7[[#This Row],[Gesamtcode]],Tabelle6[Gesamtcode],0))&amp;" "&amp;INDEX(Tabelle6[Aktorkanal],MATCH(Tabelle7[[#This Row],[Gesamtcode]],Tabelle6[Gesamtcode],0))</f>
        <v>#N/A</v>
      </c>
    </row>
    <row r="631" spans="2:15" x14ac:dyDescent="0.25">
      <c r="B631" t="s">
        <v>419</v>
      </c>
      <c r="C631" t="e">
        <f>INDEX(Tabelle132[Zone],MATCH(Tabelle7[[#This Row],[Gesamtcode]],Tabelle132[Gesamtcode],0))</f>
        <v>#N/A</v>
      </c>
      <c r="D631" t="e">
        <f>INDEX(Tabelle132[Raum],MATCH(Tabelle7[[#This Row],[Gesamtcode]],Tabelle132[Gesamtcode],0))</f>
        <v>#N/A</v>
      </c>
      <c r="E631" t="e">
        <f>INDEX(Tabelle132[Bezeichnung],MATCH(Tabelle7[[#This Row],[Gesamtcode]],Tabelle132[Gesamtcode],0))</f>
        <v>#N/A</v>
      </c>
      <c r="F631" t="e">
        <f>"_"&amp;INDEX(Tabelle132[Geräte/Gewerke],MATCH(Tabelle7[[#This Row],[Gesamtcode]],Tabelle132[Gesamtcode],0))</f>
        <v>#N/A</v>
      </c>
      <c r="G631" t="e">
        <f>INDEX(Tabelle13[Gewerknr.],MATCH(Tabelle7[[#This Row],[Gewerke]],Tabelle13[Hauptgruppe],0))</f>
        <v>#N/A</v>
      </c>
      <c r="H631" t="s">
        <v>276</v>
      </c>
      <c r="I631" t="e">
        <f ca="1">INDEX(Tabelle134[Funktionsbereichsnr.],MATCH(Tabelle7[[#This Row],[Funktionsbereiche]],INDIRECT("Tabelle134["&amp;Tabelle7[[#This Row],[Gewerke]]&amp;"]"),0))</f>
        <v>#N/A</v>
      </c>
      <c r="J631" t="e">
        <f>Tabelle7[[#This Row],[Gesamtcode]]&amp;"_"&amp;Tabelle7[[#This Row],[Zone]]&amp;"_"&amp;Tabelle7[[#This Row],[Raum]]&amp;"_"&amp;Tabelle7[[#This Row],[Bezeichnung]]</f>
        <v>#N/A</v>
      </c>
      <c r="K631">
        <v>2</v>
      </c>
      <c r="L631" t="e">
        <f>Tabelle7[[#This Row],[Hauptgruppe]]&amp;"/-/-"</f>
        <v>#N/A</v>
      </c>
      <c r="M631" t="e">
        <f ca="1">Tabelle7[[#This Row],[Hauptgruppe]]&amp;"/"&amp;Tabelle7[[#This Row],[Mittelgruppe]]&amp;"/-"</f>
        <v>#N/A</v>
      </c>
      <c r="N631" t="e">
        <f ca="1">Tabelle7[[#This Row],[Hauptgruppe]]&amp;"/"&amp;Tabelle7[[#This Row],[Mittelgruppe]]&amp;"/"&amp;Tabelle7[[#This Row],[Untergruppe]]</f>
        <v>#N/A</v>
      </c>
      <c r="O631" t="e">
        <f>INDEX(Tabelle6[Aktor],MATCH(Tabelle7[[#This Row],[Gesamtcode]],Tabelle6[Gesamtcode],0))&amp;" "&amp;INDEX(Tabelle6[Aktorkanal],MATCH(Tabelle7[[#This Row],[Gesamtcode]],Tabelle6[Gesamtcode],0))</f>
        <v>#N/A</v>
      </c>
    </row>
    <row r="632" spans="2:15" x14ac:dyDescent="0.25">
      <c r="B632" t="s">
        <v>420</v>
      </c>
      <c r="C632" t="e">
        <f>INDEX(Tabelle132[Zone],MATCH(Tabelle7[[#This Row],[Gesamtcode]],Tabelle132[Gesamtcode],0))</f>
        <v>#N/A</v>
      </c>
      <c r="D632" t="e">
        <f>INDEX(Tabelle132[Raum],MATCH(Tabelle7[[#This Row],[Gesamtcode]],Tabelle132[Gesamtcode],0))</f>
        <v>#N/A</v>
      </c>
      <c r="E632" t="e">
        <f>INDEX(Tabelle132[Bezeichnung],MATCH(Tabelle7[[#This Row],[Gesamtcode]],Tabelle132[Gesamtcode],0))</f>
        <v>#N/A</v>
      </c>
      <c r="F632" t="e">
        <f>"_"&amp;INDEX(Tabelle132[Geräte/Gewerke],MATCH(Tabelle7[[#This Row],[Gesamtcode]],Tabelle132[Gesamtcode],0))</f>
        <v>#N/A</v>
      </c>
      <c r="G632" t="e">
        <f>INDEX(Tabelle13[Gewerknr.],MATCH(Tabelle7[[#This Row],[Gewerke]],Tabelle13[Hauptgruppe],0))</f>
        <v>#N/A</v>
      </c>
      <c r="H632" t="s">
        <v>276</v>
      </c>
      <c r="I632" t="e">
        <f ca="1">INDEX(Tabelle134[Funktionsbereichsnr.],MATCH(Tabelle7[[#This Row],[Funktionsbereiche]],INDIRECT("Tabelle134["&amp;Tabelle7[[#This Row],[Gewerke]]&amp;"]"),0))</f>
        <v>#N/A</v>
      </c>
      <c r="J632" t="e">
        <f>Tabelle7[[#This Row],[Gesamtcode]]&amp;"_"&amp;Tabelle7[[#This Row],[Zone]]&amp;"_"&amp;Tabelle7[[#This Row],[Raum]]&amp;"_"&amp;Tabelle7[[#This Row],[Bezeichnung]]</f>
        <v>#N/A</v>
      </c>
      <c r="K632">
        <v>3</v>
      </c>
      <c r="L632" t="e">
        <f>Tabelle7[[#This Row],[Hauptgruppe]]&amp;"/-/-"</f>
        <v>#N/A</v>
      </c>
      <c r="M632" t="e">
        <f ca="1">Tabelle7[[#This Row],[Hauptgruppe]]&amp;"/"&amp;Tabelle7[[#This Row],[Mittelgruppe]]&amp;"/-"</f>
        <v>#N/A</v>
      </c>
      <c r="N632" t="e">
        <f ca="1">Tabelle7[[#This Row],[Hauptgruppe]]&amp;"/"&amp;Tabelle7[[#This Row],[Mittelgruppe]]&amp;"/"&amp;Tabelle7[[#This Row],[Untergruppe]]</f>
        <v>#N/A</v>
      </c>
      <c r="O632" t="e">
        <f>INDEX(Tabelle6[Aktor],MATCH(Tabelle7[[#This Row],[Gesamtcode]],Tabelle6[Gesamtcode],0))&amp;" "&amp;INDEX(Tabelle6[Aktorkanal],MATCH(Tabelle7[[#This Row],[Gesamtcode]],Tabelle6[Gesamtcode],0))</f>
        <v>#N/A</v>
      </c>
    </row>
    <row r="633" spans="2:15" x14ac:dyDescent="0.25">
      <c r="B633" t="s">
        <v>421</v>
      </c>
      <c r="C633" t="e">
        <f>INDEX(Tabelle132[Zone],MATCH(Tabelle7[[#This Row],[Gesamtcode]],Tabelle132[Gesamtcode],0))</f>
        <v>#N/A</v>
      </c>
      <c r="D633" t="e">
        <f>INDEX(Tabelle132[Raum],MATCH(Tabelle7[[#This Row],[Gesamtcode]],Tabelle132[Gesamtcode],0))</f>
        <v>#N/A</v>
      </c>
      <c r="E633" t="e">
        <f>INDEX(Tabelle132[Bezeichnung],MATCH(Tabelle7[[#This Row],[Gesamtcode]],Tabelle132[Gesamtcode],0))</f>
        <v>#N/A</v>
      </c>
      <c r="F633" t="e">
        <f>"_"&amp;INDEX(Tabelle132[Geräte/Gewerke],MATCH(Tabelle7[[#This Row],[Gesamtcode]],Tabelle132[Gesamtcode],0))</f>
        <v>#N/A</v>
      </c>
      <c r="G633" t="e">
        <f>INDEX(Tabelle13[Gewerknr.],MATCH(Tabelle7[[#This Row],[Gewerke]],Tabelle13[Hauptgruppe],0))</f>
        <v>#N/A</v>
      </c>
      <c r="H633" t="s">
        <v>276</v>
      </c>
      <c r="I633" t="e">
        <f ca="1">INDEX(Tabelle134[Funktionsbereichsnr.],MATCH(Tabelle7[[#This Row],[Funktionsbereiche]],INDIRECT("Tabelle134["&amp;Tabelle7[[#This Row],[Gewerke]]&amp;"]"),0))</f>
        <v>#N/A</v>
      </c>
      <c r="J633" t="e">
        <f>Tabelle7[[#This Row],[Gesamtcode]]&amp;"_"&amp;Tabelle7[[#This Row],[Zone]]&amp;"_"&amp;Tabelle7[[#This Row],[Raum]]&amp;"_"&amp;Tabelle7[[#This Row],[Bezeichnung]]</f>
        <v>#N/A</v>
      </c>
      <c r="K633">
        <v>4</v>
      </c>
      <c r="L633" t="e">
        <f>Tabelle7[[#This Row],[Hauptgruppe]]&amp;"/-/-"</f>
        <v>#N/A</v>
      </c>
      <c r="M633" t="e">
        <f ca="1">Tabelle7[[#This Row],[Hauptgruppe]]&amp;"/"&amp;Tabelle7[[#This Row],[Mittelgruppe]]&amp;"/-"</f>
        <v>#N/A</v>
      </c>
      <c r="N633" t="e">
        <f ca="1">Tabelle7[[#This Row],[Hauptgruppe]]&amp;"/"&amp;Tabelle7[[#This Row],[Mittelgruppe]]&amp;"/"&amp;Tabelle7[[#This Row],[Untergruppe]]</f>
        <v>#N/A</v>
      </c>
      <c r="O633" t="e">
        <f>INDEX(Tabelle6[Aktor],MATCH(Tabelle7[[#This Row],[Gesamtcode]],Tabelle6[Gesamtcode],0))&amp;" "&amp;INDEX(Tabelle6[Aktorkanal],MATCH(Tabelle7[[#This Row],[Gesamtcode]],Tabelle6[Gesamtcode],0))</f>
        <v>#N/A</v>
      </c>
    </row>
    <row r="634" spans="2:15" x14ac:dyDescent="0.25">
      <c r="B634" t="s">
        <v>422</v>
      </c>
      <c r="C634" t="e">
        <f>INDEX(Tabelle132[Zone],MATCH(Tabelle7[[#This Row],[Gesamtcode]],Tabelle132[Gesamtcode],0))</f>
        <v>#N/A</v>
      </c>
      <c r="D634" t="e">
        <f>INDEX(Tabelle132[Raum],MATCH(Tabelle7[[#This Row],[Gesamtcode]],Tabelle132[Gesamtcode],0))</f>
        <v>#N/A</v>
      </c>
      <c r="E634" t="e">
        <f>INDEX(Tabelle132[Bezeichnung],MATCH(Tabelle7[[#This Row],[Gesamtcode]],Tabelle132[Gesamtcode],0))</f>
        <v>#N/A</v>
      </c>
      <c r="F634" t="e">
        <f>"_"&amp;INDEX(Tabelle132[Geräte/Gewerke],MATCH(Tabelle7[[#This Row],[Gesamtcode]],Tabelle132[Gesamtcode],0))</f>
        <v>#N/A</v>
      </c>
      <c r="G634" t="e">
        <f>INDEX(Tabelle13[Gewerknr.],MATCH(Tabelle7[[#This Row],[Gewerke]],Tabelle13[Hauptgruppe],0))</f>
        <v>#N/A</v>
      </c>
      <c r="H634" t="s">
        <v>276</v>
      </c>
      <c r="I634" t="e">
        <f ca="1">INDEX(Tabelle134[Funktionsbereichsnr.],MATCH(Tabelle7[[#This Row],[Funktionsbereiche]],INDIRECT("Tabelle134["&amp;Tabelle7[[#This Row],[Gewerke]]&amp;"]"),0))</f>
        <v>#N/A</v>
      </c>
      <c r="J634" t="e">
        <f>Tabelle7[[#This Row],[Gesamtcode]]&amp;"_"&amp;Tabelle7[[#This Row],[Zone]]&amp;"_"&amp;Tabelle7[[#This Row],[Raum]]&amp;"_"&amp;Tabelle7[[#This Row],[Bezeichnung]]</f>
        <v>#N/A</v>
      </c>
      <c r="K634">
        <v>5</v>
      </c>
      <c r="L634" t="e">
        <f>Tabelle7[[#This Row],[Hauptgruppe]]&amp;"/-/-"</f>
        <v>#N/A</v>
      </c>
      <c r="M634" t="e">
        <f ca="1">Tabelle7[[#This Row],[Hauptgruppe]]&amp;"/"&amp;Tabelle7[[#This Row],[Mittelgruppe]]&amp;"/-"</f>
        <v>#N/A</v>
      </c>
      <c r="N634" t="e">
        <f ca="1">Tabelle7[[#This Row],[Hauptgruppe]]&amp;"/"&amp;Tabelle7[[#This Row],[Mittelgruppe]]&amp;"/"&amp;Tabelle7[[#This Row],[Untergruppe]]</f>
        <v>#N/A</v>
      </c>
      <c r="O634" t="e">
        <f>INDEX(Tabelle6[Aktor],MATCH(Tabelle7[[#This Row],[Gesamtcode]],Tabelle6[Gesamtcode],0))&amp;" "&amp;INDEX(Tabelle6[Aktorkanal],MATCH(Tabelle7[[#This Row],[Gesamtcode]],Tabelle6[Gesamtcode],0))</f>
        <v>#N/A</v>
      </c>
    </row>
    <row r="635" spans="2:15" x14ac:dyDescent="0.25">
      <c r="B635" t="s">
        <v>423</v>
      </c>
      <c r="C635" t="e">
        <f>INDEX(Tabelle132[Zone],MATCH(Tabelle7[[#This Row],[Gesamtcode]],Tabelle132[Gesamtcode],0))</f>
        <v>#N/A</v>
      </c>
      <c r="D635" t="e">
        <f>INDEX(Tabelle132[Raum],MATCH(Tabelle7[[#This Row],[Gesamtcode]],Tabelle132[Gesamtcode],0))</f>
        <v>#N/A</v>
      </c>
      <c r="E635" t="e">
        <f>INDEX(Tabelle132[Bezeichnung],MATCH(Tabelle7[[#This Row],[Gesamtcode]],Tabelle132[Gesamtcode],0))</f>
        <v>#N/A</v>
      </c>
      <c r="F635" t="e">
        <f>"_"&amp;INDEX(Tabelle132[Geräte/Gewerke],MATCH(Tabelle7[[#This Row],[Gesamtcode]],Tabelle132[Gesamtcode],0))</f>
        <v>#N/A</v>
      </c>
      <c r="G635" t="e">
        <f>INDEX(Tabelle13[Gewerknr.],MATCH(Tabelle7[[#This Row],[Gewerke]],Tabelle13[Hauptgruppe],0))</f>
        <v>#N/A</v>
      </c>
      <c r="H635" t="s">
        <v>276</v>
      </c>
      <c r="I635" t="e">
        <f ca="1">INDEX(Tabelle134[Funktionsbereichsnr.],MATCH(Tabelle7[[#This Row],[Funktionsbereiche]],INDIRECT("Tabelle134["&amp;Tabelle7[[#This Row],[Gewerke]]&amp;"]"),0))</f>
        <v>#N/A</v>
      </c>
      <c r="J635" t="e">
        <f>Tabelle7[[#This Row],[Gesamtcode]]&amp;"_"&amp;Tabelle7[[#This Row],[Zone]]&amp;"_"&amp;Tabelle7[[#This Row],[Raum]]&amp;"_"&amp;Tabelle7[[#This Row],[Bezeichnung]]</f>
        <v>#N/A</v>
      </c>
      <c r="K635">
        <v>6</v>
      </c>
      <c r="L635" t="e">
        <f>Tabelle7[[#This Row],[Hauptgruppe]]&amp;"/-/-"</f>
        <v>#N/A</v>
      </c>
      <c r="M635" t="e">
        <f ca="1">Tabelle7[[#This Row],[Hauptgruppe]]&amp;"/"&amp;Tabelle7[[#This Row],[Mittelgruppe]]&amp;"/-"</f>
        <v>#N/A</v>
      </c>
      <c r="N635" t="e">
        <f ca="1">Tabelle7[[#This Row],[Hauptgruppe]]&amp;"/"&amp;Tabelle7[[#This Row],[Mittelgruppe]]&amp;"/"&amp;Tabelle7[[#This Row],[Untergruppe]]</f>
        <v>#N/A</v>
      </c>
      <c r="O635" t="e">
        <f>INDEX(Tabelle6[Aktor],MATCH(Tabelle7[[#This Row],[Gesamtcode]],Tabelle6[Gesamtcode],0))&amp;" "&amp;INDEX(Tabelle6[Aktorkanal],MATCH(Tabelle7[[#This Row],[Gesamtcode]],Tabelle6[Gesamtcode],0))</f>
        <v>#N/A</v>
      </c>
    </row>
    <row r="636" spans="2:15" x14ac:dyDescent="0.25">
      <c r="B636" t="s">
        <v>424</v>
      </c>
      <c r="C636" t="e">
        <f>INDEX(Tabelle132[Zone],MATCH(Tabelle7[[#This Row],[Gesamtcode]],Tabelle132[Gesamtcode],0))</f>
        <v>#N/A</v>
      </c>
      <c r="D636" t="e">
        <f>INDEX(Tabelle132[Raum],MATCH(Tabelle7[[#This Row],[Gesamtcode]],Tabelle132[Gesamtcode],0))</f>
        <v>#N/A</v>
      </c>
      <c r="E636" t="e">
        <f>INDEX(Tabelle132[Bezeichnung],MATCH(Tabelle7[[#This Row],[Gesamtcode]],Tabelle132[Gesamtcode],0))</f>
        <v>#N/A</v>
      </c>
      <c r="F636" t="e">
        <f>"_"&amp;INDEX(Tabelle132[Geräte/Gewerke],MATCH(Tabelle7[[#This Row],[Gesamtcode]],Tabelle132[Gesamtcode],0))</f>
        <v>#N/A</v>
      </c>
      <c r="G636" t="e">
        <f>INDEX(Tabelle13[Gewerknr.],MATCH(Tabelle7[[#This Row],[Gewerke]],Tabelle13[Hauptgruppe],0))</f>
        <v>#N/A</v>
      </c>
      <c r="H636" t="s">
        <v>276</v>
      </c>
      <c r="I636" t="e">
        <f ca="1">INDEX(Tabelle134[Funktionsbereichsnr.],MATCH(Tabelle7[[#This Row],[Funktionsbereiche]],INDIRECT("Tabelle134["&amp;Tabelle7[[#This Row],[Gewerke]]&amp;"]"),0))</f>
        <v>#N/A</v>
      </c>
      <c r="J636" t="e">
        <f>Tabelle7[[#This Row],[Gesamtcode]]&amp;"_"&amp;Tabelle7[[#This Row],[Zone]]&amp;"_"&amp;Tabelle7[[#This Row],[Raum]]&amp;"_"&amp;Tabelle7[[#This Row],[Bezeichnung]]</f>
        <v>#N/A</v>
      </c>
      <c r="K636">
        <v>7</v>
      </c>
      <c r="L636" t="e">
        <f>Tabelle7[[#This Row],[Hauptgruppe]]&amp;"/-/-"</f>
        <v>#N/A</v>
      </c>
      <c r="M636" t="e">
        <f ca="1">Tabelle7[[#This Row],[Hauptgruppe]]&amp;"/"&amp;Tabelle7[[#This Row],[Mittelgruppe]]&amp;"/-"</f>
        <v>#N/A</v>
      </c>
      <c r="N636" t="e">
        <f ca="1">Tabelle7[[#This Row],[Hauptgruppe]]&amp;"/"&amp;Tabelle7[[#This Row],[Mittelgruppe]]&amp;"/"&amp;Tabelle7[[#This Row],[Untergruppe]]</f>
        <v>#N/A</v>
      </c>
      <c r="O636" t="e">
        <f>INDEX(Tabelle6[Aktor],MATCH(Tabelle7[[#This Row],[Gesamtcode]],Tabelle6[Gesamtcode],0))&amp;" "&amp;INDEX(Tabelle6[Aktorkanal],MATCH(Tabelle7[[#This Row],[Gesamtcode]],Tabelle6[Gesamtcode],0))</f>
        <v>#N/A</v>
      </c>
    </row>
    <row r="637" spans="2:15" x14ac:dyDescent="0.25">
      <c r="B637" t="s">
        <v>417</v>
      </c>
      <c r="C637" t="e">
        <f>INDEX(Tabelle132[Zone],MATCH(Tabelle7[[#This Row],[Gesamtcode]],Tabelle132[Gesamtcode],0))</f>
        <v>#N/A</v>
      </c>
      <c r="D637" t="e">
        <f>INDEX(Tabelle132[Raum],MATCH(Tabelle7[[#This Row],[Gesamtcode]],Tabelle132[Gesamtcode],0))</f>
        <v>#N/A</v>
      </c>
      <c r="E637" t="e">
        <f>INDEX(Tabelle132[Bezeichnung],MATCH(Tabelle7[[#This Row],[Gesamtcode]],Tabelle132[Gesamtcode],0))</f>
        <v>#N/A</v>
      </c>
      <c r="F637" t="e">
        <f>"_"&amp;INDEX(Tabelle132[Geräte/Gewerke],MATCH(Tabelle7[[#This Row],[Gesamtcode]],Tabelle132[Gesamtcode],0))</f>
        <v>#N/A</v>
      </c>
      <c r="G637" t="e">
        <f>INDEX(Tabelle13[Gewerknr.],MATCH(Tabelle7[[#This Row],[Gewerke]],Tabelle13[Hauptgruppe],0))</f>
        <v>#N/A</v>
      </c>
      <c r="H637" t="s">
        <v>277</v>
      </c>
      <c r="I637" t="e">
        <f ca="1">INDEX(Tabelle134[Funktionsbereichsnr.],MATCH(Tabelle7[[#This Row],[Funktionsbereiche]],INDIRECT("Tabelle134["&amp;Tabelle7[[#This Row],[Gewerke]]&amp;"]"),0))</f>
        <v>#N/A</v>
      </c>
      <c r="J637" t="e">
        <f>Tabelle7[[#This Row],[Gesamtcode]]&amp;"_"&amp;Tabelle7[[#This Row],[Zone]]&amp;"_"&amp;Tabelle7[[#This Row],[Raum]]&amp;"_"&amp;Tabelle7[[#This Row],[Bezeichnung]]</f>
        <v>#N/A</v>
      </c>
      <c r="K637">
        <v>0</v>
      </c>
      <c r="L637" t="e">
        <f>Tabelle7[[#This Row],[Hauptgruppe]]&amp;"/-/-"</f>
        <v>#N/A</v>
      </c>
      <c r="M637" t="e">
        <f ca="1">Tabelle7[[#This Row],[Hauptgruppe]]&amp;"/"&amp;Tabelle7[[#This Row],[Mittelgruppe]]&amp;"/-"</f>
        <v>#N/A</v>
      </c>
      <c r="N637" t="e">
        <f ca="1">Tabelle7[[#This Row],[Hauptgruppe]]&amp;"/"&amp;Tabelle7[[#This Row],[Mittelgruppe]]&amp;"/"&amp;Tabelle7[[#This Row],[Untergruppe]]</f>
        <v>#N/A</v>
      </c>
      <c r="O637" t="e">
        <f>INDEX(Tabelle6[Aktor],MATCH(Tabelle7[[#This Row],[Gesamtcode]],Tabelle6[Gesamtcode],0))&amp;" "&amp;INDEX(Tabelle6[Aktorkanal],MATCH(Tabelle7[[#This Row],[Gesamtcode]],Tabelle6[Gesamtcode],0))</f>
        <v>#N/A</v>
      </c>
    </row>
    <row r="638" spans="2:15" x14ac:dyDescent="0.25">
      <c r="B638" t="s">
        <v>418</v>
      </c>
      <c r="C638" t="e">
        <f>INDEX(Tabelle132[Zone],MATCH(Tabelle7[[#This Row],[Gesamtcode]],Tabelle132[Gesamtcode],0))</f>
        <v>#N/A</v>
      </c>
      <c r="D638" t="e">
        <f>INDEX(Tabelle132[Raum],MATCH(Tabelle7[[#This Row],[Gesamtcode]],Tabelle132[Gesamtcode],0))</f>
        <v>#N/A</v>
      </c>
      <c r="E638" t="e">
        <f>INDEX(Tabelle132[Bezeichnung],MATCH(Tabelle7[[#This Row],[Gesamtcode]],Tabelle132[Gesamtcode],0))</f>
        <v>#N/A</v>
      </c>
      <c r="F638" t="e">
        <f>"_"&amp;INDEX(Tabelle132[Geräte/Gewerke],MATCH(Tabelle7[[#This Row],[Gesamtcode]],Tabelle132[Gesamtcode],0))</f>
        <v>#N/A</v>
      </c>
      <c r="G638" t="e">
        <f>INDEX(Tabelle13[Gewerknr.],MATCH(Tabelle7[[#This Row],[Gewerke]],Tabelle13[Hauptgruppe],0))</f>
        <v>#N/A</v>
      </c>
      <c r="H638" t="s">
        <v>277</v>
      </c>
      <c r="I638" t="e">
        <f ca="1">INDEX(Tabelle134[Funktionsbereichsnr.],MATCH(Tabelle7[[#This Row],[Funktionsbereiche]],INDIRECT("Tabelle134["&amp;Tabelle7[[#This Row],[Gewerke]]&amp;"]"),0))</f>
        <v>#N/A</v>
      </c>
      <c r="J638" t="e">
        <f>Tabelle7[[#This Row],[Gesamtcode]]&amp;"_"&amp;Tabelle7[[#This Row],[Zone]]&amp;"_"&amp;Tabelle7[[#This Row],[Raum]]&amp;"_"&amp;Tabelle7[[#This Row],[Bezeichnung]]</f>
        <v>#N/A</v>
      </c>
      <c r="K638">
        <v>1</v>
      </c>
      <c r="L638" t="e">
        <f>Tabelle7[[#This Row],[Hauptgruppe]]&amp;"/-/-"</f>
        <v>#N/A</v>
      </c>
      <c r="M638" t="e">
        <f ca="1">Tabelle7[[#This Row],[Hauptgruppe]]&amp;"/"&amp;Tabelle7[[#This Row],[Mittelgruppe]]&amp;"/-"</f>
        <v>#N/A</v>
      </c>
      <c r="N638" t="e">
        <f ca="1">Tabelle7[[#This Row],[Hauptgruppe]]&amp;"/"&amp;Tabelle7[[#This Row],[Mittelgruppe]]&amp;"/"&amp;Tabelle7[[#This Row],[Untergruppe]]</f>
        <v>#N/A</v>
      </c>
      <c r="O638" t="e">
        <f>INDEX(Tabelle6[Aktor],MATCH(Tabelle7[[#This Row],[Gesamtcode]],Tabelle6[Gesamtcode],0))&amp;" "&amp;INDEX(Tabelle6[Aktorkanal],MATCH(Tabelle7[[#This Row],[Gesamtcode]],Tabelle6[Gesamtcode],0))</f>
        <v>#N/A</v>
      </c>
    </row>
    <row r="639" spans="2:15" x14ac:dyDescent="0.25">
      <c r="B639" t="s">
        <v>419</v>
      </c>
      <c r="C639" t="e">
        <f>INDEX(Tabelle132[Zone],MATCH(Tabelle7[[#This Row],[Gesamtcode]],Tabelle132[Gesamtcode],0))</f>
        <v>#N/A</v>
      </c>
      <c r="D639" t="e">
        <f>INDEX(Tabelle132[Raum],MATCH(Tabelle7[[#This Row],[Gesamtcode]],Tabelle132[Gesamtcode],0))</f>
        <v>#N/A</v>
      </c>
      <c r="E639" t="e">
        <f>INDEX(Tabelle132[Bezeichnung],MATCH(Tabelle7[[#This Row],[Gesamtcode]],Tabelle132[Gesamtcode],0))</f>
        <v>#N/A</v>
      </c>
      <c r="F639" t="e">
        <f>"_"&amp;INDEX(Tabelle132[Geräte/Gewerke],MATCH(Tabelle7[[#This Row],[Gesamtcode]],Tabelle132[Gesamtcode],0))</f>
        <v>#N/A</v>
      </c>
      <c r="G639" t="e">
        <f>INDEX(Tabelle13[Gewerknr.],MATCH(Tabelle7[[#This Row],[Gewerke]],Tabelle13[Hauptgruppe],0))</f>
        <v>#N/A</v>
      </c>
      <c r="H639" t="s">
        <v>277</v>
      </c>
      <c r="I639" t="e">
        <f ca="1">INDEX(Tabelle134[Funktionsbereichsnr.],MATCH(Tabelle7[[#This Row],[Funktionsbereiche]],INDIRECT("Tabelle134["&amp;Tabelle7[[#This Row],[Gewerke]]&amp;"]"),0))</f>
        <v>#N/A</v>
      </c>
      <c r="J639" t="e">
        <f>Tabelle7[[#This Row],[Gesamtcode]]&amp;"_"&amp;Tabelle7[[#This Row],[Zone]]&amp;"_"&amp;Tabelle7[[#This Row],[Raum]]&amp;"_"&amp;Tabelle7[[#This Row],[Bezeichnung]]</f>
        <v>#N/A</v>
      </c>
      <c r="K639">
        <v>2</v>
      </c>
      <c r="L639" t="e">
        <f>Tabelle7[[#This Row],[Hauptgruppe]]&amp;"/-/-"</f>
        <v>#N/A</v>
      </c>
      <c r="M639" t="e">
        <f ca="1">Tabelle7[[#This Row],[Hauptgruppe]]&amp;"/"&amp;Tabelle7[[#This Row],[Mittelgruppe]]&amp;"/-"</f>
        <v>#N/A</v>
      </c>
      <c r="N639" t="e">
        <f ca="1">Tabelle7[[#This Row],[Hauptgruppe]]&amp;"/"&amp;Tabelle7[[#This Row],[Mittelgruppe]]&amp;"/"&amp;Tabelle7[[#This Row],[Untergruppe]]</f>
        <v>#N/A</v>
      </c>
      <c r="O639" t="e">
        <f>INDEX(Tabelle6[Aktor],MATCH(Tabelle7[[#This Row],[Gesamtcode]],Tabelle6[Gesamtcode],0))&amp;" "&amp;INDEX(Tabelle6[Aktorkanal],MATCH(Tabelle7[[#This Row],[Gesamtcode]],Tabelle6[Gesamtcode],0))</f>
        <v>#N/A</v>
      </c>
    </row>
    <row r="640" spans="2:15" x14ac:dyDescent="0.25">
      <c r="B640" t="s">
        <v>420</v>
      </c>
      <c r="C640" t="e">
        <f>INDEX(Tabelle132[Zone],MATCH(Tabelle7[[#This Row],[Gesamtcode]],Tabelle132[Gesamtcode],0))</f>
        <v>#N/A</v>
      </c>
      <c r="D640" t="e">
        <f>INDEX(Tabelle132[Raum],MATCH(Tabelle7[[#This Row],[Gesamtcode]],Tabelle132[Gesamtcode],0))</f>
        <v>#N/A</v>
      </c>
      <c r="E640" t="e">
        <f>INDEX(Tabelle132[Bezeichnung],MATCH(Tabelle7[[#This Row],[Gesamtcode]],Tabelle132[Gesamtcode],0))</f>
        <v>#N/A</v>
      </c>
      <c r="F640" t="e">
        <f>"_"&amp;INDEX(Tabelle132[Geräte/Gewerke],MATCH(Tabelle7[[#This Row],[Gesamtcode]],Tabelle132[Gesamtcode],0))</f>
        <v>#N/A</v>
      </c>
      <c r="G640" t="e">
        <f>INDEX(Tabelle13[Gewerknr.],MATCH(Tabelle7[[#This Row],[Gewerke]],Tabelle13[Hauptgruppe],0))</f>
        <v>#N/A</v>
      </c>
      <c r="H640" t="s">
        <v>277</v>
      </c>
      <c r="I640" t="e">
        <f ca="1">INDEX(Tabelle134[Funktionsbereichsnr.],MATCH(Tabelle7[[#This Row],[Funktionsbereiche]],INDIRECT("Tabelle134["&amp;Tabelle7[[#This Row],[Gewerke]]&amp;"]"),0))</f>
        <v>#N/A</v>
      </c>
      <c r="J640" t="e">
        <f>Tabelle7[[#This Row],[Gesamtcode]]&amp;"_"&amp;Tabelle7[[#This Row],[Zone]]&amp;"_"&amp;Tabelle7[[#This Row],[Raum]]&amp;"_"&amp;Tabelle7[[#This Row],[Bezeichnung]]</f>
        <v>#N/A</v>
      </c>
      <c r="K640">
        <v>3</v>
      </c>
      <c r="L640" t="e">
        <f>Tabelle7[[#This Row],[Hauptgruppe]]&amp;"/-/-"</f>
        <v>#N/A</v>
      </c>
      <c r="M640" t="e">
        <f ca="1">Tabelle7[[#This Row],[Hauptgruppe]]&amp;"/"&amp;Tabelle7[[#This Row],[Mittelgruppe]]&amp;"/-"</f>
        <v>#N/A</v>
      </c>
      <c r="N640" t="e">
        <f ca="1">Tabelle7[[#This Row],[Hauptgruppe]]&amp;"/"&amp;Tabelle7[[#This Row],[Mittelgruppe]]&amp;"/"&amp;Tabelle7[[#This Row],[Untergruppe]]</f>
        <v>#N/A</v>
      </c>
      <c r="O640" t="e">
        <f>INDEX(Tabelle6[Aktor],MATCH(Tabelle7[[#This Row],[Gesamtcode]],Tabelle6[Gesamtcode],0))&amp;" "&amp;INDEX(Tabelle6[Aktorkanal],MATCH(Tabelle7[[#This Row],[Gesamtcode]],Tabelle6[Gesamtcode],0))</f>
        <v>#N/A</v>
      </c>
    </row>
    <row r="641" spans="2:15" x14ac:dyDescent="0.25">
      <c r="B641" t="s">
        <v>421</v>
      </c>
      <c r="C641" t="e">
        <f>INDEX(Tabelle132[Zone],MATCH(Tabelle7[[#This Row],[Gesamtcode]],Tabelle132[Gesamtcode],0))</f>
        <v>#N/A</v>
      </c>
      <c r="D641" t="e">
        <f>INDEX(Tabelle132[Raum],MATCH(Tabelle7[[#This Row],[Gesamtcode]],Tabelle132[Gesamtcode],0))</f>
        <v>#N/A</v>
      </c>
      <c r="E641" t="e">
        <f>INDEX(Tabelle132[Bezeichnung],MATCH(Tabelle7[[#This Row],[Gesamtcode]],Tabelle132[Gesamtcode],0))</f>
        <v>#N/A</v>
      </c>
      <c r="F641" t="e">
        <f>"_"&amp;INDEX(Tabelle132[Geräte/Gewerke],MATCH(Tabelle7[[#This Row],[Gesamtcode]],Tabelle132[Gesamtcode],0))</f>
        <v>#N/A</v>
      </c>
      <c r="G641" t="e">
        <f>INDEX(Tabelle13[Gewerknr.],MATCH(Tabelle7[[#This Row],[Gewerke]],Tabelle13[Hauptgruppe],0))</f>
        <v>#N/A</v>
      </c>
      <c r="H641" t="s">
        <v>277</v>
      </c>
      <c r="I641" t="e">
        <f ca="1">INDEX(Tabelle134[Funktionsbereichsnr.],MATCH(Tabelle7[[#This Row],[Funktionsbereiche]],INDIRECT("Tabelle134["&amp;Tabelle7[[#This Row],[Gewerke]]&amp;"]"),0))</f>
        <v>#N/A</v>
      </c>
      <c r="J641" t="e">
        <f>Tabelle7[[#This Row],[Gesamtcode]]&amp;"_"&amp;Tabelle7[[#This Row],[Zone]]&amp;"_"&amp;Tabelle7[[#This Row],[Raum]]&amp;"_"&amp;Tabelle7[[#This Row],[Bezeichnung]]</f>
        <v>#N/A</v>
      </c>
      <c r="K641">
        <v>4</v>
      </c>
      <c r="L641" t="e">
        <f>Tabelle7[[#This Row],[Hauptgruppe]]&amp;"/-/-"</f>
        <v>#N/A</v>
      </c>
      <c r="M641" t="e">
        <f ca="1">Tabelle7[[#This Row],[Hauptgruppe]]&amp;"/"&amp;Tabelle7[[#This Row],[Mittelgruppe]]&amp;"/-"</f>
        <v>#N/A</v>
      </c>
      <c r="N641" t="e">
        <f ca="1">Tabelle7[[#This Row],[Hauptgruppe]]&amp;"/"&amp;Tabelle7[[#This Row],[Mittelgruppe]]&amp;"/"&amp;Tabelle7[[#This Row],[Untergruppe]]</f>
        <v>#N/A</v>
      </c>
      <c r="O641" t="e">
        <f>INDEX(Tabelle6[Aktor],MATCH(Tabelle7[[#This Row],[Gesamtcode]],Tabelle6[Gesamtcode],0))&amp;" "&amp;INDEX(Tabelle6[Aktorkanal],MATCH(Tabelle7[[#This Row],[Gesamtcode]],Tabelle6[Gesamtcode],0))</f>
        <v>#N/A</v>
      </c>
    </row>
    <row r="642" spans="2:15" x14ac:dyDescent="0.25">
      <c r="B642" t="s">
        <v>422</v>
      </c>
      <c r="C642" t="e">
        <f>INDEX(Tabelle132[Zone],MATCH(Tabelle7[[#This Row],[Gesamtcode]],Tabelle132[Gesamtcode],0))</f>
        <v>#N/A</v>
      </c>
      <c r="D642" t="e">
        <f>INDEX(Tabelle132[Raum],MATCH(Tabelle7[[#This Row],[Gesamtcode]],Tabelle132[Gesamtcode],0))</f>
        <v>#N/A</v>
      </c>
      <c r="E642" t="e">
        <f>INDEX(Tabelle132[Bezeichnung],MATCH(Tabelle7[[#This Row],[Gesamtcode]],Tabelle132[Gesamtcode],0))</f>
        <v>#N/A</v>
      </c>
      <c r="F642" t="e">
        <f>"_"&amp;INDEX(Tabelle132[Geräte/Gewerke],MATCH(Tabelle7[[#This Row],[Gesamtcode]],Tabelle132[Gesamtcode],0))</f>
        <v>#N/A</v>
      </c>
      <c r="G642" t="e">
        <f>INDEX(Tabelle13[Gewerknr.],MATCH(Tabelle7[[#This Row],[Gewerke]],Tabelle13[Hauptgruppe],0))</f>
        <v>#N/A</v>
      </c>
      <c r="H642" t="s">
        <v>277</v>
      </c>
      <c r="I642" t="e">
        <f ca="1">INDEX(Tabelle134[Funktionsbereichsnr.],MATCH(Tabelle7[[#This Row],[Funktionsbereiche]],INDIRECT("Tabelle134["&amp;Tabelle7[[#This Row],[Gewerke]]&amp;"]"),0))</f>
        <v>#N/A</v>
      </c>
      <c r="J642" t="e">
        <f>Tabelle7[[#This Row],[Gesamtcode]]&amp;"_"&amp;Tabelle7[[#This Row],[Zone]]&amp;"_"&amp;Tabelle7[[#This Row],[Raum]]&amp;"_"&amp;Tabelle7[[#This Row],[Bezeichnung]]</f>
        <v>#N/A</v>
      </c>
      <c r="K642">
        <v>5</v>
      </c>
      <c r="L642" t="e">
        <f>Tabelle7[[#This Row],[Hauptgruppe]]&amp;"/-/-"</f>
        <v>#N/A</v>
      </c>
      <c r="M642" t="e">
        <f ca="1">Tabelle7[[#This Row],[Hauptgruppe]]&amp;"/"&amp;Tabelle7[[#This Row],[Mittelgruppe]]&amp;"/-"</f>
        <v>#N/A</v>
      </c>
      <c r="N642" t="e">
        <f ca="1">Tabelle7[[#This Row],[Hauptgruppe]]&amp;"/"&amp;Tabelle7[[#This Row],[Mittelgruppe]]&amp;"/"&amp;Tabelle7[[#This Row],[Untergruppe]]</f>
        <v>#N/A</v>
      </c>
      <c r="O642" t="e">
        <f>INDEX(Tabelle6[Aktor],MATCH(Tabelle7[[#This Row],[Gesamtcode]],Tabelle6[Gesamtcode],0))&amp;" "&amp;INDEX(Tabelle6[Aktorkanal],MATCH(Tabelle7[[#This Row],[Gesamtcode]],Tabelle6[Gesamtcode],0))</f>
        <v>#N/A</v>
      </c>
    </row>
    <row r="643" spans="2:15" x14ac:dyDescent="0.25">
      <c r="B643" t="s">
        <v>423</v>
      </c>
      <c r="C643" t="e">
        <f>INDEX(Tabelle132[Zone],MATCH(Tabelle7[[#This Row],[Gesamtcode]],Tabelle132[Gesamtcode],0))</f>
        <v>#N/A</v>
      </c>
      <c r="D643" t="e">
        <f>INDEX(Tabelle132[Raum],MATCH(Tabelle7[[#This Row],[Gesamtcode]],Tabelle132[Gesamtcode],0))</f>
        <v>#N/A</v>
      </c>
      <c r="E643" t="e">
        <f>INDEX(Tabelle132[Bezeichnung],MATCH(Tabelle7[[#This Row],[Gesamtcode]],Tabelle132[Gesamtcode],0))</f>
        <v>#N/A</v>
      </c>
      <c r="F643" t="e">
        <f>"_"&amp;INDEX(Tabelle132[Geräte/Gewerke],MATCH(Tabelle7[[#This Row],[Gesamtcode]],Tabelle132[Gesamtcode],0))</f>
        <v>#N/A</v>
      </c>
      <c r="G643" t="e">
        <f>INDEX(Tabelle13[Gewerknr.],MATCH(Tabelle7[[#This Row],[Gewerke]],Tabelle13[Hauptgruppe],0))</f>
        <v>#N/A</v>
      </c>
      <c r="H643" t="s">
        <v>277</v>
      </c>
      <c r="I643" t="e">
        <f ca="1">INDEX(Tabelle134[Funktionsbereichsnr.],MATCH(Tabelle7[[#This Row],[Funktionsbereiche]],INDIRECT("Tabelle134["&amp;Tabelle7[[#This Row],[Gewerke]]&amp;"]"),0))</f>
        <v>#N/A</v>
      </c>
      <c r="J643" t="e">
        <f>Tabelle7[[#This Row],[Gesamtcode]]&amp;"_"&amp;Tabelle7[[#This Row],[Zone]]&amp;"_"&amp;Tabelle7[[#This Row],[Raum]]&amp;"_"&amp;Tabelle7[[#This Row],[Bezeichnung]]</f>
        <v>#N/A</v>
      </c>
      <c r="K643">
        <v>6</v>
      </c>
      <c r="L643" t="e">
        <f>Tabelle7[[#This Row],[Hauptgruppe]]&amp;"/-/-"</f>
        <v>#N/A</v>
      </c>
      <c r="M643" t="e">
        <f ca="1">Tabelle7[[#This Row],[Hauptgruppe]]&amp;"/"&amp;Tabelle7[[#This Row],[Mittelgruppe]]&amp;"/-"</f>
        <v>#N/A</v>
      </c>
      <c r="N643" t="e">
        <f ca="1">Tabelle7[[#This Row],[Hauptgruppe]]&amp;"/"&amp;Tabelle7[[#This Row],[Mittelgruppe]]&amp;"/"&amp;Tabelle7[[#This Row],[Untergruppe]]</f>
        <v>#N/A</v>
      </c>
      <c r="O643" t="e">
        <f>INDEX(Tabelle6[Aktor],MATCH(Tabelle7[[#This Row],[Gesamtcode]],Tabelle6[Gesamtcode],0))&amp;" "&amp;INDEX(Tabelle6[Aktorkanal],MATCH(Tabelle7[[#This Row],[Gesamtcode]],Tabelle6[Gesamtcode],0))</f>
        <v>#N/A</v>
      </c>
    </row>
    <row r="644" spans="2:15" x14ac:dyDescent="0.25">
      <c r="B644" t="s">
        <v>424</v>
      </c>
      <c r="C644" t="e">
        <f>INDEX(Tabelle132[Zone],MATCH(Tabelle7[[#This Row],[Gesamtcode]],Tabelle132[Gesamtcode],0))</f>
        <v>#N/A</v>
      </c>
      <c r="D644" t="e">
        <f>INDEX(Tabelle132[Raum],MATCH(Tabelle7[[#This Row],[Gesamtcode]],Tabelle132[Gesamtcode],0))</f>
        <v>#N/A</v>
      </c>
      <c r="E644" t="e">
        <f>INDEX(Tabelle132[Bezeichnung],MATCH(Tabelle7[[#This Row],[Gesamtcode]],Tabelle132[Gesamtcode],0))</f>
        <v>#N/A</v>
      </c>
      <c r="F644" t="e">
        <f>"_"&amp;INDEX(Tabelle132[Geräte/Gewerke],MATCH(Tabelle7[[#This Row],[Gesamtcode]],Tabelle132[Gesamtcode],0))</f>
        <v>#N/A</v>
      </c>
      <c r="G644" t="e">
        <f>INDEX(Tabelle13[Gewerknr.],MATCH(Tabelle7[[#This Row],[Gewerke]],Tabelle13[Hauptgruppe],0))</f>
        <v>#N/A</v>
      </c>
      <c r="H644" t="s">
        <v>277</v>
      </c>
      <c r="I644" t="e">
        <f ca="1">INDEX(Tabelle134[Funktionsbereichsnr.],MATCH(Tabelle7[[#This Row],[Funktionsbereiche]],INDIRECT("Tabelle134["&amp;Tabelle7[[#This Row],[Gewerke]]&amp;"]"),0))</f>
        <v>#N/A</v>
      </c>
      <c r="J644" t="e">
        <f>Tabelle7[[#This Row],[Gesamtcode]]&amp;"_"&amp;Tabelle7[[#This Row],[Zone]]&amp;"_"&amp;Tabelle7[[#This Row],[Raum]]&amp;"_"&amp;Tabelle7[[#This Row],[Bezeichnung]]</f>
        <v>#N/A</v>
      </c>
      <c r="K644">
        <v>7</v>
      </c>
      <c r="L644" t="e">
        <f>Tabelle7[[#This Row],[Hauptgruppe]]&amp;"/-/-"</f>
        <v>#N/A</v>
      </c>
      <c r="M644" t="e">
        <f ca="1">Tabelle7[[#This Row],[Hauptgruppe]]&amp;"/"&amp;Tabelle7[[#This Row],[Mittelgruppe]]&amp;"/-"</f>
        <v>#N/A</v>
      </c>
      <c r="N644" t="e">
        <f ca="1">Tabelle7[[#This Row],[Hauptgruppe]]&amp;"/"&amp;Tabelle7[[#This Row],[Mittelgruppe]]&amp;"/"&amp;Tabelle7[[#This Row],[Untergruppe]]</f>
        <v>#N/A</v>
      </c>
      <c r="O644" t="e">
        <f>INDEX(Tabelle6[Aktor],MATCH(Tabelle7[[#This Row],[Gesamtcode]],Tabelle6[Gesamtcode],0))&amp;" "&amp;INDEX(Tabelle6[Aktorkanal],MATCH(Tabelle7[[#This Row],[Gesamtcode]],Tabelle6[Gesamtcode],0))</f>
        <v>#N/A</v>
      </c>
    </row>
    <row r="645" spans="2:15" x14ac:dyDescent="0.25">
      <c r="B645" t="s">
        <v>417</v>
      </c>
      <c r="C645" t="e">
        <f>INDEX(Tabelle132[Zone],MATCH(Tabelle7[[#This Row],[Gesamtcode]],Tabelle132[Gesamtcode],0))</f>
        <v>#N/A</v>
      </c>
      <c r="D645" t="e">
        <f>INDEX(Tabelle132[Raum],MATCH(Tabelle7[[#This Row],[Gesamtcode]],Tabelle132[Gesamtcode],0))</f>
        <v>#N/A</v>
      </c>
      <c r="E645" t="e">
        <f>INDEX(Tabelle132[Bezeichnung],MATCH(Tabelle7[[#This Row],[Gesamtcode]],Tabelle132[Gesamtcode],0))</f>
        <v>#N/A</v>
      </c>
      <c r="F645" t="e">
        <f>"_"&amp;INDEX(Tabelle132[Geräte/Gewerke],MATCH(Tabelle7[[#This Row],[Gesamtcode]],Tabelle132[Gesamtcode],0))</f>
        <v>#N/A</v>
      </c>
      <c r="G645" t="e">
        <f>INDEX(Tabelle13[Gewerknr.],MATCH(Tabelle7[[#This Row],[Gewerke]],Tabelle13[Hauptgruppe],0))</f>
        <v>#N/A</v>
      </c>
      <c r="H645" t="s">
        <v>278</v>
      </c>
      <c r="I645" t="e">
        <f ca="1">INDEX(Tabelle134[Funktionsbereichsnr.],MATCH(Tabelle7[[#This Row],[Funktionsbereiche]],INDIRECT("Tabelle134["&amp;Tabelle7[[#This Row],[Gewerke]]&amp;"]"),0))</f>
        <v>#N/A</v>
      </c>
      <c r="J645" t="e">
        <f>Tabelle7[[#This Row],[Gesamtcode]]&amp;"_"&amp;Tabelle7[[#This Row],[Zone]]&amp;"_"&amp;Tabelle7[[#This Row],[Raum]]&amp;"_"&amp;Tabelle7[[#This Row],[Bezeichnung]]</f>
        <v>#N/A</v>
      </c>
      <c r="K645">
        <v>0</v>
      </c>
      <c r="L645" t="e">
        <f>Tabelle7[[#This Row],[Hauptgruppe]]&amp;"/-/-"</f>
        <v>#N/A</v>
      </c>
      <c r="M645" t="e">
        <f ca="1">Tabelle7[[#This Row],[Hauptgruppe]]&amp;"/"&amp;Tabelle7[[#This Row],[Mittelgruppe]]&amp;"/-"</f>
        <v>#N/A</v>
      </c>
      <c r="N645" t="e">
        <f ca="1">Tabelle7[[#This Row],[Hauptgruppe]]&amp;"/"&amp;Tabelle7[[#This Row],[Mittelgruppe]]&amp;"/"&amp;Tabelle7[[#This Row],[Untergruppe]]</f>
        <v>#N/A</v>
      </c>
      <c r="O645" t="e">
        <f>INDEX(Tabelle6[Aktor],MATCH(Tabelle7[[#This Row],[Gesamtcode]],Tabelle6[Gesamtcode],0))&amp;" "&amp;INDEX(Tabelle6[Aktorkanal],MATCH(Tabelle7[[#This Row],[Gesamtcode]],Tabelle6[Gesamtcode],0))</f>
        <v>#N/A</v>
      </c>
    </row>
    <row r="646" spans="2:15" x14ac:dyDescent="0.25">
      <c r="B646" t="s">
        <v>418</v>
      </c>
      <c r="C646" t="e">
        <f>INDEX(Tabelle132[Zone],MATCH(Tabelle7[[#This Row],[Gesamtcode]],Tabelle132[Gesamtcode],0))</f>
        <v>#N/A</v>
      </c>
      <c r="D646" t="e">
        <f>INDEX(Tabelle132[Raum],MATCH(Tabelle7[[#This Row],[Gesamtcode]],Tabelle132[Gesamtcode],0))</f>
        <v>#N/A</v>
      </c>
      <c r="E646" t="e">
        <f>INDEX(Tabelle132[Bezeichnung],MATCH(Tabelle7[[#This Row],[Gesamtcode]],Tabelle132[Gesamtcode],0))</f>
        <v>#N/A</v>
      </c>
      <c r="F646" t="e">
        <f>"_"&amp;INDEX(Tabelle132[Geräte/Gewerke],MATCH(Tabelle7[[#This Row],[Gesamtcode]],Tabelle132[Gesamtcode],0))</f>
        <v>#N/A</v>
      </c>
      <c r="G646" t="e">
        <f>INDEX(Tabelle13[Gewerknr.],MATCH(Tabelle7[[#This Row],[Gewerke]],Tabelle13[Hauptgruppe],0))</f>
        <v>#N/A</v>
      </c>
      <c r="H646" t="s">
        <v>278</v>
      </c>
      <c r="I646" t="e">
        <f ca="1">INDEX(Tabelle134[Funktionsbereichsnr.],MATCH(Tabelle7[[#This Row],[Funktionsbereiche]],INDIRECT("Tabelle134["&amp;Tabelle7[[#This Row],[Gewerke]]&amp;"]"),0))</f>
        <v>#N/A</v>
      </c>
      <c r="J646" t="e">
        <f>Tabelle7[[#This Row],[Gesamtcode]]&amp;"_"&amp;Tabelle7[[#This Row],[Zone]]&amp;"_"&amp;Tabelle7[[#This Row],[Raum]]&amp;"_"&amp;Tabelle7[[#This Row],[Bezeichnung]]</f>
        <v>#N/A</v>
      </c>
      <c r="K646">
        <v>1</v>
      </c>
      <c r="L646" t="e">
        <f>Tabelle7[[#This Row],[Hauptgruppe]]&amp;"/-/-"</f>
        <v>#N/A</v>
      </c>
      <c r="M646" t="e">
        <f ca="1">Tabelle7[[#This Row],[Hauptgruppe]]&amp;"/"&amp;Tabelle7[[#This Row],[Mittelgruppe]]&amp;"/-"</f>
        <v>#N/A</v>
      </c>
      <c r="N646" t="e">
        <f ca="1">Tabelle7[[#This Row],[Hauptgruppe]]&amp;"/"&amp;Tabelle7[[#This Row],[Mittelgruppe]]&amp;"/"&amp;Tabelle7[[#This Row],[Untergruppe]]</f>
        <v>#N/A</v>
      </c>
      <c r="O646" t="e">
        <f>INDEX(Tabelle6[Aktor],MATCH(Tabelle7[[#This Row],[Gesamtcode]],Tabelle6[Gesamtcode],0))&amp;" "&amp;INDEX(Tabelle6[Aktorkanal],MATCH(Tabelle7[[#This Row],[Gesamtcode]],Tabelle6[Gesamtcode],0))</f>
        <v>#N/A</v>
      </c>
    </row>
    <row r="647" spans="2:15" x14ac:dyDescent="0.25">
      <c r="B647" t="s">
        <v>419</v>
      </c>
      <c r="C647" t="e">
        <f>INDEX(Tabelle132[Zone],MATCH(Tabelle7[[#This Row],[Gesamtcode]],Tabelle132[Gesamtcode],0))</f>
        <v>#N/A</v>
      </c>
      <c r="D647" t="e">
        <f>INDEX(Tabelle132[Raum],MATCH(Tabelle7[[#This Row],[Gesamtcode]],Tabelle132[Gesamtcode],0))</f>
        <v>#N/A</v>
      </c>
      <c r="E647" t="e">
        <f>INDEX(Tabelle132[Bezeichnung],MATCH(Tabelle7[[#This Row],[Gesamtcode]],Tabelle132[Gesamtcode],0))</f>
        <v>#N/A</v>
      </c>
      <c r="F647" t="e">
        <f>"_"&amp;INDEX(Tabelle132[Geräte/Gewerke],MATCH(Tabelle7[[#This Row],[Gesamtcode]],Tabelle132[Gesamtcode],0))</f>
        <v>#N/A</v>
      </c>
      <c r="G647" t="e">
        <f>INDEX(Tabelle13[Gewerknr.],MATCH(Tabelle7[[#This Row],[Gewerke]],Tabelle13[Hauptgruppe],0))</f>
        <v>#N/A</v>
      </c>
      <c r="H647" t="s">
        <v>278</v>
      </c>
      <c r="I647" t="e">
        <f ca="1">INDEX(Tabelle134[Funktionsbereichsnr.],MATCH(Tabelle7[[#This Row],[Funktionsbereiche]],INDIRECT("Tabelle134["&amp;Tabelle7[[#This Row],[Gewerke]]&amp;"]"),0))</f>
        <v>#N/A</v>
      </c>
      <c r="J647" t="e">
        <f>Tabelle7[[#This Row],[Gesamtcode]]&amp;"_"&amp;Tabelle7[[#This Row],[Zone]]&amp;"_"&amp;Tabelle7[[#This Row],[Raum]]&amp;"_"&amp;Tabelle7[[#This Row],[Bezeichnung]]</f>
        <v>#N/A</v>
      </c>
      <c r="K647">
        <v>2</v>
      </c>
      <c r="L647" t="e">
        <f>Tabelle7[[#This Row],[Hauptgruppe]]&amp;"/-/-"</f>
        <v>#N/A</v>
      </c>
      <c r="M647" t="e">
        <f ca="1">Tabelle7[[#This Row],[Hauptgruppe]]&amp;"/"&amp;Tabelle7[[#This Row],[Mittelgruppe]]&amp;"/-"</f>
        <v>#N/A</v>
      </c>
      <c r="N647" t="e">
        <f ca="1">Tabelle7[[#This Row],[Hauptgruppe]]&amp;"/"&amp;Tabelle7[[#This Row],[Mittelgruppe]]&amp;"/"&amp;Tabelle7[[#This Row],[Untergruppe]]</f>
        <v>#N/A</v>
      </c>
      <c r="O647" t="e">
        <f>INDEX(Tabelle6[Aktor],MATCH(Tabelle7[[#This Row],[Gesamtcode]],Tabelle6[Gesamtcode],0))&amp;" "&amp;INDEX(Tabelle6[Aktorkanal],MATCH(Tabelle7[[#This Row],[Gesamtcode]],Tabelle6[Gesamtcode],0))</f>
        <v>#N/A</v>
      </c>
    </row>
    <row r="648" spans="2:15" x14ac:dyDescent="0.25">
      <c r="B648" t="s">
        <v>420</v>
      </c>
      <c r="C648" t="e">
        <f>INDEX(Tabelle132[Zone],MATCH(Tabelle7[[#This Row],[Gesamtcode]],Tabelle132[Gesamtcode],0))</f>
        <v>#N/A</v>
      </c>
      <c r="D648" t="e">
        <f>INDEX(Tabelle132[Raum],MATCH(Tabelle7[[#This Row],[Gesamtcode]],Tabelle132[Gesamtcode],0))</f>
        <v>#N/A</v>
      </c>
      <c r="E648" t="e">
        <f>INDEX(Tabelle132[Bezeichnung],MATCH(Tabelle7[[#This Row],[Gesamtcode]],Tabelle132[Gesamtcode],0))</f>
        <v>#N/A</v>
      </c>
      <c r="F648" t="e">
        <f>"_"&amp;INDEX(Tabelle132[Geräte/Gewerke],MATCH(Tabelle7[[#This Row],[Gesamtcode]],Tabelle132[Gesamtcode],0))</f>
        <v>#N/A</v>
      </c>
      <c r="G648" t="e">
        <f>INDEX(Tabelle13[Gewerknr.],MATCH(Tabelle7[[#This Row],[Gewerke]],Tabelle13[Hauptgruppe],0))</f>
        <v>#N/A</v>
      </c>
      <c r="H648" t="s">
        <v>278</v>
      </c>
      <c r="I648" t="e">
        <f ca="1">INDEX(Tabelle134[Funktionsbereichsnr.],MATCH(Tabelle7[[#This Row],[Funktionsbereiche]],INDIRECT("Tabelle134["&amp;Tabelle7[[#This Row],[Gewerke]]&amp;"]"),0))</f>
        <v>#N/A</v>
      </c>
      <c r="J648" t="e">
        <f>Tabelle7[[#This Row],[Gesamtcode]]&amp;"_"&amp;Tabelle7[[#This Row],[Zone]]&amp;"_"&amp;Tabelle7[[#This Row],[Raum]]&amp;"_"&amp;Tabelle7[[#This Row],[Bezeichnung]]</f>
        <v>#N/A</v>
      </c>
      <c r="K648">
        <v>3</v>
      </c>
      <c r="L648" t="e">
        <f>Tabelle7[[#This Row],[Hauptgruppe]]&amp;"/-/-"</f>
        <v>#N/A</v>
      </c>
      <c r="M648" t="e">
        <f ca="1">Tabelle7[[#This Row],[Hauptgruppe]]&amp;"/"&amp;Tabelle7[[#This Row],[Mittelgruppe]]&amp;"/-"</f>
        <v>#N/A</v>
      </c>
      <c r="N648" t="e">
        <f ca="1">Tabelle7[[#This Row],[Hauptgruppe]]&amp;"/"&amp;Tabelle7[[#This Row],[Mittelgruppe]]&amp;"/"&amp;Tabelle7[[#This Row],[Untergruppe]]</f>
        <v>#N/A</v>
      </c>
      <c r="O648" t="e">
        <f>INDEX(Tabelle6[Aktor],MATCH(Tabelle7[[#This Row],[Gesamtcode]],Tabelle6[Gesamtcode],0))&amp;" "&amp;INDEX(Tabelle6[Aktorkanal],MATCH(Tabelle7[[#This Row],[Gesamtcode]],Tabelle6[Gesamtcode],0))</f>
        <v>#N/A</v>
      </c>
    </row>
    <row r="649" spans="2:15" x14ac:dyDescent="0.25">
      <c r="B649" t="s">
        <v>421</v>
      </c>
      <c r="C649" t="e">
        <f>INDEX(Tabelle132[Zone],MATCH(Tabelle7[[#This Row],[Gesamtcode]],Tabelle132[Gesamtcode],0))</f>
        <v>#N/A</v>
      </c>
      <c r="D649" t="e">
        <f>INDEX(Tabelle132[Raum],MATCH(Tabelle7[[#This Row],[Gesamtcode]],Tabelle132[Gesamtcode],0))</f>
        <v>#N/A</v>
      </c>
      <c r="E649" t="e">
        <f>INDEX(Tabelle132[Bezeichnung],MATCH(Tabelle7[[#This Row],[Gesamtcode]],Tabelle132[Gesamtcode],0))</f>
        <v>#N/A</v>
      </c>
      <c r="F649" t="e">
        <f>"_"&amp;INDEX(Tabelle132[Geräte/Gewerke],MATCH(Tabelle7[[#This Row],[Gesamtcode]],Tabelle132[Gesamtcode],0))</f>
        <v>#N/A</v>
      </c>
      <c r="G649" t="e">
        <f>INDEX(Tabelle13[Gewerknr.],MATCH(Tabelle7[[#This Row],[Gewerke]],Tabelle13[Hauptgruppe],0))</f>
        <v>#N/A</v>
      </c>
      <c r="H649" t="s">
        <v>278</v>
      </c>
      <c r="I649" t="e">
        <f ca="1">INDEX(Tabelle134[Funktionsbereichsnr.],MATCH(Tabelle7[[#This Row],[Funktionsbereiche]],INDIRECT("Tabelle134["&amp;Tabelle7[[#This Row],[Gewerke]]&amp;"]"),0))</f>
        <v>#N/A</v>
      </c>
      <c r="J649" t="e">
        <f>Tabelle7[[#This Row],[Gesamtcode]]&amp;"_"&amp;Tabelle7[[#This Row],[Zone]]&amp;"_"&amp;Tabelle7[[#This Row],[Raum]]&amp;"_"&amp;Tabelle7[[#This Row],[Bezeichnung]]</f>
        <v>#N/A</v>
      </c>
      <c r="K649">
        <v>4</v>
      </c>
      <c r="L649" t="e">
        <f>Tabelle7[[#This Row],[Hauptgruppe]]&amp;"/-/-"</f>
        <v>#N/A</v>
      </c>
      <c r="M649" t="e">
        <f ca="1">Tabelle7[[#This Row],[Hauptgruppe]]&amp;"/"&amp;Tabelle7[[#This Row],[Mittelgruppe]]&amp;"/-"</f>
        <v>#N/A</v>
      </c>
      <c r="N649" t="e">
        <f ca="1">Tabelle7[[#This Row],[Hauptgruppe]]&amp;"/"&amp;Tabelle7[[#This Row],[Mittelgruppe]]&amp;"/"&amp;Tabelle7[[#This Row],[Untergruppe]]</f>
        <v>#N/A</v>
      </c>
      <c r="O649" t="e">
        <f>INDEX(Tabelle6[Aktor],MATCH(Tabelle7[[#This Row],[Gesamtcode]],Tabelle6[Gesamtcode],0))&amp;" "&amp;INDEX(Tabelle6[Aktorkanal],MATCH(Tabelle7[[#This Row],[Gesamtcode]],Tabelle6[Gesamtcode],0))</f>
        <v>#N/A</v>
      </c>
    </row>
    <row r="650" spans="2:15" x14ac:dyDescent="0.25">
      <c r="B650" t="s">
        <v>422</v>
      </c>
      <c r="C650" t="e">
        <f>INDEX(Tabelle132[Zone],MATCH(Tabelle7[[#This Row],[Gesamtcode]],Tabelle132[Gesamtcode],0))</f>
        <v>#N/A</v>
      </c>
      <c r="D650" t="e">
        <f>INDEX(Tabelle132[Raum],MATCH(Tabelle7[[#This Row],[Gesamtcode]],Tabelle132[Gesamtcode],0))</f>
        <v>#N/A</v>
      </c>
      <c r="E650" t="e">
        <f>INDEX(Tabelle132[Bezeichnung],MATCH(Tabelle7[[#This Row],[Gesamtcode]],Tabelle132[Gesamtcode],0))</f>
        <v>#N/A</v>
      </c>
      <c r="F650" t="e">
        <f>"_"&amp;INDEX(Tabelle132[Geräte/Gewerke],MATCH(Tabelle7[[#This Row],[Gesamtcode]],Tabelle132[Gesamtcode],0))</f>
        <v>#N/A</v>
      </c>
      <c r="G650" t="e">
        <f>INDEX(Tabelle13[Gewerknr.],MATCH(Tabelle7[[#This Row],[Gewerke]],Tabelle13[Hauptgruppe],0))</f>
        <v>#N/A</v>
      </c>
      <c r="H650" t="s">
        <v>278</v>
      </c>
      <c r="I650" t="e">
        <f ca="1">INDEX(Tabelle134[Funktionsbereichsnr.],MATCH(Tabelle7[[#This Row],[Funktionsbereiche]],INDIRECT("Tabelle134["&amp;Tabelle7[[#This Row],[Gewerke]]&amp;"]"),0))</f>
        <v>#N/A</v>
      </c>
      <c r="J650" t="e">
        <f>Tabelle7[[#This Row],[Gesamtcode]]&amp;"_"&amp;Tabelle7[[#This Row],[Zone]]&amp;"_"&amp;Tabelle7[[#This Row],[Raum]]&amp;"_"&amp;Tabelle7[[#This Row],[Bezeichnung]]</f>
        <v>#N/A</v>
      </c>
      <c r="K650">
        <v>5</v>
      </c>
      <c r="L650" t="e">
        <f>Tabelle7[[#This Row],[Hauptgruppe]]&amp;"/-/-"</f>
        <v>#N/A</v>
      </c>
      <c r="M650" t="e">
        <f ca="1">Tabelle7[[#This Row],[Hauptgruppe]]&amp;"/"&amp;Tabelle7[[#This Row],[Mittelgruppe]]&amp;"/-"</f>
        <v>#N/A</v>
      </c>
      <c r="N650" t="e">
        <f ca="1">Tabelle7[[#This Row],[Hauptgruppe]]&amp;"/"&amp;Tabelle7[[#This Row],[Mittelgruppe]]&amp;"/"&amp;Tabelle7[[#This Row],[Untergruppe]]</f>
        <v>#N/A</v>
      </c>
      <c r="O650" t="e">
        <f>INDEX(Tabelle6[Aktor],MATCH(Tabelle7[[#This Row],[Gesamtcode]],Tabelle6[Gesamtcode],0))&amp;" "&amp;INDEX(Tabelle6[Aktorkanal],MATCH(Tabelle7[[#This Row],[Gesamtcode]],Tabelle6[Gesamtcode],0))</f>
        <v>#N/A</v>
      </c>
    </row>
    <row r="651" spans="2:15" x14ac:dyDescent="0.25">
      <c r="B651" t="s">
        <v>423</v>
      </c>
      <c r="C651" t="e">
        <f>INDEX(Tabelle132[Zone],MATCH(Tabelle7[[#This Row],[Gesamtcode]],Tabelle132[Gesamtcode],0))</f>
        <v>#N/A</v>
      </c>
      <c r="D651" t="e">
        <f>INDEX(Tabelle132[Raum],MATCH(Tabelle7[[#This Row],[Gesamtcode]],Tabelle132[Gesamtcode],0))</f>
        <v>#N/A</v>
      </c>
      <c r="E651" t="e">
        <f>INDEX(Tabelle132[Bezeichnung],MATCH(Tabelle7[[#This Row],[Gesamtcode]],Tabelle132[Gesamtcode],0))</f>
        <v>#N/A</v>
      </c>
      <c r="F651" t="e">
        <f>"_"&amp;INDEX(Tabelle132[Geräte/Gewerke],MATCH(Tabelle7[[#This Row],[Gesamtcode]],Tabelle132[Gesamtcode],0))</f>
        <v>#N/A</v>
      </c>
      <c r="G651" t="e">
        <f>INDEX(Tabelle13[Gewerknr.],MATCH(Tabelle7[[#This Row],[Gewerke]],Tabelle13[Hauptgruppe],0))</f>
        <v>#N/A</v>
      </c>
      <c r="H651" t="s">
        <v>278</v>
      </c>
      <c r="I651" t="e">
        <f ca="1">INDEX(Tabelle134[Funktionsbereichsnr.],MATCH(Tabelle7[[#This Row],[Funktionsbereiche]],INDIRECT("Tabelle134["&amp;Tabelle7[[#This Row],[Gewerke]]&amp;"]"),0))</f>
        <v>#N/A</v>
      </c>
      <c r="J651" t="e">
        <f>Tabelle7[[#This Row],[Gesamtcode]]&amp;"_"&amp;Tabelle7[[#This Row],[Zone]]&amp;"_"&amp;Tabelle7[[#This Row],[Raum]]&amp;"_"&amp;Tabelle7[[#This Row],[Bezeichnung]]</f>
        <v>#N/A</v>
      </c>
      <c r="K651">
        <v>6</v>
      </c>
      <c r="L651" t="e">
        <f>Tabelle7[[#This Row],[Hauptgruppe]]&amp;"/-/-"</f>
        <v>#N/A</v>
      </c>
      <c r="M651" t="e">
        <f ca="1">Tabelle7[[#This Row],[Hauptgruppe]]&amp;"/"&amp;Tabelle7[[#This Row],[Mittelgruppe]]&amp;"/-"</f>
        <v>#N/A</v>
      </c>
      <c r="N651" t="e">
        <f ca="1">Tabelle7[[#This Row],[Hauptgruppe]]&amp;"/"&amp;Tabelle7[[#This Row],[Mittelgruppe]]&amp;"/"&amp;Tabelle7[[#This Row],[Untergruppe]]</f>
        <v>#N/A</v>
      </c>
      <c r="O651" t="e">
        <f>INDEX(Tabelle6[Aktor],MATCH(Tabelle7[[#This Row],[Gesamtcode]],Tabelle6[Gesamtcode],0))&amp;" "&amp;INDEX(Tabelle6[Aktorkanal],MATCH(Tabelle7[[#This Row],[Gesamtcode]],Tabelle6[Gesamtcode],0))</f>
        <v>#N/A</v>
      </c>
    </row>
    <row r="652" spans="2:15" x14ac:dyDescent="0.25">
      <c r="B652" t="s">
        <v>424</v>
      </c>
      <c r="C652" t="e">
        <f>INDEX(Tabelle132[Zone],MATCH(Tabelle7[[#This Row],[Gesamtcode]],Tabelle132[Gesamtcode],0))</f>
        <v>#N/A</v>
      </c>
      <c r="D652" t="e">
        <f>INDEX(Tabelle132[Raum],MATCH(Tabelle7[[#This Row],[Gesamtcode]],Tabelle132[Gesamtcode],0))</f>
        <v>#N/A</v>
      </c>
      <c r="E652" t="e">
        <f>INDEX(Tabelle132[Bezeichnung],MATCH(Tabelle7[[#This Row],[Gesamtcode]],Tabelle132[Gesamtcode],0))</f>
        <v>#N/A</v>
      </c>
      <c r="F652" t="e">
        <f>"_"&amp;INDEX(Tabelle132[Geräte/Gewerke],MATCH(Tabelle7[[#This Row],[Gesamtcode]],Tabelle132[Gesamtcode],0))</f>
        <v>#N/A</v>
      </c>
      <c r="G652" t="e">
        <f>INDEX(Tabelle13[Gewerknr.],MATCH(Tabelle7[[#This Row],[Gewerke]],Tabelle13[Hauptgruppe],0))</f>
        <v>#N/A</v>
      </c>
      <c r="H652" t="s">
        <v>278</v>
      </c>
      <c r="I652" t="e">
        <f ca="1">INDEX(Tabelle134[Funktionsbereichsnr.],MATCH(Tabelle7[[#This Row],[Funktionsbereiche]],INDIRECT("Tabelle134["&amp;Tabelle7[[#This Row],[Gewerke]]&amp;"]"),0))</f>
        <v>#N/A</v>
      </c>
      <c r="J652" t="e">
        <f>Tabelle7[[#This Row],[Gesamtcode]]&amp;"_"&amp;Tabelle7[[#This Row],[Zone]]&amp;"_"&amp;Tabelle7[[#This Row],[Raum]]&amp;"_"&amp;Tabelle7[[#This Row],[Bezeichnung]]</f>
        <v>#N/A</v>
      </c>
      <c r="K652">
        <v>7</v>
      </c>
      <c r="L652" t="e">
        <f>Tabelle7[[#This Row],[Hauptgruppe]]&amp;"/-/-"</f>
        <v>#N/A</v>
      </c>
      <c r="M652" t="e">
        <f ca="1">Tabelle7[[#This Row],[Hauptgruppe]]&amp;"/"&amp;Tabelle7[[#This Row],[Mittelgruppe]]&amp;"/-"</f>
        <v>#N/A</v>
      </c>
      <c r="N652" t="e">
        <f ca="1">Tabelle7[[#This Row],[Hauptgruppe]]&amp;"/"&amp;Tabelle7[[#This Row],[Mittelgruppe]]&amp;"/"&amp;Tabelle7[[#This Row],[Untergruppe]]</f>
        <v>#N/A</v>
      </c>
      <c r="O652" t="e">
        <f>INDEX(Tabelle6[Aktor],MATCH(Tabelle7[[#This Row],[Gesamtcode]],Tabelle6[Gesamtcode],0))&amp;" "&amp;INDEX(Tabelle6[Aktorkanal],MATCH(Tabelle7[[#This Row],[Gesamtcode]],Tabelle6[Gesamtcode],0))</f>
        <v>#N/A</v>
      </c>
    </row>
    <row r="653" spans="2:15" x14ac:dyDescent="0.25">
      <c r="B653" t="s">
        <v>417</v>
      </c>
      <c r="C653" t="e">
        <f>INDEX(Tabelle132[Zone],MATCH(Tabelle7[[#This Row],[Gesamtcode]],Tabelle132[Gesamtcode],0))</f>
        <v>#N/A</v>
      </c>
      <c r="D653" t="e">
        <f>INDEX(Tabelle132[Raum],MATCH(Tabelle7[[#This Row],[Gesamtcode]],Tabelle132[Gesamtcode],0))</f>
        <v>#N/A</v>
      </c>
      <c r="E653" t="e">
        <f>INDEX(Tabelle132[Bezeichnung],MATCH(Tabelle7[[#This Row],[Gesamtcode]],Tabelle132[Gesamtcode],0))</f>
        <v>#N/A</v>
      </c>
      <c r="F653" t="e">
        <f>"_"&amp;INDEX(Tabelle132[Geräte/Gewerke],MATCH(Tabelle7[[#This Row],[Gesamtcode]],Tabelle132[Gesamtcode],0))</f>
        <v>#N/A</v>
      </c>
      <c r="G653" t="e">
        <f>INDEX(Tabelle13[Gewerknr.],MATCH(Tabelle7[[#This Row],[Gewerke]],Tabelle13[Hauptgruppe],0))</f>
        <v>#N/A</v>
      </c>
      <c r="H653" t="s">
        <v>279</v>
      </c>
      <c r="I653" t="e">
        <f ca="1">INDEX(Tabelle134[Funktionsbereichsnr.],MATCH(Tabelle7[[#This Row],[Funktionsbereiche]],INDIRECT("Tabelle134["&amp;Tabelle7[[#This Row],[Gewerke]]&amp;"]"),0))</f>
        <v>#N/A</v>
      </c>
      <c r="J653" t="e">
        <f>Tabelle7[[#This Row],[Gesamtcode]]&amp;"_"&amp;Tabelle7[[#This Row],[Zone]]&amp;"_"&amp;Tabelle7[[#This Row],[Raum]]&amp;"_"&amp;Tabelle7[[#This Row],[Bezeichnung]]</f>
        <v>#N/A</v>
      </c>
      <c r="K653">
        <v>0</v>
      </c>
      <c r="L653" t="e">
        <f>Tabelle7[[#This Row],[Hauptgruppe]]&amp;"/-/-"</f>
        <v>#N/A</v>
      </c>
      <c r="M653" t="e">
        <f ca="1">Tabelle7[[#This Row],[Hauptgruppe]]&amp;"/"&amp;Tabelle7[[#This Row],[Mittelgruppe]]&amp;"/-"</f>
        <v>#N/A</v>
      </c>
      <c r="N653" t="e">
        <f ca="1">Tabelle7[[#This Row],[Hauptgruppe]]&amp;"/"&amp;Tabelle7[[#This Row],[Mittelgruppe]]&amp;"/"&amp;Tabelle7[[#This Row],[Untergruppe]]</f>
        <v>#N/A</v>
      </c>
      <c r="O653" t="e">
        <f>INDEX(Tabelle6[Aktor],MATCH(Tabelle7[[#This Row],[Gesamtcode]],Tabelle6[Gesamtcode],0))&amp;" "&amp;INDEX(Tabelle6[Aktorkanal],MATCH(Tabelle7[[#This Row],[Gesamtcode]],Tabelle6[Gesamtcode],0))</f>
        <v>#N/A</v>
      </c>
    </row>
    <row r="654" spans="2:15" x14ac:dyDescent="0.25">
      <c r="B654" t="s">
        <v>418</v>
      </c>
      <c r="C654" t="e">
        <f>INDEX(Tabelle132[Zone],MATCH(Tabelle7[[#This Row],[Gesamtcode]],Tabelle132[Gesamtcode],0))</f>
        <v>#N/A</v>
      </c>
      <c r="D654" t="e">
        <f>INDEX(Tabelle132[Raum],MATCH(Tabelle7[[#This Row],[Gesamtcode]],Tabelle132[Gesamtcode],0))</f>
        <v>#N/A</v>
      </c>
      <c r="E654" t="e">
        <f>INDEX(Tabelle132[Bezeichnung],MATCH(Tabelle7[[#This Row],[Gesamtcode]],Tabelle132[Gesamtcode],0))</f>
        <v>#N/A</v>
      </c>
      <c r="F654" t="e">
        <f>"_"&amp;INDEX(Tabelle132[Geräte/Gewerke],MATCH(Tabelle7[[#This Row],[Gesamtcode]],Tabelle132[Gesamtcode],0))</f>
        <v>#N/A</v>
      </c>
      <c r="G654" t="e">
        <f>INDEX(Tabelle13[Gewerknr.],MATCH(Tabelle7[[#This Row],[Gewerke]],Tabelle13[Hauptgruppe],0))</f>
        <v>#N/A</v>
      </c>
      <c r="H654" t="s">
        <v>279</v>
      </c>
      <c r="I654" t="e">
        <f ca="1">INDEX(Tabelle134[Funktionsbereichsnr.],MATCH(Tabelle7[[#This Row],[Funktionsbereiche]],INDIRECT("Tabelle134["&amp;Tabelle7[[#This Row],[Gewerke]]&amp;"]"),0))</f>
        <v>#N/A</v>
      </c>
      <c r="J654" t="e">
        <f>Tabelle7[[#This Row],[Gesamtcode]]&amp;"_"&amp;Tabelle7[[#This Row],[Zone]]&amp;"_"&amp;Tabelle7[[#This Row],[Raum]]&amp;"_"&amp;Tabelle7[[#This Row],[Bezeichnung]]</f>
        <v>#N/A</v>
      </c>
      <c r="K654">
        <v>1</v>
      </c>
      <c r="L654" t="e">
        <f>Tabelle7[[#This Row],[Hauptgruppe]]&amp;"/-/-"</f>
        <v>#N/A</v>
      </c>
      <c r="M654" t="e">
        <f ca="1">Tabelle7[[#This Row],[Hauptgruppe]]&amp;"/"&amp;Tabelle7[[#This Row],[Mittelgruppe]]&amp;"/-"</f>
        <v>#N/A</v>
      </c>
      <c r="N654" t="e">
        <f ca="1">Tabelle7[[#This Row],[Hauptgruppe]]&amp;"/"&amp;Tabelle7[[#This Row],[Mittelgruppe]]&amp;"/"&amp;Tabelle7[[#This Row],[Untergruppe]]</f>
        <v>#N/A</v>
      </c>
      <c r="O654" t="e">
        <f>INDEX(Tabelle6[Aktor],MATCH(Tabelle7[[#This Row],[Gesamtcode]],Tabelle6[Gesamtcode],0))&amp;" "&amp;INDEX(Tabelle6[Aktorkanal],MATCH(Tabelle7[[#This Row],[Gesamtcode]],Tabelle6[Gesamtcode],0))</f>
        <v>#N/A</v>
      </c>
    </row>
    <row r="655" spans="2:15" x14ac:dyDescent="0.25">
      <c r="B655" t="s">
        <v>419</v>
      </c>
      <c r="C655" t="e">
        <f>INDEX(Tabelle132[Zone],MATCH(Tabelle7[[#This Row],[Gesamtcode]],Tabelle132[Gesamtcode],0))</f>
        <v>#N/A</v>
      </c>
      <c r="D655" t="e">
        <f>INDEX(Tabelle132[Raum],MATCH(Tabelle7[[#This Row],[Gesamtcode]],Tabelle132[Gesamtcode],0))</f>
        <v>#N/A</v>
      </c>
      <c r="E655" t="e">
        <f>INDEX(Tabelle132[Bezeichnung],MATCH(Tabelle7[[#This Row],[Gesamtcode]],Tabelle132[Gesamtcode],0))</f>
        <v>#N/A</v>
      </c>
      <c r="F655" t="e">
        <f>"_"&amp;INDEX(Tabelle132[Geräte/Gewerke],MATCH(Tabelle7[[#This Row],[Gesamtcode]],Tabelle132[Gesamtcode],0))</f>
        <v>#N/A</v>
      </c>
      <c r="G655" t="e">
        <f>INDEX(Tabelle13[Gewerknr.],MATCH(Tabelle7[[#This Row],[Gewerke]],Tabelle13[Hauptgruppe],0))</f>
        <v>#N/A</v>
      </c>
      <c r="H655" t="s">
        <v>279</v>
      </c>
      <c r="I655" t="e">
        <f ca="1">INDEX(Tabelle134[Funktionsbereichsnr.],MATCH(Tabelle7[[#This Row],[Funktionsbereiche]],INDIRECT("Tabelle134["&amp;Tabelle7[[#This Row],[Gewerke]]&amp;"]"),0))</f>
        <v>#N/A</v>
      </c>
      <c r="J655" t="e">
        <f>Tabelle7[[#This Row],[Gesamtcode]]&amp;"_"&amp;Tabelle7[[#This Row],[Zone]]&amp;"_"&amp;Tabelle7[[#This Row],[Raum]]&amp;"_"&amp;Tabelle7[[#This Row],[Bezeichnung]]</f>
        <v>#N/A</v>
      </c>
      <c r="K655">
        <v>2</v>
      </c>
      <c r="L655" t="e">
        <f>Tabelle7[[#This Row],[Hauptgruppe]]&amp;"/-/-"</f>
        <v>#N/A</v>
      </c>
      <c r="M655" t="e">
        <f ca="1">Tabelle7[[#This Row],[Hauptgruppe]]&amp;"/"&amp;Tabelle7[[#This Row],[Mittelgruppe]]&amp;"/-"</f>
        <v>#N/A</v>
      </c>
      <c r="N655" t="e">
        <f ca="1">Tabelle7[[#This Row],[Hauptgruppe]]&amp;"/"&amp;Tabelle7[[#This Row],[Mittelgruppe]]&amp;"/"&amp;Tabelle7[[#This Row],[Untergruppe]]</f>
        <v>#N/A</v>
      </c>
      <c r="O655" t="e">
        <f>INDEX(Tabelle6[Aktor],MATCH(Tabelle7[[#This Row],[Gesamtcode]],Tabelle6[Gesamtcode],0))&amp;" "&amp;INDEX(Tabelle6[Aktorkanal],MATCH(Tabelle7[[#This Row],[Gesamtcode]],Tabelle6[Gesamtcode],0))</f>
        <v>#N/A</v>
      </c>
    </row>
    <row r="656" spans="2:15" x14ac:dyDescent="0.25">
      <c r="B656" t="s">
        <v>420</v>
      </c>
      <c r="C656" t="e">
        <f>INDEX(Tabelle132[Zone],MATCH(Tabelle7[[#This Row],[Gesamtcode]],Tabelle132[Gesamtcode],0))</f>
        <v>#N/A</v>
      </c>
      <c r="D656" t="e">
        <f>INDEX(Tabelle132[Raum],MATCH(Tabelle7[[#This Row],[Gesamtcode]],Tabelle132[Gesamtcode],0))</f>
        <v>#N/A</v>
      </c>
      <c r="E656" t="e">
        <f>INDEX(Tabelle132[Bezeichnung],MATCH(Tabelle7[[#This Row],[Gesamtcode]],Tabelle132[Gesamtcode],0))</f>
        <v>#N/A</v>
      </c>
      <c r="F656" t="e">
        <f>"_"&amp;INDEX(Tabelle132[Geräte/Gewerke],MATCH(Tabelle7[[#This Row],[Gesamtcode]],Tabelle132[Gesamtcode],0))</f>
        <v>#N/A</v>
      </c>
      <c r="G656" t="e">
        <f>INDEX(Tabelle13[Gewerknr.],MATCH(Tabelle7[[#This Row],[Gewerke]],Tabelle13[Hauptgruppe],0))</f>
        <v>#N/A</v>
      </c>
      <c r="H656" t="s">
        <v>279</v>
      </c>
      <c r="I656" t="e">
        <f ca="1">INDEX(Tabelle134[Funktionsbereichsnr.],MATCH(Tabelle7[[#This Row],[Funktionsbereiche]],INDIRECT("Tabelle134["&amp;Tabelle7[[#This Row],[Gewerke]]&amp;"]"),0))</f>
        <v>#N/A</v>
      </c>
      <c r="J656" t="e">
        <f>Tabelle7[[#This Row],[Gesamtcode]]&amp;"_"&amp;Tabelle7[[#This Row],[Zone]]&amp;"_"&amp;Tabelle7[[#This Row],[Raum]]&amp;"_"&amp;Tabelle7[[#This Row],[Bezeichnung]]</f>
        <v>#N/A</v>
      </c>
      <c r="K656">
        <v>3</v>
      </c>
      <c r="L656" t="e">
        <f>Tabelle7[[#This Row],[Hauptgruppe]]&amp;"/-/-"</f>
        <v>#N/A</v>
      </c>
      <c r="M656" t="e">
        <f ca="1">Tabelle7[[#This Row],[Hauptgruppe]]&amp;"/"&amp;Tabelle7[[#This Row],[Mittelgruppe]]&amp;"/-"</f>
        <v>#N/A</v>
      </c>
      <c r="N656" t="e">
        <f ca="1">Tabelle7[[#This Row],[Hauptgruppe]]&amp;"/"&amp;Tabelle7[[#This Row],[Mittelgruppe]]&amp;"/"&amp;Tabelle7[[#This Row],[Untergruppe]]</f>
        <v>#N/A</v>
      </c>
      <c r="O656" t="e">
        <f>INDEX(Tabelle6[Aktor],MATCH(Tabelle7[[#This Row],[Gesamtcode]],Tabelle6[Gesamtcode],0))&amp;" "&amp;INDEX(Tabelle6[Aktorkanal],MATCH(Tabelle7[[#This Row],[Gesamtcode]],Tabelle6[Gesamtcode],0))</f>
        <v>#N/A</v>
      </c>
    </row>
    <row r="657" spans="2:15" x14ac:dyDescent="0.25">
      <c r="B657" t="s">
        <v>421</v>
      </c>
      <c r="C657" t="e">
        <f>INDEX(Tabelle132[Zone],MATCH(Tabelle7[[#This Row],[Gesamtcode]],Tabelle132[Gesamtcode],0))</f>
        <v>#N/A</v>
      </c>
      <c r="D657" t="e">
        <f>INDEX(Tabelle132[Raum],MATCH(Tabelle7[[#This Row],[Gesamtcode]],Tabelle132[Gesamtcode],0))</f>
        <v>#N/A</v>
      </c>
      <c r="E657" t="e">
        <f>INDEX(Tabelle132[Bezeichnung],MATCH(Tabelle7[[#This Row],[Gesamtcode]],Tabelle132[Gesamtcode],0))</f>
        <v>#N/A</v>
      </c>
      <c r="F657" t="e">
        <f>"_"&amp;INDEX(Tabelle132[Geräte/Gewerke],MATCH(Tabelle7[[#This Row],[Gesamtcode]],Tabelle132[Gesamtcode],0))</f>
        <v>#N/A</v>
      </c>
      <c r="G657" t="e">
        <f>INDEX(Tabelle13[Gewerknr.],MATCH(Tabelle7[[#This Row],[Gewerke]],Tabelle13[Hauptgruppe],0))</f>
        <v>#N/A</v>
      </c>
      <c r="H657" t="s">
        <v>279</v>
      </c>
      <c r="I657" t="e">
        <f ca="1">INDEX(Tabelle134[Funktionsbereichsnr.],MATCH(Tabelle7[[#This Row],[Funktionsbereiche]],INDIRECT("Tabelle134["&amp;Tabelle7[[#This Row],[Gewerke]]&amp;"]"),0))</f>
        <v>#N/A</v>
      </c>
      <c r="J657" t="e">
        <f>Tabelle7[[#This Row],[Gesamtcode]]&amp;"_"&amp;Tabelle7[[#This Row],[Zone]]&amp;"_"&amp;Tabelle7[[#This Row],[Raum]]&amp;"_"&amp;Tabelle7[[#This Row],[Bezeichnung]]</f>
        <v>#N/A</v>
      </c>
      <c r="K657">
        <v>4</v>
      </c>
      <c r="L657" t="e">
        <f>Tabelle7[[#This Row],[Hauptgruppe]]&amp;"/-/-"</f>
        <v>#N/A</v>
      </c>
      <c r="M657" t="e">
        <f ca="1">Tabelle7[[#This Row],[Hauptgruppe]]&amp;"/"&amp;Tabelle7[[#This Row],[Mittelgruppe]]&amp;"/-"</f>
        <v>#N/A</v>
      </c>
      <c r="N657" t="e">
        <f ca="1">Tabelle7[[#This Row],[Hauptgruppe]]&amp;"/"&amp;Tabelle7[[#This Row],[Mittelgruppe]]&amp;"/"&amp;Tabelle7[[#This Row],[Untergruppe]]</f>
        <v>#N/A</v>
      </c>
      <c r="O657" t="e">
        <f>INDEX(Tabelle6[Aktor],MATCH(Tabelle7[[#This Row],[Gesamtcode]],Tabelle6[Gesamtcode],0))&amp;" "&amp;INDEX(Tabelle6[Aktorkanal],MATCH(Tabelle7[[#This Row],[Gesamtcode]],Tabelle6[Gesamtcode],0))</f>
        <v>#N/A</v>
      </c>
    </row>
    <row r="658" spans="2:15" x14ac:dyDescent="0.25">
      <c r="B658" t="s">
        <v>422</v>
      </c>
      <c r="C658" t="e">
        <f>INDEX(Tabelle132[Zone],MATCH(Tabelle7[[#This Row],[Gesamtcode]],Tabelle132[Gesamtcode],0))</f>
        <v>#N/A</v>
      </c>
      <c r="D658" t="e">
        <f>INDEX(Tabelle132[Raum],MATCH(Tabelle7[[#This Row],[Gesamtcode]],Tabelle132[Gesamtcode],0))</f>
        <v>#N/A</v>
      </c>
      <c r="E658" t="e">
        <f>INDEX(Tabelle132[Bezeichnung],MATCH(Tabelle7[[#This Row],[Gesamtcode]],Tabelle132[Gesamtcode],0))</f>
        <v>#N/A</v>
      </c>
      <c r="F658" t="e">
        <f>"_"&amp;INDEX(Tabelle132[Geräte/Gewerke],MATCH(Tabelle7[[#This Row],[Gesamtcode]],Tabelle132[Gesamtcode],0))</f>
        <v>#N/A</v>
      </c>
      <c r="G658" t="e">
        <f>INDEX(Tabelle13[Gewerknr.],MATCH(Tabelle7[[#This Row],[Gewerke]],Tabelle13[Hauptgruppe],0))</f>
        <v>#N/A</v>
      </c>
      <c r="H658" t="s">
        <v>279</v>
      </c>
      <c r="I658" t="e">
        <f ca="1">INDEX(Tabelle134[Funktionsbereichsnr.],MATCH(Tabelle7[[#This Row],[Funktionsbereiche]],INDIRECT("Tabelle134["&amp;Tabelle7[[#This Row],[Gewerke]]&amp;"]"),0))</f>
        <v>#N/A</v>
      </c>
      <c r="J658" t="e">
        <f>Tabelle7[[#This Row],[Gesamtcode]]&amp;"_"&amp;Tabelle7[[#This Row],[Zone]]&amp;"_"&amp;Tabelle7[[#This Row],[Raum]]&amp;"_"&amp;Tabelle7[[#This Row],[Bezeichnung]]</f>
        <v>#N/A</v>
      </c>
      <c r="K658">
        <v>5</v>
      </c>
      <c r="L658" t="e">
        <f>Tabelle7[[#This Row],[Hauptgruppe]]&amp;"/-/-"</f>
        <v>#N/A</v>
      </c>
      <c r="M658" t="e">
        <f ca="1">Tabelle7[[#This Row],[Hauptgruppe]]&amp;"/"&amp;Tabelle7[[#This Row],[Mittelgruppe]]&amp;"/-"</f>
        <v>#N/A</v>
      </c>
      <c r="N658" t="e">
        <f ca="1">Tabelle7[[#This Row],[Hauptgruppe]]&amp;"/"&amp;Tabelle7[[#This Row],[Mittelgruppe]]&amp;"/"&amp;Tabelle7[[#This Row],[Untergruppe]]</f>
        <v>#N/A</v>
      </c>
      <c r="O658" t="e">
        <f>INDEX(Tabelle6[Aktor],MATCH(Tabelle7[[#This Row],[Gesamtcode]],Tabelle6[Gesamtcode],0))&amp;" "&amp;INDEX(Tabelle6[Aktorkanal],MATCH(Tabelle7[[#This Row],[Gesamtcode]],Tabelle6[Gesamtcode],0))</f>
        <v>#N/A</v>
      </c>
    </row>
    <row r="659" spans="2:15" x14ac:dyDescent="0.25">
      <c r="B659" t="s">
        <v>423</v>
      </c>
      <c r="C659" t="e">
        <f>INDEX(Tabelle132[Zone],MATCH(Tabelle7[[#This Row],[Gesamtcode]],Tabelle132[Gesamtcode],0))</f>
        <v>#N/A</v>
      </c>
      <c r="D659" t="e">
        <f>INDEX(Tabelle132[Raum],MATCH(Tabelle7[[#This Row],[Gesamtcode]],Tabelle132[Gesamtcode],0))</f>
        <v>#N/A</v>
      </c>
      <c r="E659" t="e">
        <f>INDEX(Tabelle132[Bezeichnung],MATCH(Tabelle7[[#This Row],[Gesamtcode]],Tabelle132[Gesamtcode],0))</f>
        <v>#N/A</v>
      </c>
      <c r="F659" t="e">
        <f>"_"&amp;INDEX(Tabelle132[Geräte/Gewerke],MATCH(Tabelle7[[#This Row],[Gesamtcode]],Tabelle132[Gesamtcode],0))</f>
        <v>#N/A</v>
      </c>
      <c r="G659" t="e">
        <f>INDEX(Tabelle13[Gewerknr.],MATCH(Tabelle7[[#This Row],[Gewerke]],Tabelle13[Hauptgruppe],0))</f>
        <v>#N/A</v>
      </c>
      <c r="H659" t="s">
        <v>279</v>
      </c>
      <c r="I659" t="e">
        <f ca="1">INDEX(Tabelle134[Funktionsbereichsnr.],MATCH(Tabelle7[[#This Row],[Funktionsbereiche]],INDIRECT("Tabelle134["&amp;Tabelle7[[#This Row],[Gewerke]]&amp;"]"),0))</f>
        <v>#N/A</v>
      </c>
      <c r="J659" t="e">
        <f>Tabelle7[[#This Row],[Gesamtcode]]&amp;"_"&amp;Tabelle7[[#This Row],[Zone]]&amp;"_"&amp;Tabelle7[[#This Row],[Raum]]&amp;"_"&amp;Tabelle7[[#This Row],[Bezeichnung]]</f>
        <v>#N/A</v>
      </c>
      <c r="K659">
        <v>6</v>
      </c>
      <c r="L659" t="e">
        <f>Tabelle7[[#This Row],[Hauptgruppe]]&amp;"/-/-"</f>
        <v>#N/A</v>
      </c>
      <c r="M659" t="e">
        <f ca="1">Tabelle7[[#This Row],[Hauptgruppe]]&amp;"/"&amp;Tabelle7[[#This Row],[Mittelgruppe]]&amp;"/-"</f>
        <v>#N/A</v>
      </c>
      <c r="N659" t="e">
        <f ca="1">Tabelle7[[#This Row],[Hauptgruppe]]&amp;"/"&amp;Tabelle7[[#This Row],[Mittelgruppe]]&amp;"/"&amp;Tabelle7[[#This Row],[Untergruppe]]</f>
        <v>#N/A</v>
      </c>
      <c r="O659" t="e">
        <f>INDEX(Tabelle6[Aktor],MATCH(Tabelle7[[#This Row],[Gesamtcode]],Tabelle6[Gesamtcode],0))&amp;" "&amp;INDEX(Tabelle6[Aktorkanal],MATCH(Tabelle7[[#This Row],[Gesamtcode]],Tabelle6[Gesamtcode],0))</f>
        <v>#N/A</v>
      </c>
    </row>
    <row r="660" spans="2:15" x14ac:dyDescent="0.25">
      <c r="B660" t="s">
        <v>424</v>
      </c>
      <c r="C660" t="e">
        <f>INDEX(Tabelle132[Zone],MATCH(Tabelle7[[#This Row],[Gesamtcode]],Tabelle132[Gesamtcode],0))</f>
        <v>#N/A</v>
      </c>
      <c r="D660" t="e">
        <f>INDEX(Tabelle132[Raum],MATCH(Tabelle7[[#This Row],[Gesamtcode]],Tabelle132[Gesamtcode],0))</f>
        <v>#N/A</v>
      </c>
      <c r="E660" t="e">
        <f>INDEX(Tabelle132[Bezeichnung],MATCH(Tabelle7[[#This Row],[Gesamtcode]],Tabelle132[Gesamtcode],0))</f>
        <v>#N/A</v>
      </c>
      <c r="F660" t="e">
        <f>"_"&amp;INDEX(Tabelle132[Geräte/Gewerke],MATCH(Tabelle7[[#This Row],[Gesamtcode]],Tabelle132[Gesamtcode],0))</f>
        <v>#N/A</v>
      </c>
      <c r="G660" t="e">
        <f>INDEX(Tabelle13[Gewerknr.],MATCH(Tabelle7[[#This Row],[Gewerke]],Tabelle13[Hauptgruppe],0))</f>
        <v>#N/A</v>
      </c>
      <c r="H660" t="s">
        <v>279</v>
      </c>
      <c r="I660" t="e">
        <f ca="1">INDEX(Tabelle134[Funktionsbereichsnr.],MATCH(Tabelle7[[#This Row],[Funktionsbereiche]],INDIRECT("Tabelle134["&amp;Tabelle7[[#This Row],[Gewerke]]&amp;"]"),0))</f>
        <v>#N/A</v>
      </c>
      <c r="J660" t="e">
        <f>Tabelle7[[#This Row],[Gesamtcode]]&amp;"_"&amp;Tabelle7[[#This Row],[Zone]]&amp;"_"&amp;Tabelle7[[#This Row],[Raum]]&amp;"_"&amp;Tabelle7[[#This Row],[Bezeichnung]]</f>
        <v>#N/A</v>
      </c>
      <c r="K660">
        <v>7</v>
      </c>
      <c r="L660" t="e">
        <f>Tabelle7[[#This Row],[Hauptgruppe]]&amp;"/-/-"</f>
        <v>#N/A</v>
      </c>
      <c r="M660" t="e">
        <f ca="1">Tabelle7[[#This Row],[Hauptgruppe]]&amp;"/"&amp;Tabelle7[[#This Row],[Mittelgruppe]]&amp;"/-"</f>
        <v>#N/A</v>
      </c>
      <c r="N660" t="e">
        <f ca="1">Tabelle7[[#This Row],[Hauptgruppe]]&amp;"/"&amp;Tabelle7[[#This Row],[Mittelgruppe]]&amp;"/"&amp;Tabelle7[[#This Row],[Untergruppe]]</f>
        <v>#N/A</v>
      </c>
      <c r="O660" t="e">
        <f>INDEX(Tabelle6[Aktor],MATCH(Tabelle7[[#This Row],[Gesamtcode]],Tabelle6[Gesamtcode],0))&amp;" "&amp;INDEX(Tabelle6[Aktorkanal],MATCH(Tabelle7[[#This Row],[Gesamtcode]],Tabelle6[Gesamtcode],0))</f>
        <v>#N/A</v>
      </c>
    </row>
    <row r="661" spans="2:15" x14ac:dyDescent="0.25">
      <c r="B661" t="s">
        <v>417</v>
      </c>
      <c r="C661" t="e">
        <f>INDEX(Tabelle132[Zone],MATCH(Tabelle7[[#This Row],[Gesamtcode]],Tabelle132[Gesamtcode],0))</f>
        <v>#N/A</v>
      </c>
      <c r="D661" t="e">
        <f>INDEX(Tabelle132[Raum],MATCH(Tabelle7[[#This Row],[Gesamtcode]],Tabelle132[Gesamtcode],0))</f>
        <v>#N/A</v>
      </c>
      <c r="E661" t="e">
        <f>INDEX(Tabelle132[Bezeichnung],MATCH(Tabelle7[[#This Row],[Gesamtcode]],Tabelle132[Gesamtcode],0))</f>
        <v>#N/A</v>
      </c>
      <c r="F661" t="e">
        <f>"_"&amp;INDEX(Tabelle132[Geräte/Gewerke],MATCH(Tabelle7[[#This Row],[Gesamtcode]],Tabelle132[Gesamtcode],0))</f>
        <v>#N/A</v>
      </c>
      <c r="G661" t="e">
        <f>INDEX(Tabelle13[Gewerknr.],MATCH(Tabelle7[[#This Row],[Gewerke]],Tabelle13[Hauptgruppe],0))</f>
        <v>#N/A</v>
      </c>
      <c r="H661" t="s">
        <v>280</v>
      </c>
      <c r="I661" t="e">
        <f ca="1">INDEX(Tabelle134[Funktionsbereichsnr.],MATCH(Tabelle7[[#This Row],[Funktionsbereiche]],INDIRECT("Tabelle134["&amp;Tabelle7[[#This Row],[Gewerke]]&amp;"]"),0))</f>
        <v>#N/A</v>
      </c>
      <c r="J661" t="e">
        <f>Tabelle7[[#This Row],[Gesamtcode]]&amp;"_"&amp;Tabelle7[[#This Row],[Zone]]&amp;"_"&amp;Tabelle7[[#This Row],[Raum]]&amp;"_"&amp;Tabelle7[[#This Row],[Bezeichnung]]</f>
        <v>#N/A</v>
      </c>
      <c r="K661">
        <v>0</v>
      </c>
      <c r="L661" t="e">
        <f>Tabelle7[[#This Row],[Hauptgruppe]]&amp;"/-/-"</f>
        <v>#N/A</v>
      </c>
      <c r="M661" t="e">
        <f ca="1">Tabelle7[[#This Row],[Hauptgruppe]]&amp;"/"&amp;Tabelle7[[#This Row],[Mittelgruppe]]&amp;"/-"</f>
        <v>#N/A</v>
      </c>
      <c r="N661" t="e">
        <f ca="1">Tabelle7[[#This Row],[Hauptgruppe]]&amp;"/"&amp;Tabelle7[[#This Row],[Mittelgruppe]]&amp;"/"&amp;Tabelle7[[#This Row],[Untergruppe]]</f>
        <v>#N/A</v>
      </c>
      <c r="O661" t="e">
        <f>INDEX(Tabelle6[Aktor],MATCH(Tabelle7[[#This Row],[Gesamtcode]],Tabelle6[Gesamtcode],0))&amp;" "&amp;INDEX(Tabelle6[Aktorkanal],MATCH(Tabelle7[[#This Row],[Gesamtcode]],Tabelle6[Gesamtcode],0))</f>
        <v>#N/A</v>
      </c>
    </row>
    <row r="662" spans="2:15" x14ac:dyDescent="0.25">
      <c r="B662" t="s">
        <v>418</v>
      </c>
      <c r="C662" t="e">
        <f>INDEX(Tabelle132[Zone],MATCH(Tabelle7[[#This Row],[Gesamtcode]],Tabelle132[Gesamtcode],0))</f>
        <v>#N/A</v>
      </c>
      <c r="D662" t="e">
        <f>INDEX(Tabelle132[Raum],MATCH(Tabelle7[[#This Row],[Gesamtcode]],Tabelle132[Gesamtcode],0))</f>
        <v>#N/A</v>
      </c>
      <c r="E662" t="e">
        <f>INDEX(Tabelle132[Bezeichnung],MATCH(Tabelle7[[#This Row],[Gesamtcode]],Tabelle132[Gesamtcode],0))</f>
        <v>#N/A</v>
      </c>
      <c r="F662" t="e">
        <f>"_"&amp;INDEX(Tabelle132[Geräte/Gewerke],MATCH(Tabelle7[[#This Row],[Gesamtcode]],Tabelle132[Gesamtcode],0))</f>
        <v>#N/A</v>
      </c>
      <c r="G662" t="e">
        <f>INDEX(Tabelle13[Gewerknr.],MATCH(Tabelle7[[#This Row],[Gewerke]],Tabelle13[Hauptgruppe],0))</f>
        <v>#N/A</v>
      </c>
      <c r="H662" t="s">
        <v>280</v>
      </c>
      <c r="I662" t="e">
        <f ca="1">INDEX(Tabelle134[Funktionsbereichsnr.],MATCH(Tabelle7[[#This Row],[Funktionsbereiche]],INDIRECT("Tabelle134["&amp;Tabelle7[[#This Row],[Gewerke]]&amp;"]"),0))</f>
        <v>#N/A</v>
      </c>
      <c r="J662" t="e">
        <f>Tabelle7[[#This Row],[Gesamtcode]]&amp;"_"&amp;Tabelle7[[#This Row],[Zone]]&amp;"_"&amp;Tabelle7[[#This Row],[Raum]]&amp;"_"&amp;Tabelle7[[#This Row],[Bezeichnung]]</f>
        <v>#N/A</v>
      </c>
      <c r="K662">
        <v>1</v>
      </c>
      <c r="L662" t="e">
        <f>Tabelle7[[#This Row],[Hauptgruppe]]&amp;"/-/-"</f>
        <v>#N/A</v>
      </c>
      <c r="M662" t="e">
        <f ca="1">Tabelle7[[#This Row],[Hauptgruppe]]&amp;"/"&amp;Tabelle7[[#This Row],[Mittelgruppe]]&amp;"/-"</f>
        <v>#N/A</v>
      </c>
      <c r="N662" t="e">
        <f ca="1">Tabelle7[[#This Row],[Hauptgruppe]]&amp;"/"&amp;Tabelle7[[#This Row],[Mittelgruppe]]&amp;"/"&amp;Tabelle7[[#This Row],[Untergruppe]]</f>
        <v>#N/A</v>
      </c>
      <c r="O662" t="e">
        <f>INDEX(Tabelle6[Aktor],MATCH(Tabelle7[[#This Row],[Gesamtcode]],Tabelle6[Gesamtcode],0))&amp;" "&amp;INDEX(Tabelle6[Aktorkanal],MATCH(Tabelle7[[#This Row],[Gesamtcode]],Tabelle6[Gesamtcode],0))</f>
        <v>#N/A</v>
      </c>
    </row>
    <row r="663" spans="2:15" x14ac:dyDescent="0.25">
      <c r="B663" t="s">
        <v>419</v>
      </c>
      <c r="C663" t="e">
        <f>INDEX(Tabelle132[Zone],MATCH(Tabelle7[[#This Row],[Gesamtcode]],Tabelle132[Gesamtcode],0))</f>
        <v>#N/A</v>
      </c>
      <c r="D663" t="e">
        <f>INDEX(Tabelle132[Raum],MATCH(Tabelle7[[#This Row],[Gesamtcode]],Tabelle132[Gesamtcode],0))</f>
        <v>#N/A</v>
      </c>
      <c r="E663" t="e">
        <f>INDEX(Tabelle132[Bezeichnung],MATCH(Tabelle7[[#This Row],[Gesamtcode]],Tabelle132[Gesamtcode],0))</f>
        <v>#N/A</v>
      </c>
      <c r="F663" t="e">
        <f>"_"&amp;INDEX(Tabelle132[Geräte/Gewerke],MATCH(Tabelle7[[#This Row],[Gesamtcode]],Tabelle132[Gesamtcode],0))</f>
        <v>#N/A</v>
      </c>
      <c r="G663" t="e">
        <f>INDEX(Tabelle13[Gewerknr.],MATCH(Tabelle7[[#This Row],[Gewerke]],Tabelle13[Hauptgruppe],0))</f>
        <v>#N/A</v>
      </c>
      <c r="H663" t="s">
        <v>280</v>
      </c>
      <c r="I663" t="e">
        <f ca="1">INDEX(Tabelle134[Funktionsbereichsnr.],MATCH(Tabelle7[[#This Row],[Funktionsbereiche]],INDIRECT("Tabelle134["&amp;Tabelle7[[#This Row],[Gewerke]]&amp;"]"),0))</f>
        <v>#N/A</v>
      </c>
      <c r="J663" t="e">
        <f>Tabelle7[[#This Row],[Gesamtcode]]&amp;"_"&amp;Tabelle7[[#This Row],[Zone]]&amp;"_"&amp;Tabelle7[[#This Row],[Raum]]&amp;"_"&amp;Tabelle7[[#This Row],[Bezeichnung]]</f>
        <v>#N/A</v>
      </c>
      <c r="K663">
        <v>2</v>
      </c>
      <c r="L663" t="e">
        <f>Tabelle7[[#This Row],[Hauptgruppe]]&amp;"/-/-"</f>
        <v>#N/A</v>
      </c>
      <c r="M663" t="e">
        <f ca="1">Tabelle7[[#This Row],[Hauptgruppe]]&amp;"/"&amp;Tabelle7[[#This Row],[Mittelgruppe]]&amp;"/-"</f>
        <v>#N/A</v>
      </c>
      <c r="N663" t="e">
        <f ca="1">Tabelle7[[#This Row],[Hauptgruppe]]&amp;"/"&amp;Tabelle7[[#This Row],[Mittelgruppe]]&amp;"/"&amp;Tabelle7[[#This Row],[Untergruppe]]</f>
        <v>#N/A</v>
      </c>
      <c r="O663" t="e">
        <f>INDEX(Tabelle6[Aktor],MATCH(Tabelle7[[#This Row],[Gesamtcode]],Tabelle6[Gesamtcode],0))&amp;" "&amp;INDEX(Tabelle6[Aktorkanal],MATCH(Tabelle7[[#This Row],[Gesamtcode]],Tabelle6[Gesamtcode],0))</f>
        <v>#N/A</v>
      </c>
    </row>
    <row r="664" spans="2:15" x14ac:dyDescent="0.25">
      <c r="B664" t="s">
        <v>420</v>
      </c>
      <c r="C664" t="e">
        <f>INDEX(Tabelle132[Zone],MATCH(Tabelle7[[#This Row],[Gesamtcode]],Tabelle132[Gesamtcode],0))</f>
        <v>#N/A</v>
      </c>
      <c r="D664" t="e">
        <f>INDEX(Tabelle132[Raum],MATCH(Tabelle7[[#This Row],[Gesamtcode]],Tabelle132[Gesamtcode],0))</f>
        <v>#N/A</v>
      </c>
      <c r="E664" t="e">
        <f>INDEX(Tabelle132[Bezeichnung],MATCH(Tabelle7[[#This Row],[Gesamtcode]],Tabelle132[Gesamtcode],0))</f>
        <v>#N/A</v>
      </c>
      <c r="F664" t="e">
        <f>"_"&amp;INDEX(Tabelle132[Geräte/Gewerke],MATCH(Tabelle7[[#This Row],[Gesamtcode]],Tabelle132[Gesamtcode],0))</f>
        <v>#N/A</v>
      </c>
      <c r="G664" t="e">
        <f>INDEX(Tabelle13[Gewerknr.],MATCH(Tabelle7[[#This Row],[Gewerke]],Tabelle13[Hauptgruppe],0))</f>
        <v>#N/A</v>
      </c>
      <c r="H664" t="s">
        <v>280</v>
      </c>
      <c r="I664" t="e">
        <f ca="1">INDEX(Tabelle134[Funktionsbereichsnr.],MATCH(Tabelle7[[#This Row],[Funktionsbereiche]],INDIRECT("Tabelle134["&amp;Tabelle7[[#This Row],[Gewerke]]&amp;"]"),0))</f>
        <v>#N/A</v>
      </c>
      <c r="J664" t="e">
        <f>Tabelle7[[#This Row],[Gesamtcode]]&amp;"_"&amp;Tabelle7[[#This Row],[Zone]]&amp;"_"&amp;Tabelle7[[#This Row],[Raum]]&amp;"_"&amp;Tabelle7[[#This Row],[Bezeichnung]]</f>
        <v>#N/A</v>
      </c>
      <c r="K664">
        <v>3</v>
      </c>
      <c r="L664" t="e">
        <f>Tabelle7[[#This Row],[Hauptgruppe]]&amp;"/-/-"</f>
        <v>#N/A</v>
      </c>
      <c r="M664" t="e">
        <f ca="1">Tabelle7[[#This Row],[Hauptgruppe]]&amp;"/"&amp;Tabelle7[[#This Row],[Mittelgruppe]]&amp;"/-"</f>
        <v>#N/A</v>
      </c>
      <c r="N664" t="e">
        <f ca="1">Tabelle7[[#This Row],[Hauptgruppe]]&amp;"/"&amp;Tabelle7[[#This Row],[Mittelgruppe]]&amp;"/"&amp;Tabelle7[[#This Row],[Untergruppe]]</f>
        <v>#N/A</v>
      </c>
      <c r="O664" t="e">
        <f>INDEX(Tabelle6[Aktor],MATCH(Tabelle7[[#This Row],[Gesamtcode]],Tabelle6[Gesamtcode],0))&amp;" "&amp;INDEX(Tabelle6[Aktorkanal],MATCH(Tabelle7[[#This Row],[Gesamtcode]],Tabelle6[Gesamtcode],0))</f>
        <v>#N/A</v>
      </c>
    </row>
    <row r="665" spans="2:15" x14ac:dyDescent="0.25">
      <c r="B665" t="s">
        <v>421</v>
      </c>
      <c r="C665" t="e">
        <f>INDEX(Tabelle132[Zone],MATCH(Tabelle7[[#This Row],[Gesamtcode]],Tabelle132[Gesamtcode],0))</f>
        <v>#N/A</v>
      </c>
      <c r="D665" t="e">
        <f>INDEX(Tabelle132[Raum],MATCH(Tabelle7[[#This Row],[Gesamtcode]],Tabelle132[Gesamtcode],0))</f>
        <v>#N/A</v>
      </c>
      <c r="E665" t="e">
        <f>INDEX(Tabelle132[Bezeichnung],MATCH(Tabelle7[[#This Row],[Gesamtcode]],Tabelle132[Gesamtcode],0))</f>
        <v>#N/A</v>
      </c>
      <c r="F665" t="e">
        <f>"_"&amp;INDEX(Tabelle132[Geräte/Gewerke],MATCH(Tabelle7[[#This Row],[Gesamtcode]],Tabelle132[Gesamtcode],0))</f>
        <v>#N/A</v>
      </c>
      <c r="G665" t="e">
        <f>INDEX(Tabelle13[Gewerknr.],MATCH(Tabelle7[[#This Row],[Gewerke]],Tabelle13[Hauptgruppe],0))</f>
        <v>#N/A</v>
      </c>
      <c r="H665" t="s">
        <v>280</v>
      </c>
      <c r="I665" t="e">
        <f ca="1">INDEX(Tabelle134[Funktionsbereichsnr.],MATCH(Tabelle7[[#This Row],[Funktionsbereiche]],INDIRECT("Tabelle134["&amp;Tabelle7[[#This Row],[Gewerke]]&amp;"]"),0))</f>
        <v>#N/A</v>
      </c>
      <c r="J665" t="e">
        <f>Tabelle7[[#This Row],[Gesamtcode]]&amp;"_"&amp;Tabelle7[[#This Row],[Zone]]&amp;"_"&amp;Tabelle7[[#This Row],[Raum]]&amp;"_"&amp;Tabelle7[[#This Row],[Bezeichnung]]</f>
        <v>#N/A</v>
      </c>
      <c r="K665">
        <v>4</v>
      </c>
      <c r="L665" t="e">
        <f>Tabelle7[[#This Row],[Hauptgruppe]]&amp;"/-/-"</f>
        <v>#N/A</v>
      </c>
      <c r="M665" t="e">
        <f ca="1">Tabelle7[[#This Row],[Hauptgruppe]]&amp;"/"&amp;Tabelle7[[#This Row],[Mittelgruppe]]&amp;"/-"</f>
        <v>#N/A</v>
      </c>
      <c r="N665" t="e">
        <f ca="1">Tabelle7[[#This Row],[Hauptgruppe]]&amp;"/"&amp;Tabelle7[[#This Row],[Mittelgruppe]]&amp;"/"&amp;Tabelle7[[#This Row],[Untergruppe]]</f>
        <v>#N/A</v>
      </c>
      <c r="O665" t="e">
        <f>INDEX(Tabelle6[Aktor],MATCH(Tabelle7[[#This Row],[Gesamtcode]],Tabelle6[Gesamtcode],0))&amp;" "&amp;INDEX(Tabelle6[Aktorkanal],MATCH(Tabelle7[[#This Row],[Gesamtcode]],Tabelle6[Gesamtcode],0))</f>
        <v>#N/A</v>
      </c>
    </row>
    <row r="666" spans="2:15" x14ac:dyDescent="0.25">
      <c r="B666" t="s">
        <v>422</v>
      </c>
      <c r="C666" t="e">
        <f>INDEX(Tabelle132[Zone],MATCH(Tabelle7[[#This Row],[Gesamtcode]],Tabelle132[Gesamtcode],0))</f>
        <v>#N/A</v>
      </c>
      <c r="D666" t="e">
        <f>INDEX(Tabelle132[Raum],MATCH(Tabelle7[[#This Row],[Gesamtcode]],Tabelle132[Gesamtcode],0))</f>
        <v>#N/A</v>
      </c>
      <c r="E666" t="e">
        <f>INDEX(Tabelle132[Bezeichnung],MATCH(Tabelle7[[#This Row],[Gesamtcode]],Tabelle132[Gesamtcode],0))</f>
        <v>#N/A</v>
      </c>
      <c r="F666" t="e">
        <f>"_"&amp;INDEX(Tabelle132[Geräte/Gewerke],MATCH(Tabelle7[[#This Row],[Gesamtcode]],Tabelle132[Gesamtcode],0))</f>
        <v>#N/A</v>
      </c>
      <c r="G666" t="e">
        <f>INDEX(Tabelle13[Gewerknr.],MATCH(Tabelle7[[#This Row],[Gewerke]],Tabelle13[Hauptgruppe],0))</f>
        <v>#N/A</v>
      </c>
      <c r="H666" t="s">
        <v>280</v>
      </c>
      <c r="I666" t="e">
        <f ca="1">INDEX(Tabelle134[Funktionsbereichsnr.],MATCH(Tabelle7[[#This Row],[Funktionsbereiche]],INDIRECT("Tabelle134["&amp;Tabelle7[[#This Row],[Gewerke]]&amp;"]"),0))</f>
        <v>#N/A</v>
      </c>
      <c r="J666" t="e">
        <f>Tabelle7[[#This Row],[Gesamtcode]]&amp;"_"&amp;Tabelle7[[#This Row],[Zone]]&amp;"_"&amp;Tabelle7[[#This Row],[Raum]]&amp;"_"&amp;Tabelle7[[#This Row],[Bezeichnung]]</f>
        <v>#N/A</v>
      </c>
      <c r="K666">
        <v>5</v>
      </c>
      <c r="L666" t="e">
        <f>Tabelle7[[#This Row],[Hauptgruppe]]&amp;"/-/-"</f>
        <v>#N/A</v>
      </c>
      <c r="M666" t="e">
        <f ca="1">Tabelle7[[#This Row],[Hauptgruppe]]&amp;"/"&amp;Tabelle7[[#This Row],[Mittelgruppe]]&amp;"/-"</f>
        <v>#N/A</v>
      </c>
      <c r="N666" t="e">
        <f ca="1">Tabelle7[[#This Row],[Hauptgruppe]]&amp;"/"&amp;Tabelle7[[#This Row],[Mittelgruppe]]&amp;"/"&amp;Tabelle7[[#This Row],[Untergruppe]]</f>
        <v>#N/A</v>
      </c>
      <c r="O666" t="e">
        <f>INDEX(Tabelle6[Aktor],MATCH(Tabelle7[[#This Row],[Gesamtcode]],Tabelle6[Gesamtcode],0))&amp;" "&amp;INDEX(Tabelle6[Aktorkanal],MATCH(Tabelle7[[#This Row],[Gesamtcode]],Tabelle6[Gesamtcode],0))</f>
        <v>#N/A</v>
      </c>
    </row>
    <row r="667" spans="2:15" x14ac:dyDescent="0.25">
      <c r="B667" t="s">
        <v>423</v>
      </c>
      <c r="C667" t="e">
        <f>INDEX(Tabelle132[Zone],MATCH(Tabelle7[[#This Row],[Gesamtcode]],Tabelle132[Gesamtcode],0))</f>
        <v>#N/A</v>
      </c>
      <c r="D667" t="e">
        <f>INDEX(Tabelle132[Raum],MATCH(Tabelle7[[#This Row],[Gesamtcode]],Tabelle132[Gesamtcode],0))</f>
        <v>#N/A</v>
      </c>
      <c r="E667" t="e">
        <f>INDEX(Tabelle132[Bezeichnung],MATCH(Tabelle7[[#This Row],[Gesamtcode]],Tabelle132[Gesamtcode],0))</f>
        <v>#N/A</v>
      </c>
      <c r="F667" t="e">
        <f>"_"&amp;INDEX(Tabelle132[Geräte/Gewerke],MATCH(Tabelle7[[#This Row],[Gesamtcode]],Tabelle132[Gesamtcode],0))</f>
        <v>#N/A</v>
      </c>
      <c r="G667" t="e">
        <f>INDEX(Tabelle13[Gewerknr.],MATCH(Tabelle7[[#This Row],[Gewerke]],Tabelle13[Hauptgruppe],0))</f>
        <v>#N/A</v>
      </c>
      <c r="H667" t="s">
        <v>280</v>
      </c>
      <c r="I667" t="e">
        <f ca="1">INDEX(Tabelle134[Funktionsbereichsnr.],MATCH(Tabelle7[[#This Row],[Funktionsbereiche]],INDIRECT("Tabelle134["&amp;Tabelle7[[#This Row],[Gewerke]]&amp;"]"),0))</f>
        <v>#N/A</v>
      </c>
      <c r="J667" t="e">
        <f>Tabelle7[[#This Row],[Gesamtcode]]&amp;"_"&amp;Tabelle7[[#This Row],[Zone]]&amp;"_"&amp;Tabelle7[[#This Row],[Raum]]&amp;"_"&amp;Tabelle7[[#This Row],[Bezeichnung]]</f>
        <v>#N/A</v>
      </c>
      <c r="K667">
        <v>6</v>
      </c>
      <c r="L667" t="e">
        <f>Tabelle7[[#This Row],[Hauptgruppe]]&amp;"/-/-"</f>
        <v>#N/A</v>
      </c>
      <c r="M667" t="e">
        <f ca="1">Tabelle7[[#This Row],[Hauptgruppe]]&amp;"/"&amp;Tabelle7[[#This Row],[Mittelgruppe]]&amp;"/-"</f>
        <v>#N/A</v>
      </c>
      <c r="N667" t="e">
        <f ca="1">Tabelle7[[#This Row],[Hauptgruppe]]&amp;"/"&amp;Tabelle7[[#This Row],[Mittelgruppe]]&amp;"/"&amp;Tabelle7[[#This Row],[Untergruppe]]</f>
        <v>#N/A</v>
      </c>
      <c r="O667" t="e">
        <f>INDEX(Tabelle6[Aktor],MATCH(Tabelle7[[#This Row],[Gesamtcode]],Tabelle6[Gesamtcode],0))&amp;" "&amp;INDEX(Tabelle6[Aktorkanal],MATCH(Tabelle7[[#This Row],[Gesamtcode]],Tabelle6[Gesamtcode],0))</f>
        <v>#N/A</v>
      </c>
    </row>
    <row r="668" spans="2:15" x14ac:dyDescent="0.25">
      <c r="B668" t="s">
        <v>424</v>
      </c>
      <c r="C668" t="e">
        <f>INDEX(Tabelle132[Zone],MATCH(Tabelle7[[#This Row],[Gesamtcode]],Tabelle132[Gesamtcode],0))</f>
        <v>#N/A</v>
      </c>
      <c r="D668" t="e">
        <f>INDEX(Tabelle132[Raum],MATCH(Tabelle7[[#This Row],[Gesamtcode]],Tabelle132[Gesamtcode],0))</f>
        <v>#N/A</v>
      </c>
      <c r="E668" t="e">
        <f>INDEX(Tabelle132[Bezeichnung],MATCH(Tabelle7[[#This Row],[Gesamtcode]],Tabelle132[Gesamtcode],0))</f>
        <v>#N/A</v>
      </c>
      <c r="F668" t="e">
        <f>"_"&amp;INDEX(Tabelle132[Geräte/Gewerke],MATCH(Tabelle7[[#This Row],[Gesamtcode]],Tabelle132[Gesamtcode],0))</f>
        <v>#N/A</v>
      </c>
      <c r="G668" t="e">
        <f>INDEX(Tabelle13[Gewerknr.],MATCH(Tabelle7[[#This Row],[Gewerke]],Tabelle13[Hauptgruppe],0))</f>
        <v>#N/A</v>
      </c>
      <c r="H668" t="s">
        <v>280</v>
      </c>
      <c r="I668" t="e">
        <f ca="1">INDEX(Tabelle134[Funktionsbereichsnr.],MATCH(Tabelle7[[#This Row],[Funktionsbereiche]],INDIRECT("Tabelle134["&amp;Tabelle7[[#This Row],[Gewerke]]&amp;"]"),0))</f>
        <v>#N/A</v>
      </c>
      <c r="J668" t="e">
        <f>Tabelle7[[#This Row],[Gesamtcode]]&amp;"_"&amp;Tabelle7[[#This Row],[Zone]]&amp;"_"&amp;Tabelle7[[#This Row],[Raum]]&amp;"_"&amp;Tabelle7[[#This Row],[Bezeichnung]]</f>
        <v>#N/A</v>
      </c>
      <c r="K668">
        <v>7</v>
      </c>
      <c r="L668" t="e">
        <f>Tabelle7[[#This Row],[Hauptgruppe]]&amp;"/-/-"</f>
        <v>#N/A</v>
      </c>
      <c r="M668" t="e">
        <f ca="1">Tabelle7[[#This Row],[Hauptgruppe]]&amp;"/"&amp;Tabelle7[[#This Row],[Mittelgruppe]]&amp;"/-"</f>
        <v>#N/A</v>
      </c>
      <c r="N668" t="e">
        <f ca="1">Tabelle7[[#This Row],[Hauptgruppe]]&amp;"/"&amp;Tabelle7[[#This Row],[Mittelgruppe]]&amp;"/"&amp;Tabelle7[[#This Row],[Untergruppe]]</f>
        <v>#N/A</v>
      </c>
      <c r="O668" t="e">
        <f>INDEX(Tabelle6[Aktor],MATCH(Tabelle7[[#This Row],[Gesamtcode]],Tabelle6[Gesamtcode],0))&amp;" "&amp;INDEX(Tabelle6[Aktorkanal],MATCH(Tabelle7[[#This Row],[Gesamtcode]],Tabelle6[Gesamtcode],0))</f>
        <v>#N/A</v>
      </c>
    </row>
    <row r="669" spans="2:15" x14ac:dyDescent="0.25">
      <c r="B669" t="s">
        <v>425</v>
      </c>
      <c r="C669" t="e">
        <f>INDEX(Tabelle132[Zone],MATCH(Tabelle7[[#This Row],[Gesamtcode]],Tabelle132[Gesamtcode],0))</f>
        <v>#N/A</v>
      </c>
      <c r="D669" t="e">
        <f>INDEX(Tabelle132[Raum],MATCH(Tabelle7[[#This Row],[Gesamtcode]],Tabelle132[Gesamtcode],0))</f>
        <v>#N/A</v>
      </c>
      <c r="E669" t="e">
        <f>INDEX(Tabelle132[Bezeichnung],MATCH(Tabelle7[[#This Row],[Gesamtcode]],Tabelle132[Gesamtcode],0))</f>
        <v>#N/A</v>
      </c>
      <c r="F669" t="e">
        <f>"_"&amp;INDEX(Tabelle132[Geräte/Gewerke],MATCH(Tabelle7[[#This Row],[Gesamtcode]],Tabelle132[Gesamtcode],0))</f>
        <v>#N/A</v>
      </c>
      <c r="G669" t="e">
        <f>INDEX(Tabelle13[Gewerknr.],MATCH(Tabelle7[[#This Row],[Gewerke]],Tabelle13[Hauptgruppe],0))</f>
        <v>#N/A</v>
      </c>
      <c r="H669" t="s">
        <v>255</v>
      </c>
      <c r="I669" t="e">
        <f ca="1">INDEX(Tabelle134[Funktionsbereichsnr.],MATCH(Tabelle7[[#This Row],[Funktionsbereiche]],INDIRECT("Tabelle134["&amp;Tabelle7[[#This Row],[Gewerke]]&amp;"]"),0))</f>
        <v>#N/A</v>
      </c>
      <c r="J669" t="e">
        <f>Tabelle7[[#This Row],[Gesamtcode]]&amp;"_"&amp;Tabelle7[[#This Row],[Zone]]&amp;"_"&amp;Tabelle7[[#This Row],[Raum]]&amp;"_"&amp;Tabelle7[[#This Row],[Bezeichnung]]</f>
        <v>#N/A</v>
      </c>
      <c r="K669">
        <v>0</v>
      </c>
      <c r="L669" t="e">
        <f>Tabelle7[[#This Row],[Hauptgruppe]]&amp;"/-/-"</f>
        <v>#N/A</v>
      </c>
      <c r="M669" t="e">
        <f ca="1">Tabelle7[[#This Row],[Hauptgruppe]]&amp;"/"&amp;Tabelle7[[#This Row],[Mittelgruppe]]&amp;"/-"</f>
        <v>#N/A</v>
      </c>
      <c r="N669" t="e">
        <f ca="1">Tabelle7[[#This Row],[Hauptgruppe]]&amp;"/"&amp;Tabelle7[[#This Row],[Mittelgruppe]]&amp;"/"&amp;Tabelle7[[#This Row],[Untergruppe]]</f>
        <v>#N/A</v>
      </c>
      <c r="O669" t="e">
        <f>INDEX(Tabelle6[Aktor],MATCH(Tabelle7[[#This Row],[Gesamtcode]],Tabelle6[Gesamtcode],0))&amp;" "&amp;INDEX(Tabelle6[Aktorkanal],MATCH(Tabelle7[[#This Row],[Gesamtcode]],Tabelle6[Gesamtcode],0))</f>
        <v>#N/A</v>
      </c>
    </row>
    <row r="670" spans="2:15" x14ac:dyDescent="0.25">
      <c r="B670" t="s">
        <v>425</v>
      </c>
      <c r="C670" t="e">
        <f>INDEX(Tabelle132[Zone],MATCH(Tabelle7[[#This Row],[Gesamtcode]],Tabelle132[Gesamtcode],0))</f>
        <v>#N/A</v>
      </c>
      <c r="D670" t="e">
        <f>INDEX(Tabelle132[Raum],MATCH(Tabelle7[[#This Row],[Gesamtcode]],Tabelle132[Gesamtcode],0))</f>
        <v>#N/A</v>
      </c>
      <c r="E670" t="e">
        <f>INDEX(Tabelle132[Bezeichnung],MATCH(Tabelle7[[#This Row],[Gesamtcode]],Tabelle132[Gesamtcode],0))</f>
        <v>#N/A</v>
      </c>
      <c r="F670" t="e">
        <f>"_"&amp;INDEX(Tabelle132[Geräte/Gewerke],MATCH(Tabelle7[[#This Row],[Gesamtcode]],Tabelle132[Gesamtcode],0))</f>
        <v>#N/A</v>
      </c>
      <c r="G670" t="e">
        <f>INDEX(Tabelle13[Gewerknr.],MATCH(Tabelle7[[#This Row],[Gewerke]],Tabelle13[Hauptgruppe],0))</f>
        <v>#N/A</v>
      </c>
      <c r="H670" t="s">
        <v>426</v>
      </c>
      <c r="I670" t="e">
        <f ca="1">INDEX(Tabelle134[Funktionsbereichsnr.],MATCH(Tabelle7[[#This Row],[Funktionsbereiche]],INDIRECT("Tabelle134["&amp;Tabelle7[[#This Row],[Gewerke]]&amp;"]"),0))</f>
        <v>#N/A</v>
      </c>
      <c r="J670" t="e">
        <f>Tabelle7[[#This Row],[Gesamtcode]]&amp;"_"&amp;Tabelle7[[#This Row],[Zone]]&amp;"_"&amp;Tabelle7[[#This Row],[Raum]]&amp;"_"&amp;Tabelle7[[#This Row],[Bezeichnung]]</f>
        <v>#N/A</v>
      </c>
      <c r="K670">
        <v>0</v>
      </c>
      <c r="L670" t="e">
        <f>Tabelle7[[#This Row],[Hauptgruppe]]&amp;"/-/-"</f>
        <v>#N/A</v>
      </c>
      <c r="M670" t="e">
        <f ca="1">Tabelle7[[#This Row],[Hauptgruppe]]&amp;"/"&amp;Tabelle7[[#This Row],[Mittelgruppe]]&amp;"/-"</f>
        <v>#N/A</v>
      </c>
      <c r="N670" t="e">
        <f ca="1">Tabelle7[[#This Row],[Hauptgruppe]]&amp;"/"&amp;Tabelle7[[#This Row],[Mittelgruppe]]&amp;"/"&amp;Tabelle7[[#This Row],[Untergruppe]]</f>
        <v>#N/A</v>
      </c>
      <c r="O670" t="e">
        <f>INDEX(Tabelle6[Aktor],MATCH(Tabelle7[[#This Row],[Gesamtcode]],Tabelle6[Gesamtcode],0))&amp;" "&amp;INDEX(Tabelle6[Aktorkanal],MATCH(Tabelle7[[#This Row],[Gesamtcode]],Tabelle6[Gesamtcode],0))</f>
        <v>#N/A</v>
      </c>
    </row>
    <row r="671" spans="2:15" x14ac:dyDescent="0.25">
      <c r="B671" t="s">
        <v>425</v>
      </c>
      <c r="C671" t="e">
        <f>INDEX(Tabelle132[Zone],MATCH(Tabelle7[[#This Row],[Gesamtcode]],Tabelle132[Gesamtcode],0))</f>
        <v>#N/A</v>
      </c>
      <c r="D671" t="e">
        <f>INDEX(Tabelle132[Raum],MATCH(Tabelle7[[#This Row],[Gesamtcode]],Tabelle132[Gesamtcode],0))</f>
        <v>#N/A</v>
      </c>
      <c r="E671" t="e">
        <f>INDEX(Tabelle132[Bezeichnung],MATCH(Tabelle7[[#This Row],[Gesamtcode]],Tabelle132[Gesamtcode],0))</f>
        <v>#N/A</v>
      </c>
      <c r="F671" t="e">
        <f>"_"&amp;INDEX(Tabelle132[Geräte/Gewerke],MATCH(Tabelle7[[#This Row],[Gesamtcode]],Tabelle132[Gesamtcode],0))</f>
        <v>#N/A</v>
      </c>
      <c r="G671" t="e">
        <f>INDEX(Tabelle13[Gewerknr.],MATCH(Tabelle7[[#This Row],[Gewerke]],Tabelle13[Hauptgruppe],0))</f>
        <v>#N/A</v>
      </c>
      <c r="H671" t="s">
        <v>427</v>
      </c>
      <c r="I671" t="e">
        <f ca="1">INDEX(Tabelle134[Funktionsbereichsnr.],MATCH(Tabelle7[[#This Row],[Funktionsbereiche]],INDIRECT("Tabelle134["&amp;Tabelle7[[#This Row],[Gewerke]]&amp;"]"),0))</f>
        <v>#N/A</v>
      </c>
      <c r="J671" t="e">
        <f>Tabelle7[[#This Row],[Gesamtcode]]&amp;"_"&amp;Tabelle7[[#This Row],[Zone]]&amp;"_"&amp;Tabelle7[[#This Row],[Raum]]&amp;"_"&amp;Tabelle7[[#This Row],[Bezeichnung]]</f>
        <v>#N/A</v>
      </c>
      <c r="K671">
        <v>0</v>
      </c>
      <c r="L671" t="e">
        <f>Tabelle7[[#This Row],[Hauptgruppe]]&amp;"/-/-"</f>
        <v>#N/A</v>
      </c>
      <c r="M671" t="e">
        <f ca="1">Tabelle7[[#This Row],[Hauptgruppe]]&amp;"/"&amp;Tabelle7[[#This Row],[Mittelgruppe]]&amp;"/-"</f>
        <v>#N/A</v>
      </c>
      <c r="N671" t="e">
        <f ca="1">Tabelle7[[#This Row],[Hauptgruppe]]&amp;"/"&amp;Tabelle7[[#This Row],[Mittelgruppe]]&amp;"/"&amp;Tabelle7[[#This Row],[Untergruppe]]</f>
        <v>#N/A</v>
      </c>
      <c r="O671" t="e">
        <f>INDEX(Tabelle6[Aktor],MATCH(Tabelle7[[#This Row],[Gesamtcode]],Tabelle6[Gesamtcode],0))&amp;" "&amp;INDEX(Tabelle6[Aktorkanal],MATCH(Tabelle7[[#This Row],[Gesamtcode]],Tabelle6[Gesamtcode],0))</f>
        <v>#N/A</v>
      </c>
    </row>
    <row r="672" spans="2:15" x14ac:dyDescent="0.25">
      <c r="B672" t="s">
        <v>425</v>
      </c>
      <c r="C672" t="e">
        <f>INDEX(Tabelle132[Zone],MATCH(Tabelle7[[#This Row],[Gesamtcode]],Tabelle132[Gesamtcode],0))</f>
        <v>#N/A</v>
      </c>
      <c r="D672" t="e">
        <f>INDEX(Tabelle132[Raum],MATCH(Tabelle7[[#This Row],[Gesamtcode]],Tabelle132[Gesamtcode],0))</f>
        <v>#N/A</v>
      </c>
      <c r="E672" t="e">
        <f>INDEX(Tabelle132[Bezeichnung],MATCH(Tabelle7[[#This Row],[Gesamtcode]],Tabelle132[Gesamtcode],0))</f>
        <v>#N/A</v>
      </c>
      <c r="F672" t="e">
        <f>"_"&amp;INDEX(Tabelle132[Geräte/Gewerke],MATCH(Tabelle7[[#This Row],[Gesamtcode]],Tabelle132[Gesamtcode],0))</f>
        <v>#N/A</v>
      </c>
      <c r="G672" t="e">
        <f>INDEX(Tabelle13[Gewerknr.],MATCH(Tabelle7[[#This Row],[Gewerke]],Tabelle13[Hauptgruppe],0))</f>
        <v>#N/A</v>
      </c>
      <c r="H672" t="s">
        <v>278</v>
      </c>
      <c r="I672" t="e">
        <f ca="1">INDEX(Tabelle134[Funktionsbereichsnr.],MATCH(Tabelle7[[#This Row],[Funktionsbereiche]],INDIRECT("Tabelle134["&amp;Tabelle7[[#This Row],[Gewerke]]&amp;"]"),0))</f>
        <v>#N/A</v>
      </c>
      <c r="J672" t="e">
        <f>Tabelle7[[#This Row],[Gesamtcode]]&amp;"_"&amp;Tabelle7[[#This Row],[Zone]]&amp;"_"&amp;Tabelle7[[#This Row],[Raum]]&amp;"_"&amp;Tabelle7[[#This Row],[Bezeichnung]]</f>
        <v>#N/A</v>
      </c>
      <c r="K672">
        <v>0</v>
      </c>
      <c r="L672" t="e">
        <f>Tabelle7[[#This Row],[Hauptgruppe]]&amp;"/-/-"</f>
        <v>#N/A</v>
      </c>
      <c r="M672" t="e">
        <f ca="1">Tabelle7[[#This Row],[Hauptgruppe]]&amp;"/"&amp;Tabelle7[[#This Row],[Mittelgruppe]]&amp;"/-"</f>
        <v>#N/A</v>
      </c>
      <c r="N672" t="e">
        <f ca="1">Tabelle7[[#This Row],[Hauptgruppe]]&amp;"/"&amp;Tabelle7[[#This Row],[Mittelgruppe]]&amp;"/"&amp;Tabelle7[[#This Row],[Untergruppe]]</f>
        <v>#N/A</v>
      </c>
      <c r="O672" t="e">
        <f>INDEX(Tabelle6[Aktor],MATCH(Tabelle7[[#This Row],[Gesamtcode]],Tabelle6[Gesamtcode],0))&amp;" "&amp;INDEX(Tabelle6[Aktorkanal],MATCH(Tabelle7[[#This Row],[Gesamtcode]],Tabelle6[Gesamtcode],0))</f>
        <v>#N/A</v>
      </c>
    </row>
    <row r="673" spans="2:15" x14ac:dyDescent="0.25">
      <c r="B673" t="s">
        <v>425</v>
      </c>
      <c r="C673" t="e">
        <f>INDEX(Tabelle132[Zone],MATCH(Tabelle7[[#This Row],[Gesamtcode]],Tabelle132[Gesamtcode],0))</f>
        <v>#N/A</v>
      </c>
      <c r="D673" t="e">
        <f>INDEX(Tabelle132[Raum],MATCH(Tabelle7[[#This Row],[Gesamtcode]],Tabelle132[Gesamtcode],0))</f>
        <v>#N/A</v>
      </c>
      <c r="E673" t="e">
        <f>INDEX(Tabelle132[Bezeichnung],MATCH(Tabelle7[[#This Row],[Gesamtcode]],Tabelle132[Gesamtcode],0))</f>
        <v>#N/A</v>
      </c>
      <c r="F673" t="e">
        <f>"_"&amp;INDEX(Tabelle132[Geräte/Gewerke],MATCH(Tabelle7[[#This Row],[Gesamtcode]],Tabelle132[Gesamtcode],0))</f>
        <v>#N/A</v>
      </c>
      <c r="G673" t="e">
        <f>INDEX(Tabelle13[Gewerknr.],MATCH(Tabelle7[[#This Row],[Gewerke]],Tabelle13[Hauptgruppe],0))</f>
        <v>#N/A</v>
      </c>
      <c r="H673" t="s">
        <v>279</v>
      </c>
      <c r="I673" t="e">
        <f ca="1">INDEX(Tabelle134[Funktionsbereichsnr.],MATCH(Tabelle7[[#This Row],[Funktionsbereiche]],INDIRECT("Tabelle134["&amp;Tabelle7[[#This Row],[Gewerke]]&amp;"]"),0))</f>
        <v>#N/A</v>
      </c>
      <c r="J673" t="e">
        <f>Tabelle7[[#This Row],[Gesamtcode]]&amp;"_"&amp;Tabelle7[[#This Row],[Zone]]&amp;"_"&amp;Tabelle7[[#This Row],[Raum]]&amp;"_"&amp;Tabelle7[[#This Row],[Bezeichnung]]</f>
        <v>#N/A</v>
      </c>
      <c r="K673">
        <v>0</v>
      </c>
      <c r="L673" t="e">
        <f>Tabelle7[[#This Row],[Hauptgruppe]]&amp;"/-/-"</f>
        <v>#N/A</v>
      </c>
      <c r="M673" t="e">
        <f ca="1">Tabelle7[[#This Row],[Hauptgruppe]]&amp;"/"&amp;Tabelle7[[#This Row],[Mittelgruppe]]&amp;"/-"</f>
        <v>#N/A</v>
      </c>
      <c r="N673" t="e">
        <f ca="1">Tabelle7[[#This Row],[Hauptgruppe]]&amp;"/"&amp;Tabelle7[[#This Row],[Mittelgruppe]]&amp;"/"&amp;Tabelle7[[#This Row],[Untergruppe]]</f>
        <v>#N/A</v>
      </c>
      <c r="O673" t="e">
        <f>INDEX(Tabelle6[Aktor],MATCH(Tabelle7[[#This Row],[Gesamtcode]],Tabelle6[Gesamtcode],0))&amp;" "&amp;INDEX(Tabelle6[Aktorkanal],MATCH(Tabelle7[[#This Row],[Gesamtcode]],Tabelle6[Gesamtcode],0))</f>
        <v>#N/A</v>
      </c>
    </row>
    <row r="674" spans="2:15" x14ac:dyDescent="0.25">
      <c r="B674" t="s">
        <v>425</v>
      </c>
      <c r="C674" t="e">
        <f>INDEX(Tabelle132[Zone],MATCH(Tabelle7[[#This Row],[Gesamtcode]],Tabelle132[Gesamtcode],0))</f>
        <v>#N/A</v>
      </c>
      <c r="D674" t="e">
        <f>INDEX(Tabelle132[Raum],MATCH(Tabelle7[[#This Row],[Gesamtcode]],Tabelle132[Gesamtcode],0))</f>
        <v>#N/A</v>
      </c>
      <c r="E674" t="e">
        <f>INDEX(Tabelle132[Bezeichnung],MATCH(Tabelle7[[#This Row],[Gesamtcode]],Tabelle132[Gesamtcode],0))</f>
        <v>#N/A</v>
      </c>
      <c r="F674" t="e">
        <f>"_"&amp;INDEX(Tabelle132[Geräte/Gewerke],MATCH(Tabelle7[[#This Row],[Gesamtcode]],Tabelle132[Gesamtcode],0))</f>
        <v>#N/A</v>
      </c>
      <c r="G674" t="e">
        <f>INDEX(Tabelle13[Gewerknr.],MATCH(Tabelle7[[#This Row],[Gewerke]],Tabelle13[Hauptgruppe],0))</f>
        <v>#N/A</v>
      </c>
      <c r="H674" t="s">
        <v>280</v>
      </c>
      <c r="I674" t="e">
        <f ca="1">INDEX(Tabelle134[Funktionsbereichsnr.],MATCH(Tabelle7[[#This Row],[Funktionsbereiche]],INDIRECT("Tabelle134["&amp;Tabelle7[[#This Row],[Gewerke]]&amp;"]"),0))</f>
        <v>#N/A</v>
      </c>
      <c r="J674" t="e">
        <f>Tabelle7[[#This Row],[Gesamtcode]]&amp;"_"&amp;Tabelle7[[#This Row],[Zone]]&amp;"_"&amp;Tabelle7[[#This Row],[Raum]]&amp;"_"&amp;Tabelle7[[#This Row],[Bezeichnung]]</f>
        <v>#N/A</v>
      </c>
      <c r="K674">
        <v>0</v>
      </c>
      <c r="L674" t="e">
        <f>Tabelle7[[#This Row],[Hauptgruppe]]&amp;"/-/-"</f>
        <v>#N/A</v>
      </c>
      <c r="M674" t="e">
        <f ca="1">Tabelle7[[#This Row],[Hauptgruppe]]&amp;"/"&amp;Tabelle7[[#This Row],[Mittelgruppe]]&amp;"/-"</f>
        <v>#N/A</v>
      </c>
      <c r="N674" t="e">
        <f ca="1">Tabelle7[[#This Row],[Hauptgruppe]]&amp;"/"&amp;Tabelle7[[#This Row],[Mittelgruppe]]&amp;"/"&amp;Tabelle7[[#This Row],[Untergruppe]]</f>
        <v>#N/A</v>
      </c>
      <c r="O674" t="e">
        <f>INDEX(Tabelle6[Aktor],MATCH(Tabelle7[[#This Row],[Gesamtcode]],Tabelle6[Gesamtcode],0))&amp;" "&amp;INDEX(Tabelle6[Aktorkanal],MATCH(Tabelle7[[#This Row],[Gesamtcode]],Tabelle6[Gesamtcode],0))</f>
        <v>#N/A</v>
      </c>
    </row>
    <row r="675" spans="2:15" x14ac:dyDescent="0.25">
      <c r="B675">
        <f>SUBTOTAL(103,Tabelle7[Gesamtcode])</f>
        <v>671</v>
      </c>
    </row>
  </sheetData>
  <mergeCells count="2">
    <mergeCell ref="B2:E2"/>
    <mergeCell ref="F2:O2"/>
  </mergeCells>
  <phoneticPr fontId="3" type="noConversion"/>
  <dataValidations count="1">
    <dataValidation type="list" allowBlank="1" showInputMessage="1" showErrorMessage="1" sqref="H4:H674" xr:uid="{00000000-0002-0000-0400-000000000000}">
      <formula1>INDIRECT(F4)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tabColor theme="9" tint="-0.249977111117893"/>
  </sheetPr>
  <dimension ref="B2:P27"/>
  <sheetViews>
    <sheetView zoomScale="70" zoomScaleNormal="70" workbookViewId="0">
      <selection activeCell="J17" sqref="J17"/>
    </sheetView>
  </sheetViews>
  <sheetFormatPr baseColWidth="10" defaultColWidth="11" defaultRowHeight="15.75" x14ac:dyDescent="0.25"/>
  <cols>
    <col min="2" max="2" width="12.375" customWidth="1"/>
    <col min="3" max="3" width="19.375" bestFit="1" customWidth="1"/>
    <col min="4" max="5" width="19.375" customWidth="1"/>
    <col min="7" max="7" width="21.125" bestFit="1" customWidth="1"/>
    <col min="8" max="8" width="35.375" bestFit="1" customWidth="1"/>
    <col min="9" max="9" width="28.125" bestFit="1" customWidth="1"/>
    <col min="10" max="10" width="22.75" bestFit="1" customWidth="1"/>
    <col min="11" max="11" width="30.125" bestFit="1" customWidth="1"/>
    <col min="12" max="12" width="21.125" bestFit="1" customWidth="1"/>
    <col min="13" max="13" width="16.375" bestFit="1" customWidth="1"/>
    <col min="14" max="14" width="28.125" bestFit="1" customWidth="1"/>
    <col min="15" max="15" width="17.375" bestFit="1" customWidth="1"/>
    <col min="16" max="16" width="18" bestFit="1" customWidth="1"/>
  </cols>
  <sheetData>
    <row r="2" spans="2:16" x14ac:dyDescent="0.25">
      <c r="B2" s="95" t="s">
        <v>1535</v>
      </c>
      <c r="C2" s="95"/>
      <c r="D2" s="95"/>
      <c r="E2" s="72"/>
      <c r="G2" s="94" t="s">
        <v>1536</v>
      </c>
      <c r="H2" s="94"/>
      <c r="I2" s="94"/>
      <c r="J2" s="94"/>
      <c r="K2" s="94"/>
      <c r="L2" s="94"/>
      <c r="M2" s="94"/>
      <c r="N2" s="94"/>
      <c r="O2" s="94"/>
      <c r="P2" s="94"/>
    </row>
    <row r="3" spans="2:16" s="2" customFormat="1" x14ac:dyDescent="0.25">
      <c r="B3" s="39" t="s">
        <v>1537</v>
      </c>
      <c r="C3" s="39" t="s">
        <v>1538</v>
      </c>
      <c r="D3" s="39" t="s">
        <v>245</v>
      </c>
      <c r="E3" s="39"/>
      <c r="G3" s="54" t="s">
        <v>1539</v>
      </c>
      <c r="H3" s="54" t="s">
        <v>1540</v>
      </c>
      <c r="I3" s="54" t="s">
        <v>1541</v>
      </c>
      <c r="J3" s="54" t="s">
        <v>1542</v>
      </c>
      <c r="K3" s="54" t="s">
        <v>1543</v>
      </c>
      <c r="L3" s="54" t="s">
        <v>1544</v>
      </c>
      <c r="M3" s="54" t="s">
        <v>1545</v>
      </c>
      <c r="N3" s="54" t="s">
        <v>1546</v>
      </c>
      <c r="O3" s="54" t="s">
        <v>1547</v>
      </c>
      <c r="P3" s="54" t="s">
        <v>1548</v>
      </c>
    </row>
    <row r="4" spans="2:16" x14ac:dyDescent="0.25">
      <c r="B4">
        <v>0</v>
      </c>
      <c r="C4" t="str">
        <f>INDEX(Metadaten!$C$3:$C$11,MATCH(Tabelle13[[#This Row],[Gewerknr.]],Metadaten!$B$3:$B$11,0))</f>
        <v>Zentral</v>
      </c>
      <c r="D4" t="str">
        <f>"_"&amp;Tabelle13[[#This Row],[Gewerk]]</f>
        <v>_Zentral</v>
      </c>
      <c r="G4" s="66">
        <v>0</v>
      </c>
      <c r="H4" s="66" t="s">
        <v>255</v>
      </c>
      <c r="I4" s="66" t="s">
        <v>255</v>
      </c>
      <c r="J4" s="66" t="s">
        <v>255</v>
      </c>
      <c r="K4" s="66" t="s">
        <v>274</v>
      </c>
      <c r="L4" s="66" t="s">
        <v>255</v>
      </c>
      <c r="M4" s="66" t="s">
        <v>366</v>
      </c>
      <c r="N4" s="66" t="s">
        <v>255</v>
      </c>
      <c r="O4" s="66" t="s">
        <v>255</v>
      </c>
      <c r="P4" s="66" t="s">
        <v>255</v>
      </c>
    </row>
    <row r="5" spans="2:16" x14ac:dyDescent="0.25">
      <c r="B5">
        <v>1</v>
      </c>
      <c r="C5" t="str">
        <f>INDEX(Metadaten!$C$3:$C$11,MATCH(Tabelle13[[#This Row],[Gewerknr.]],Metadaten!$B$3:$B$11,0))</f>
        <v>Steckdosen</v>
      </c>
      <c r="D5" t="str">
        <f>"_"&amp;Tabelle13[[#This Row],[Gewerk]]</f>
        <v>_Steckdosen</v>
      </c>
      <c r="G5" s="66">
        <v>1</v>
      </c>
      <c r="H5" s="66" t="s">
        <v>431</v>
      </c>
      <c r="I5" s="66" t="s">
        <v>274</v>
      </c>
      <c r="J5" s="66" t="s">
        <v>286</v>
      </c>
      <c r="K5" s="66" t="s">
        <v>344</v>
      </c>
      <c r="L5" s="66" t="s">
        <v>360</v>
      </c>
      <c r="M5" s="66" t="s">
        <v>378</v>
      </c>
      <c r="N5" s="66" t="s">
        <v>274</v>
      </c>
      <c r="O5" s="66" t="s">
        <v>426</v>
      </c>
      <c r="P5" s="66" t="s">
        <v>1446</v>
      </c>
    </row>
    <row r="6" spans="2:16" x14ac:dyDescent="0.25">
      <c r="B6">
        <v>2</v>
      </c>
      <c r="C6" t="str">
        <f>INDEX(Metadaten!$C$3:$C$11,MATCH(Tabelle13[[#This Row],[Gewerknr.]],Metadaten!$B$3:$B$11,0))</f>
        <v>Beschattung</v>
      </c>
      <c r="D6" t="str">
        <f>"_"&amp;Tabelle13[[#This Row],[Gewerk]]</f>
        <v>_Beschattung</v>
      </c>
      <c r="G6" s="66">
        <v>2</v>
      </c>
      <c r="H6" s="66" t="s">
        <v>433</v>
      </c>
      <c r="I6" s="66" t="s">
        <v>275</v>
      </c>
      <c r="J6" s="66" t="s">
        <v>304</v>
      </c>
      <c r="K6" s="66" t="s">
        <v>345</v>
      </c>
      <c r="L6" s="66" t="s">
        <v>361</v>
      </c>
      <c r="M6" s="66" t="s">
        <v>380</v>
      </c>
      <c r="N6" s="66" t="s">
        <v>275</v>
      </c>
      <c r="O6" s="66" t="s">
        <v>427</v>
      </c>
      <c r="P6" s="66" t="s">
        <v>1448</v>
      </c>
    </row>
    <row r="7" spans="2:16" x14ac:dyDescent="0.25">
      <c r="B7">
        <v>3</v>
      </c>
      <c r="C7" t="str">
        <f>INDEX(Metadaten!$C$3:$C$11,MATCH(Tabelle13[[#This Row],[Gewerknr.]],Metadaten!$B$3:$B$11,0))</f>
        <v>Beleuchtung</v>
      </c>
      <c r="D7" t="str">
        <f>"_"&amp;Tabelle13[[#This Row],[Gewerk]]</f>
        <v>_Beleuchtung</v>
      </c>
      <c r="G7" s="66">
        <v>3</v>
      </c>
      <c r="H7" s="66" t="s">
        <v>435</v>
      </c>
      <c r="I7" s="66" t="s">
        <v>276</v>
      </c>
      <c r="J7" s="66" t="s">
        <v>305</v>
      </c>
      <c r="K7" s="66" t="s">
        <v>346</v>
      </c>
      <c r="L7" s="66" t="s">
        <v>362</v>
      </c>
      <c r="M7" s="66" t="s">
        <v>392</v>
      </c>
      <c r="N7" s="66" t="s">
        <v>276</v>
      </c>
      <c r="O7" s="66"/>
      <c r="P7" s="66" t="s">
        <v>1450</v>
      </c>
    </row>
    <row r="8" spans="2:16" x14ac:dyDescent="0.25">
      <c r="B8">
        <v>4</v>
      </c>
      <c r="C8" t="str">
        <f>INDEX(Metadaten!$C$3:$C$11,MATCH(Tabelle13[[#This Row],[Gewerknr.]],Metadaten!$B$3:$B$11,0))</f>
        <v>HeizungKlimaLüftung</v>
      </c>
      <c r="D8" t="str">
        <f>"_"&amp;Tabelle13[[#This Row],[Gewerk]]</f>
        <v>_HeizungKlimaLüftung</v>
      </c>
      <c r="G8" s="66">
        <v>4</v>
      </c>
      <c r="H8" s="66" t="s">
        <v>437</v>
      </c>
      <c r="I8" s="66" t="s">
        <v>277</v>
      </c>
      <c r="J8" s="66" t="s">
        <v>306</v>
      </c>
      <c r="K8" s="66" t="s">
        <v>276</v>
      </c>
      <c r="L8" s="66" t="s">
        <v>363</v>
      </c>
      <c r="M8" s="66" t="s">
        <v>394</v>
      </c>
      <c r="N8" s="66" t="s">
        <v>277</v>
      </c>
      <c r="O8" s="66"/>
      <c r="P8" s="66"/>
    </row>
    <row r="9" spans="2:16" x14ac:dyDescent="0.25">
      <c r="B9">
        <v>5</v>
      </c>
      <c r="C9" t="str">
        <f>INDEX(Metadaten!$C$3:$C$11,MATCH(Tabelle13[[#This Row],[Gewerknr.]],Metadaten!$B$3:$B$11,0))</f>
        <v>Sensoren</v>
      </c>
      <c r="D9" t="str">
        <f>"_"&amp;Tabelle13[[#This Row],[Gewerk]]</f>
        <v>_Sensoren</v>
      </c>
      <c r="G9" s="66">
        <v>5</v>
      </c>
      <c r="H9" s="66" t="s">
        <v>278</v>
      </c>
      <c r="I9" s="66" t="s">
        <v>278</v>
      </c>
      <c r="J9" s="66" t="s">
        <v>307</v>
      </c>
      <c r="K9" s="66" t="s">
        <v>347</v>
      </c>
      <c r="L9" s="66" t="s">
        <v>278</v>
      </c>
      <c r="M9" s="66" t="s">
        <v>391</v>
      </c>
      <c r="N9" s="66" t="s">
        <v>278</v>
      </c>
      <c r="O9" s="66" t="s">
        <v>278</v>
      </c>
      <c r="P9" s="66"/>
    </row>
    <row r="10" spans="2:16" x14ac:dyDescent="0.25">
      <c r="B10">
        <v>6</v>
      </c>
      <c r="C10" t="str">
        <f>INDEX(Metadaten!$C$3:$C$11,MATCH(Tabelle13[[#This Row],[Gewerknr.]],Metadaten!$B$3:$B$11,0))</f>
        <v>Bewässerung</v>
      </c>
      <c r="D10" t="str">
        <f>"_"&amp;Tabelle13[[#This Row],[Gewerk]]</f>
        <v>_Bewässerung</v>
      </c>
      <c r="G10" s="66">
        <v>6</v>
      </c>
      <c r="H10" s="66" t="s">
        <v>279</v>
      </c>
      <c r="I10" s="66" t="s">
        <v>279</v>
      </c>
      <c r="J10" s="66" t="s">
        <v>308</v>
      </c>
      <c r="K10" s="66" t="s">
        <v>348</v>
      </c>
      <c r="L10" s="66" t="s">
        <v>364</v>
      </c>
      <c r="M10" s="66" t="s">
        <v>397</v>
      </c>
      <c r="N10" s="66" t="s">
        <v>279</v>
      </c>
      <c r="O10" s="66" t="s">
        <v>279</v>
      </c>
      <c r="P10" s="66" t="s">
        <v>279</v>
      </c>
    </row>
    <row r="11" spans="2:16" x14ac:dyDescent="0.25">
      <c r="B11">
        <v>7</v>
      </c>
      <c r="C11" t="str">
        <f>INDEX(Metadaten!$C$3:$C$11,MATCH(Tabelle13[[#This Row],[Gewerknr.]],Metadaten!$B$3:$B$11,0))</f>
        <v>Zugriffskontrolle</v>
      </c>
      <c r="D11" t="str">
        <f>"_"&amp;Tabelle13[[#This Row],[Gewerk]]</f>
        <v>_Zugriffskontrolle</v>
      </c>
      <c r="G11" s="66">
        <v>7</v>
      </c>
      <c r="H11" s="66" t="s">
        <v>280</v>
      </c>
      <c r="I11" s="66" t="s">
        <v>280</v>
      </c>
      <c r="J11" s="66" t="s">
        <v>280</v>
      </c>
      <c r="K11" s="66" t="s">
        <v>280</v>
      </c>
      <c r="L11" s="66" t="s">
        <v>280</v>
      </c>
      <c r="M11" s="66" t="s">
        <v>280</v>
      </c>
      <c r="N11" s="66" t="s">
        <v>280</v>
      </c>
      <c r="O11" s="66" t="s">
        <v>280</v>
      </c>
      <c r="P11" s="66" t="s">
        <v>280</v>
      </c>
    </row>
    <row r="12" spans="2:16" x14ac:dyDescent="0.25">
      <c r="B12">
        <v>8</v>
      </c>
      <c r="C12" t="str">
        <f>INDEX(Metadaten!$C$3:$C$11,MATCH(Tabelle13[[#This Row],[Gewerknr.]],Metadaten!$B$3:$B$11,0))</f>
        <v>MeldungenAlarm</v>
      </c>
      <c r="D12" t="str">
        <f>"_"&amp;Tabelle13[[#This Row],[Gewerk]]</f>
        <v>_MeldungenAlarm</v>
      </c>
    </row>
    <row r="13" spans="2:16" x14ac:dyDescent="0.25">
      <c r="G13" s="96" t="s">
        <v>1549</v>
      </c>
      <c r="H13" s="96"/>
      <c r="I13" s="96"/>
      <c r="J13" s="96"/>
      <c r="K13" s="96"/>
      <c r="L13" s="96"/>
      <c r="M13" s="96"/>
      <c r="N13" s="96"/>
      <c r="O13" s="96"/>
      <c r="P13" s="96"/>
    </row>
    <row r="14" spans="2:16" x14ac:dyDescent="0.25">
      <c r="G14" s="93" t="s">
        <v>1539</v>
      </c>
      <c r="H14" s="67" t="s">
        <v>1540</v>
      </c>
      <c r="I14" s="67" t="s">
        <v>1541</v>
      </c>
      <c r="J14" s="67" t="s">
        <v>1542</v>
      </c>
      <c r="K14" s="67" t="s">
        <v>1543</v>
      </c>
      <c r="L14" s="67" t="s">
        <v>1544</v>
      </c>
      <c r="M14" s="67" t="s">
        <v>1545</v>
      </c>
      <c r="N14" s="67" t="s">
        <v>1546</v>
      </c>
      <c r="O14" s="67" t="s">
        <v>1547</v>
      </c>
      <c r="P14" s="67" t="s">
        <v>1548</v>
      </c>
    </row>
    <row r="15" spans="2:16" x14ac:dyDescent="0.25">
      <c r="G15" s="93"/>
      <c r="H15" s="67">
        <v>0</v>
      </c>
      <c r="I15" s="67">
        <v>1</v>
      </c>
      <c r="J15" s="67">
        <v>2</v>
      </c>
      <c r="K15" s="67">
        <v>3</v>
      </c>
      <c r="L15" s="67">
        <v>4</v>
      </c>
      <c r="M15" s="67">
        <v>5</v>
      </c>
      <c r="N15" s="67">
        <v>6</v>
      </c>
      <c r="O15" s="67">
        <v>7</v>
      </c>
      <c r="P15" s="67">
        <v>8</v>
      </c>
    </row>
    <row r="16" spans="2:16" x14ac:dyDescent="0.25">
      <c r="G16" s="29">
        <v>0</v>
      </c>
      <c r="H16" s="29">
        <f ca="1">COUNTIF(Tabelle7[Gruppenadresse (HG/MG/-)],H$15&amp;"/"&amp;$G16&amp;"/-")</f>
        <v>0</v>
      </c>
      <c r="I16" s="29">
        <f ca="1">COUNTIF(Tabelle7[Gruppenadresse (HG/MG/-)],I$15&amp;"/"&amp;$G16&amp;"/-")</f>
        <v>0</v>
      </c>
      <c r="J16" s="29">
        <f ca="1">COUNTIF(Tabelle7[Gruppenadresse (HG/MG/-)],J$15&amp;"/"&amp;$G16&amp;"/-")</f>
        <v>0</v>
      </c>
      <c r="K16" s="29">
        <f ca="1">COUNTIF(Tabelle7[Gruppenadresse (HG/MG/-)],K$15&amp;"/"&amp;$G16&amp;"/-")</f>
        <v>0</v>
      </c>
      <c r="L16" s="29">
        <f ca="1">COUNTIF(Tabelle7[Gruppenadresse (HG/MG/-)],L$15&amp;"/"&amp;$G16&amp;"/-")</f>
        <v>0</v>
      </c>
      <c r="M16" s="29">
        <f ca="1">COUNTIF(Tabelle7[Gruppenadresse (HG/MG/-)],M$15&amp;"/"&amp;$G16&amp;"/-")</f>
        <v>5</v>
      </c>
      <c r="N16" s="29">
        <f ca="1">COUNTIF(Tabelle7[Gruppenadresse (HG/MG/-)],N$15&amp;"/"&amp;$G16&amp;"/-")</f>
        <v>0</v>
      </c>
      <c r="O16" s="29">
        <f ca="1">COUNTIF(Tabelle7[Gruppenadresse (HG/MG/-)],O$15&amp;"/"&amp;$G16&amp;"/-")</f>
        <v>0</v>
      </c>
      <c r="P16" s="29">
        <f ca="1">COUNTIF(Tabelle7[Gruppenadresse (HG/MG/-)],P$15&amp;"/"&amp;$G16&amp;"/-")</f>
        <v>0</v>
      </c>
    </row>
    <row r="17" spans="2:16" x14ac:dyDescent="0.25">
      <c r="G17" s="29">
        <v>1</v>
      </c>
      <c r="H17" s="29">
        <f ca="1">COUNTIF(Tabelle7[Gruppenadresse (HG/MG/-)],H$15&amp;"/"&amp;$G17&amp;"/-")</f>
        <v>0</v>
      </c>
      <c r="I17" s="29">
        <f ca="1">COUNTIF(Tabelle7[Gruppenadresse (HG/MG/-)],I$15&amp;"/"&amp;$G17&amp;"/-")</f>
        <v>0</v>
      </c>
      <c r="J17" s="29">
        <f ca="1">COUNTIF(Tabelle7[Gruppenadresse (HG/MG/-)],J$15&amp;"/"&amp;$G17&amp;"/-")</f>
        <v>0</v>
      </c>
      <c r="K17" s="29">
        <f ca="1">COUNTIF(Tabelle7[Gruppenadresse (HG/MG/-)],K$15&amp;"/"&amp;$G17&amp;"/-")</f>
        <v>0</v>
      </c>
      <c r="L17" s="29">
        <f ca="1">COUNTIF(Tabelle7[Gruppenadresse (HG/MG/-)],L$15&amp;"/"&amp;$G17&amp;"/-")</f>
        <v>0</v>
      </c>
      <c r="M17" s="29">
        <f ca="1">COUNTIF(Tabelle7[Gruppenadresse (HG/MG/-)],M$15&amp;"/"&amp;$G17&amp;"/-")</f>
        <v>1</v>
      </c>
      <c r="N17" s="29">
        <f ca="1">COUNTIF(Tabelle7[Gruppenadresse (HG/MG/-)],N$15&amp;"/"&amp;$G17&amp;"/-")</f>
        <v>0</v>
      </c>
      <c r="O17" s="29">
        <f ca="1">COUNTIF(Tabelle7[Gruppenadresse (HG/MG/-)],O$15&amp;"/"&amp;$G17&amp;"/-")</f>
        <v>0</v>
      </c>
      <c r="P17" s="29">
        <f ca="1">COUNTIF(Tabelle7[Gruppenadresse (HG/MG/-)],P$15&amp;"/"&amp;$G17&amp;"/-")</f>
        <v>0</v>
      </c>
    </row>
    <row r="18" spans="2:16" x14ac:dyDescent="0.25">
      <c r="G18" s="29">
        <v>2</v>
      </c>
      <c r="H18" s="29">
        <f ca="1">COUNTIF(Tabelle7[Gruppenadresse (HG/MG/-)],H$15&amp;"/"&amp;$G18&amp;"/-")</f>
        <v>0</v>
      </c>
      <c r="I18" s="29">
        <f ca="1">COUNTIF(Tabelle7[Gruppenadresse (HG/MG/-)],I$15&amp;"/"&amp;$G18&amp;"/-")</f>
        <v>0</v>
      </c>
      <c r="J18" s="29">
        <f ca="1">COUNTIF(Tabelle7[Gruppenadresse (HG/MG/-)],J$15&amp;"/"&amp;$G18&amp;"/-")</f>
        <v>0</v>
      </c>
      <c r="K18" s="29">
        <f ca="1">COUNTIF(Tabelle7[Gruppenadresse (HG/MG/-)],K$15&amp;"/"&amp;$G18&amp;"/-")</f>
        <v>0</v>
      </c>
      <c r="L18" s="29">
        <f ca="1">COUNTIF(Tabelle7[Gruppenadresse (HG/MG/-)],L$15&amp;"/"&amp;$G18&amp;"/-")</f>
        <v>0</v>
      </c>
      <c r="M18" s="29">
        <f ca="1">COUNTIF(Tabelle7[Gruppenadresse (HG/MG/-)],M$15&amp;"/"&amp;$G18&amp;"/-")</f>
        <v>4</v>
      </c>
      <c r="N18" s="29">
        <f ca="1">COUNTIF(Tabelle7[Gruppenadresse (HG/MG/-)],N$15&amp;"/"&amp;$G18&amp;"/-")</f>
        <v>0</v>
      </c>
      <c r="O18" s="29">
        <f ca="1">COUNTIF(Tabelle7[Gruppenadresse (HG/MG/-)],O$15&amp;"/"&amp;$G18&amp;"/-")</f>
        <v>0</v>
      </c>
      <c r="P18" s="29">
        <f ca="1">COUNTIF(Tabelle7[Gruppenadresse (HG/MG/-)],P$15&amp;"/"&amp;$G18&amp;"/-")</f>
        <v>0</v>
      </c>
    </row>
    <row r="19" spans="2:16" x14ac:dyDescent="0.25">
      <c r="G19" s="29">
        <v>3</v>
      </c>
      <c r="H19" s="29">
        <f ca="1">COUNTIF(Tabelle7[Gruppenadresse (HG/MG/-)],H$15&amp;"/"&amp;$G19&amp;"/-")</f>
        <v>0</v>
      </c>
      <c r="I19" s="29">
        <f ca="1">COUNTIF(Tabelle7[Gruppenadresse (HG/MG/-)],I$15&amp;"/"&amp;$G19&amp;"/-")</f>
        <v>0</v>
      </c>
      <c r="J19" s="29">
        <f ca="1">COUNTIF(Tabelle7[Gruppenadresse (HG/MG/-)],J$15&amp;"/"&amp;$G19&amp;"/-")</f>
        <v>0</v>
      </c>
      <c r="K19" s="29">
        <f ca="1">COUNTIF(Tabelle7[Gruppenadresse (HG/MG/-)],K$15&amp;"/"&amp;$G19&amp;"/-")</f>
        <v>0</v>
      </c>
      <c r="L19" s="29">
        <f ca="1">COUNTIF(Tabelle7[Gruppenadresse (HG/MG/-)],L$15&amp;"/"&amp;$G19&amp;"/-")</f>
        <v>0</v>
      </c>
      <c r="M19" s="29">
        <f ca="1">COUNTIF(Tabelle7[Gruppenadresse (HG/MG/-)],M$15&amp;"/"&amp;$G19&amp;"/-")</f>
        <v>1</v>
      </c>
      <c r="N19" s="29">
        <f ca="1">COUNTIF(Tabelle7[Gruppenadresse (HG/MG/-)],N$15&amp;"/"&amp;$G19&amp;"/-")</f>
        <v>0</v>
      </c>
      <c r="O19" s="29">
        <f ca="1">COUNTIF(Tabelle7[Gruppenadresse (HG/MG/-)],O$15&amp;"/"&amp;$G19&amp;"/-")</f>
        <v>0</v>
      </c>
      <c r="P19" s="29">
        <f ca="1">COUNTIF(Tabelle7[Gruppenadresse (HG/MG/-)],P$15&amp;"/"&amp;$G19&amp;"/-")</f>
        <v>0</v>
      </c>
    </row>
    <row r="20" spans="2:16" x14ac:dyDescent="0.25">
      <c r="G20" s="29">
        <v>4</v>
      </c>
      <c r="H20" s="29">
        <f ca="1">COUNTIF(Tabelle7[Gruppenadresse (HG/MG/-)],H$15&amp;"/"&amp;$G20&amp;"/-")</f>
        <v>0</v>
      </c>
      <c r="I20" s="29">
        <f ca="1">COUNTIF(Tabelle7[Gruppenadresse (HG/MG/-)],I$15&amp;"/"&amp;$G20&amp;"/-")</f>
        <v>0</v>
      </c>
      <c r="J20" s="29">
        <f ca="1">COUNTIF(Tabelle7[Gruppenadresse (HG/MG/-)],J$15&amp;"/"&amp;$G20&amp;"/-")</f>
        <v>0</v>
      </c>
      <c r="K20" s="29">
        <f ca="1">COUNTIF(Tabelle7[Gruppenadresse (HG/MG/-)],K$15&amp;"/"&amp;$G20&amp;"/-")</f>
        <v>0</v>
      </c>
      <c r="L20" s="29">
        <f ca="1">COUNTIF(Tabelle7[Gruppenadresse (HG/MG/-)],L$15&amp;"/"&amp;$G20&amp;"/-")</f>
        <v>0</v>
      </c>
      <c r="M20" s="29">
        <f ca="1">COUNTIF(Tabelle7[Gruppenadresse (HG/MG/-)],M$15&amp;"/"&amp;$G20&amp;"/-")</f>
        <v>0</v>
      </c>
      <c r="N20" s="29">
        <f ca="1">COUNTIF(Tabelle7[Gruppenadresse (HG/MG/-)],N$15&amp;"/"&amp;$G20&amp;"/-")</f>
        <v>0</v>
      </c>
      <c r="O20" s="29">
        <f ca="1">COUNTIF(Tabelle7[Gruppenadresse (HG/MG/-)],O$15&amp;"/"&amp;$G20&amp;"/-")</f>
        <v>0</v>
      </c>
      <c r="P20" s="29">
        <f ca="1">COUNTIF(Tabelle7[Gruppenadresse (HG/MG/-)],P$15&amp;"/"&amp;$G20&amp;"/-")</f>
        <v>0</v>
      </c>
    </row>
    <row r="21" spans="2:16" x14ac:dyDescent="0.25">
      <c r="G21" s="29">
        <v>5</v>
      </c>
      <c r="H21" s="29">
        <f ca="1">COUNTIF(Tabelle7[Gruppenadresse (HG/MG/-)],H$15&amp;"/"&amp;$G21&amp;"/-")</f>
        <v>0</v>
      </c>
      <c r="I21" s="29">
        <f ca="1">COUNTIF(Tabelle7[Gruppenadresse (HG/MG/-)],I$15&amp;"/"&amp;$G21&amp;"/-")</f>
        <v>0</v>
      </c>
      <c r="J21" s="29">
        <f ca="1">COUNTIF(Tabelle7[Gruppenadresse (HG/MG/-)],J$15&amp;"/"&amp;$G21&amp;"/-")</f>
        <v>0</v>
      </c>
      <c r="K21" s="29">
        <f ca="1">COUNTIF(Tabelle7[Gruppenadresse (HG/MG/-)],K$15&amp;"/"&amp;$G21&amp;"/-")</f>
        <v>0</v>
      </c>
      <c r="L21" s="29">
        <f ca="1">COUNTIF(Tabelle7[Gruppenadresse (HG/MG/-)],L$15&amp;"/"&amp;$G21&amp;"/-")</f>
        <v>0</v>
      </c>
      <c r="M21" s="29">
        <f ca="1">COUNTIF(Tabelle7[Gruppenadresse (HG/MG/-)],M$15&amp;"/"&amp;$G21&amp;"/-")</f>
        <v>2</v>
      </c>
      <c r="N21" s="29">
        <f ca="1">COUNTIF(Tabelle7[Gruppenadresse (HG/MG/-)],N$15&amp;"/"&amp;$G21&amp;"/-")</f>
        <v>0</v>
      </c>
      <c r="O21" s="29">
        <f ca="1">COUNTIF(Tabelle7[Gruppenadresse (HG/MG/-)],O$15&amp;"/"&amp;$G21&amp;"/-")</f>
        <v>0</v>
      </c>
      <c r="P21" s="29">
        <f ca="1">COUNTIF(Tabelle7[Gruppenadresse (HG/MG/-)],P$15&amp;"/"&amp;$G21&amp;"/-")</f>
        <v>0</v>
      </c>
    </row>
    <row r="22" spans="2:16" x14ac:dyDescent="0.25">
      <c r="G22" s="29">
        <v>6</v>
      </c>
      <c r="H22" s="29">
        <f ca="1">COUNTIF(Tabelle7[Gruppenadresse (HG/MG/-)],H$15&amp;"/"&amp;$G22&amp;"/-")</f>
        <v>0</v>
      </c>
      <c r="I22" s="29">
        <f ca="1">COUNTIF(Tabelle7[Gruppenadresse (HG/MG/-)],I$15&amp;"/"&amp;$G22&amp;"/-")</f>
        <v>0</v>
      </c>
      <c r="J22" s="29">
        <f ca="1">COUNTIF(Tabelle7[Gruppenadresse (HG/MG/-)],J$15&amp;"/"&amp;$G22&amp;"/-")</f>
        <v>0</v>
      </c>
      <c r="K22" s="29">
        <f ca="1">COUNTIF(Tabelle7[Gruppenadresse (HG/MG/-)],K$15&amp;"/"&amp;$G22&amp;"/-")</f>
        <v>0</v>
      </c>
      <c r="L22" s="29">
        <f ca="1">COUNTIF(Tabelle7[Gruppenadresse (HG/MG/-)],L$15&amp;"/"&amp;$G22&amp;"/-")</f>
        <v>0</v>
      </c>
      <c r="M22" s="29">
        <f ca="1">COUNTIF(Tabelle7[Gruppenadresse (HG/MG/-)],M$15&amp;"/"&amp;$G22&amp;"/-")</f>
        <v>0</v>
      </c>
      <c r="N22" s="29">
        <f ca="1">COUNTIF(Tabelle7[Gruppenadresse (HG/MG/-)],N$15&amp;"/"&amp;$G22&amp;"/-")</f>
        <v>0</v>
      </c>
      <c r="O22" s="29">
        <f ca="1">COUNTIF(Tabelle7[Gruppenadresse (HG/MG/-)],O$15&amp;"/"&amp;$G22&amp;"/-")</f>
        <v>0</v>
      </c>
      <c r="P22" s="29">
        <f ca="1">COUNTIF(Tabelle7[Gruppenadresse (HG/MG/-)],P$15&amp;"/"&amp;$G22&amp;"/-")</f>
        <v>0</v>
      </c>
    </row>
    <row r="23" spans="2:16" x14ac:dyDescent="0.25">
      <c r="G23" s="29">
        <v>7</v>
      </c>
      <c r="H23" s="29">
        <f ca="1">COUNTIF(Tabelle7[Gruppenadresse (HG/MG/-)],H$15&amp;"/"&amp;$G23&amp;"/-")</f>
        <v>0</v>
      </c>
      <c r="I23" s="29">
        <f ca="1">COUNTIF(Tabelle7[Gruppenadresse (HG/MG/-)],I$15&amp;"/"&amp;$G23&amp;"/-")</f>
        <v>0</v>
      </c>
      <c r="J23" s="29">
        <f ca="1">COUNTIF(Tabelle7[Gruppenadresse (HG/MG/-)],J$15&amp;"/"&amp;$G23&amp;"/-")</f>
        <v>0</v>
      </c>
      <c r="K23" s="29">
        <f ca="1">COUNTIF(Tabelle7[Gruppenadresse (HG/MG/-)],K$15&amp;"/"&amp;$G23&amp;"/-")</f>
        <v>0</v>
      </c>
      <c r="L23" s="29">
        <f ca="1">COUNTIF(Tabelle7[Gruppenadresse (HG/MG/-)],L$15&amp;"/"&amp;$G23&amp;"/-")</f>
        <v>0</v>
      </c>
      <c r="M23" s="29">
        <f ca="1">COUNTIF(Tabelle7[Gruppenadresse (HG/MG/-)],M$15&amp;"/"&amp;$G23&amp;"/-")</f>
        <v>0</v>
      </c>
      <c r="N23" s="29">
        <f ca="1">COUNTIF(Tabelle7[Gruppenadresse (HG/MG/-)],N$15&amp;"/"&amp;$G23&amp;"/-")</f>
        <v>0</v>
      </c>
      <c r="O23" s="29">
        <f ca="1">COUNTIF(Tabelle7[Gruppenadresse (HG/MG/-)],O$15&amp;"/"&amp;$G23&amp;"/-")</f>
        <v>0</v>
      </c>
      <c r="P23" s="29">
        <f ca="1">COUNTIF(Tabelle7[Gruppenadresse (HG/MG/-)],P$15&amp;"/"&amp;$G23&amp;"/-")</f>
        <v>0</v>
      </c>
    </row>
    <row r="25" spans="2:16" ht="26.25" x14ac:dyDescent="0.4">
      <c r="B25" s="69" t="s">
        <v>1550</v>
      </c>
      <c r="C25" s="69"/>
    </row>
    <row r="27" spans="2:16" ht="28.5" x14ac:dyDescent="0.45">
      <c r="B27" s="97" t="s">
        <v>1612</v>
      </c>
      <c r="C27" s="97"/>
      <c r="D27" s="97"/>
      <c r="E27" s="97"/>
    </row>
  </sheetData>
  <mergeCells count="5">
    <mergeCell ref="G14:G15"/>
    <mergeCell ref="G2:P2"/>
    <mergeCell ref="B2:D2"/>
    <mergeCell ref="G13:P13"/>
    <mergeCell ref="B27:E27"/>
  </mergeCells>
  <phoneticPr fontId="3" type="noConversion"/>
  <pageMargins left="0.7" right="0.7" top="0.78740157499999996" bottom="0.78740157499999996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Metadaten!$C$3:$C$11</xm:f>
          </x14:formula1>
          <xm:sqref>C4:C12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>
    <tabColor theme="5" tint="-0.249977111117893"/>
  </sheetPr>
  <dimension ref="A1:I761"/>
  <sheetViews>
    <sheetView topLeftCell="A13" zoomScale="80" zoomScaleNormal="80" workbookViewId="0">
      <selection activeCell="B620" sqref="B620"/>
    </sheetView>
  </sheetViews>
  <sheetFormatPr baseColWidth="10" defaultColWidth="11" defaultRowHeight="15.75" x14ac:dyDescent="0.25"/>
  <cols>
    <col min="1" max="1" width="18.625" bestFit="1" customWidth="1"/>
    <col min="2" max="2" width="30.875" bestFit="1" customWidth="1"/>
    <col min="3" max="3" width="58.25" bestFit="1" customWidth="1"/>
  </cols>
  <sheetData>
    <row r="1" spans="1:9" x14ac:dyDescent="0.25">
      <c r="A1" t="s">
        <v>255</v>
      </c>
      <c r="D1" t="s">
        <v>428</v>
      </c>
      <c r="I1" t="s">
        <v>429</v>
      </c>
    </row>
    <row r="2" spans="1:9" x14ac:dyDescent="0.25">
      <c r="B2" t="s">
        <v>255</v>
      </c>
      <c r="D2" t="s">
        <v>430</v>
      </c>
      <c r="I2" t="s">
        <v>429</v>
      </c>
    </row>
    <row r="3" spans="1:9" x14ac:dyDescent="0.25">
      <c r="B3" t="s">
        <v>431</v>
      </c>
      <c r="D3" t="s">
        <v>432</v>
      </c>
      <c r="I3" t="s">
        <v>429</v>
      </c>
    </row>
    <row r="4" spans="1:9" x14ac:dyDescent="0.25">
      <c r="B4" t="s">
        <v>433</v>
      </c>
      <c r="D4" t="s">
        <v>434</v>
      </c>
      <c r="I4" t="s">
        <v>429</v>
      </c>
    </row>
    <row r="5" spans="1:9" x14ac:dyDescent="0.25">
      <c r="B5" t="s">
        <v>435</v>
      </c>
      <c r="D5" t="s">
        <v>436</v>
      </c>
      <c r="I5" t="s">
        <v>429</v>
      </c>
    </row>
    <row r="6" spans="1:9" x14ac:dyDescent="0.25">
      <c r="B6" t="s">
        <v>437</v>
      </c>
      <c r="D6" t="s">
        <v>438</v>
      </c>
      <c r="I6" t="s">
        <v>429</v>
      </c>
    </row>
    <row r="7" spans="1:9" x14ac:dyDescent="0.25">
      <c r="B7" t="s">
        <v>278</v>
      </c>
      <c r="D7" t="s">
        <v>439</v>
      </c>
      <c r="I7" t="s">
        <v>429</v>
      </c>
    </row>
    <row r="8" spans="1:9" x14ac:dyDescent="0.25">
      <c r="B8" t="s">
        <v>279</v>
      </c>
      <c r="D8" t="s">
        <v>440</v>
      </c>
      <c r="I8" t="s">
        <v>429</v>
      </c>
    </row>
    <row r="9" spans="1:9" x14ac:dyDescent="0.25">
      <c r="B9" t="s">
        <v>280</v>
      </c>
      <c r="D9" t="s">
        <v>441</v>
      </c>
      <c r="I9" t="s">
        <v>429</v>
      </c>
    </row>
    <row r="10" spans="1:9" x14ac:dyDescent="0.25">
      <c r="D10" t="s">
        <v>442</v>
      </c>
      <c r="I10" t="s">
        <v>429</v>
      </c>
    </row>
    <row r="11" spans="1:9" x14ac:dyDescent="0.25">
      <c r="A11" t="s">
        <v>46</v>
      </c>
      <c r="D11" t="s">
        <v>443</v>
      </c>
      <c r="I11" t="s">
        <v>429</v>
      </c>
    </row>
    <row r="12" spans="1:9" x14ac:dyDescent="0.25">
      <c r="B12" t="s">
        <v>255</v>
      </c>
      <c r="D12" t="s">
        <v>444</v>
      </c>
      <c r="I12" t="s">
        <v>429</v>
      </c>
    </row>
    <row r="13" spans="1:9" x14ac:dyDescent="0.25">
      <c r="C13" t="s">
        <v>445</v>
      </c>
      <c r="D13" t="s">
        <v>446</v>
      </c>
      <c r="G13" t="s">
        <v>447</v>
      </c>
      <c r="I13" t="s">
        <v>429</v>
      </c>
    </row>
    <row r="14" spans="1:9" x14ac:dyDescent="0.25">
      <c r="C14" t="s">
        <v>448</v>
      </c>
      <c r="D14" t="s">
        <v>449</v>
      </c>
      <c r="G14" t="s">
        <v>450</v>
      </c>
      <c r="I14" t="s">
        <v>429</v>
      </c>
    </row>
    <row r="15" spans="1:9" x14ac:dyDescent="0.25">
      <c r="C15" t="s">
        <v>451</v>
      </c>
      <c r="D15" t="s">
        <v>452</v>
      </c>
      <c r="G15" t="s">
        <v>453</v>
      </c>
      <c r="I15" t="s">
        <v>429</v>
      </c>
    </row>
    <row r="16" spans="1:9" x14ac:dyDescent="0.25">
      <c r="C16" t="s">
        <v>454</v>
      </c>
      <c r="D16" t="s">
        <v>455</v>
      </c>
      <c r="G16" t="s">
        <v>456</v>
      </c>
      <c r="I16" t="s">
        <v>429</v>
      </c>
    </row>
    <row r="17" spans="2:9" x14ac:dyDescent="0.25">
      <c r="C17" t="s">
        <v>457</v>
      </c>
      <c r="D17" t="s">
        <v>458</v>
      </c>
      <c r="G17" t="s">
        <v>459</v>
      </c>
      <c r="I17" t="s">
        <v>429</v>
      </c>
    </row>
    <row r="18" spans="2:9" x14ac:dyDescent="0.25">
      <c r="C18" t="s">
        <v>460</v>
      </c>
      <c r="D18" t="s">
        <v>461</v>
      </c>
      <c r="G18" t="s">
        <v>462</v>
      </c>
      <c r="I18" t="s">
        <v>429</v>
      </c>
    </row>
    <row r="19" spans="2:9" x14ac:dyDescent="0.25">
      <c r="C19" t="s">
        <v>463</v>
      </c>
      <c r="D19" t="s">
        <v>464</v>
      </c>
      <c r="G19" t="s">
        <v>465</v>
      </c>
      <c r="I19" t="s">
        <v>429</v>
      </c>
    </row>
    <row r="20" spans="2:9" x14ac:dyDescent="0.25">
      <c r="C20" t="s">
        <v>466</v>
      </c>
      <c r="D20" t="s">
        <v>467</v>
      </c>
      <c r="G20" t="s">
        <v>468</v>
      </c>
      <c r="I20" t="s">
        <v>429</v>
      </c>
    </row>
    <row r="21" spans="2:9" x14ac:dyDescent="0.25">
      <c r="C21" t="s">
        <v>469</v>
      </c>
      <c r="D21" t="s">
        <v>470</v>
      </c>
      <c r="G21" t="s">
        <v>471</v>
      </c>
      <c r="I21" t="s">
        <v>429</v>
      </c>
    </row>
    <row r="22" spans="2:9" x14ac:dyDescent="0.25">
      <c r="C22" t="s">
        <v>472</v>
      </c>
      <c r="D22" t="s">
        <v>473</v>
      </c>
      <c r="G22" t="s">
        <v>474</v>
      </c>
      <c r="I22" t="s">
        <v>429</v>
      </c>
    </row>
    <row r="23" spans="2:9" x14ac:dyDescent="0.25">
      <c r="C23" t="s">
        <v>475</v>
      </c>
      <c r="D23" t="s">
        <v>476</v>
      </c>
      <c r="G23" t="s">
        <v>477</v>
      </c>
      <c r="I23" t="s">
        <v>429</v>
      </c>
    </row>
    <row r="24" spans="2:9" x14ac:dyDescent="0.25">
      <c r="C24" t="s">
        <v>478</v>
      </c>
      <c r="D24" t="s">
        <v>479</v>
      </c>
      <c r="G24" t="s">
        <v>480</v>
      </c>
      <c r="I24" t="s">
        <v>429</v>
      </c>
    </row>
    <row r="25" spans="2:9" x14ac:dyDescent="0.25">
      <c r="C25" t="s">
        <v>481</v>
      </c>
      <c r="D25" t="s">
        <v>482</v>
      </c>
      <c r="G25" t="s">
        <v>483</v>
      </c>
      <c r="I25" t="s">
        <v>429</v>
      </c>
    </row>
    <row r="26" spans="2:9" x14ac:dyDescent="0.25">
      <c r="C26" t="s">
        <v>484</v>
      </c>
      <c r="D26" t="s">
        <v>485</v>
      </c>
      <c r="G26" t="s">
        <v>486</v>
      </c>
      <c r="I26" t="s">
        <v>429</v>
      </c>
    </row>
    <row r="27" spans="2:9" x14ac:dyDescent="0.25">
      <c r="C27" t="s">
        <v>487</v>
      </c>
      <c r="D27" t="s">
        <v>488</v>
      </c>
      <c r="G27" t="s">
        <v>489</v>
      </c>
      <c r="I27" t="s">
        <v>429</v>
      </c>
    </row>
    <row r="28" spans="2:9" x14ac:dyDescent="0.25">
      <c r="C28" t="s">
        <v>490</v>
      </c>
      <c r="D28" t="s">
        <v>491</v>
      </c>
      <c r="G28" t="s">
        <v>492</v>
      </c>
      <c r="I28" t="s">
        <v>429</v>
      </c>
    </row>
    <row r="29" spans="2:9" x14ac:dyDescent="0.25">
      <c r="C29" t="s">
        <v>493</v>
      </c>
      <c r="D29" t="s">
        <v>494</v>
      </c>
      <c r="G29" t="s">
        <v>495</v>
      </c>
      <c r="I29" t="s">
        <v>429</v>
      </c>
    </row>
    <row r="30" spans="2:9" x14ac:dyDescent="0.25">
      <c r="C30" t="s">
        <v>496</v>
      </c>
      <c r="D30" t="s">
        <v>497</v>
      </c>
      <c r="G30" t="s">
        <v>498</v>
      </c>
      <c r="I30" t="s">
        <v>429</v>
      </c>
    </row>
    <row r="31" spans="2:9" x14ac:dyDescent="0.25">
      <c r="C31" t="s">
        <v>499</v>
      </c>
      <c r="D31" t="s">
        <v>500</v>
      </c>
      <c r="G31" t="s">
        <v>501</v>
      </c>
      <c r="I31" t="s">
        <v>429</v>
      </c>
    </row>
    <row r="32" spans="2:9" x14ac:dyDescent="0.25">
      <c r="B32" t="s">
        <v>274</v>
      </c>
      <c r="D32" t="s">
        <v>502</v>
      </c>
      <c r="I32" t="s">
        <v>429</v>
      </c>
    </row>
    <row r="33" spans="3:9" x14ac:dyDescent="0.25">
      <c r="C33" t="s">
        <v>445</v>
      </c>
      <c r="D33" t="s">
        <v>503</v>
      </c>
      <c r="G33" t="s">
        <v>447</v>
      </c>
      <c r="I33" t="s">
        <v>429</v>
      </c>
    </row>
    <row r="34" spans="3:9" x14ac:dyDescent="0.25">
      <c r="C34" t="s">
        <v>448</v>
      </c>
      <c r="D34" t="s">
        <v>504</v>
      </c>
      <c r="G34" t="s">
        <v>450</v>
      </c>
      <c r="I34" t="s">
        <v>429</v>
      </c>
    </row>
    <row r="35" spans="3:9" x14ac:dyDescent="0.25">
      <c r="C35" t="s">
        <v>451</v>
      </c>
      <c r="D35" t="s">
        <v>505</v>
      </c>
      <c r="G35" t="s">
        <v>453</v>
      </c>
      <c r="I35" t="s">
        <v>429</v>
      </c>
    </row>
    <row r="36" spans="3:9" x14ac:dyDescent="0.25">
      <c r="C36" t="s">
        <v>454</v>
      </c>
      <c r="D36" t="s">
        <v>506</v>
      </c>
      <c r="G36" t="s">
        <v>456</v>
      </c>
      <c r="I36" t="s">
        <v>429</v>
      </c>
    </row>
    <row r="37" spans="3:9" x14ac:dyDescent="0.25">
      <c r="C37" t="s">
        <v>457</v>
      </c>
      <c r="D37" t="s">
        <v>507</v>
      </c>
      <c r="G37" t="s">
        <v>459</v>
      </c>
      <c r="I37" t="s">
        <v>429</v>
      </c>
    </row>
    <row r="38" spans="3:9" x14ac:dyDescent="0.25">
      <c r="C38" t="s">
        <v>460</v>
      </c>
      <c r="D38" t="s">
        <v>508</v>
      </c>
      <c r="G38" t="s">
        <v>462</v>
      </c>
      <c r="I38" t="s">
        <v>429</v>
      </c>
    </row>
    <row r="39" spans="3:9" x14ac:dyDescent="0.25">
      <c r="C39" t="s">
        <v>463</v>
      </c>
      <c r="D39" t="s">
        <v>509</v>
      </c>
      <c r="G39" t="s">
        <v>465</v>
      </c>
      <c r="I39" t="s">
        <v>429</v>
      </c>
    </row>
    <row r="40" spans="3:9" x14ac:dyDescent="0.25">
      <c r="C40" t="s">
        <v>466</v>
      </c>
      <c r="D40" t="s">
        <v>510</v>
      </c>
      <c r="G40" t="s">
        <v>468</v>
      </c>
      <c r="I40" t="s">
        <v>429</v>
      </c>
    </row>
    <row r="41" spans="3:9" x14ac:dyDescent="0.25">
      <c r="C41" t="s">
        <v>469</v>
      </c>
      <c r="D41" t="s">
        <v>511</v>
      </c>
      <c r="G41" t="s">
        <v>471</v>
      </c>
      <c r="I41" t="s">
        <v>429</v>
      </c>
    </row>
    <row r="42" spans="3:9" x14ac:dyDescent="0.25">
      <c r="C42" t="s">
        <v>472</v>
      </c>
      <c r="D42" t="s">
        <v>512</v>
      </c>
      <c r="G42" t="s">
        <v>474</v>
      </c>
      <c r="I42" t="s">
        <v>429</v>
      </c>
    </row>
    <row r="43" spans="3:9" x14ac:dyDescent="0.25">
      <c r="C43" t="s">
        <v>475</v>
      </c>
      <c r="D43" t="s">
        <v>513</v>
      </c>
      <c r="G43" t="s">
        <v>477</v>
      </c>
      <c r="I43" t="s">
        <v>429</v>
      </c>
    </row>
    <row r="44" spans="3:9" x14ac:dyDescent="0.25">
      <c r="C44" t="s">
        <v>478</v>
      </c>
      <c r="D44" t="s">
        <v>514</v>
      </c>
      <c r="G44" t="s">
        <v>480</v>
      </c>
      <c r="I44" t="s">
        <v>429</v>
      </c>
    </row>
    <row r="45" spans="3:9" x14ac:dyDescent="0.25">
      <c r="C45" t="s">
        <v>481</v>
      </c>
      <c r="D45" t="s">
        <v>515</v>
      </c>
      <c r="G45" t="s">
        <v>483</v>
      </c>
      <c r="I45" t="s">
        <v>429</v>
      </c>
    </row>
    <row r="46" spans="3:9" x14ac:dyDescent="0.25">
      <c r="C46" t="s">
        <v>484</v>
      </c>
      <c r="D46" t="s">
        <v>516</v>
      </c>
      <c r="G46" t="s">
        <v>486</v>
      </c>
      <c r="I46" t="s">
        <v>429</v>
      </c>
    </row>
    <row r="47" spans="3:9" x14ac:dyDescent="0.25">
      <c r="C47" t="s">
        <v>487</v>
      </c>
      <c r="D47" t="s">
        <v>517</v>
      </c>
      <c r="G47" t="s">
        <v>489</v>
      </c>
      <c r="I47" t="s">
        <v>429</v>
      </c>
    </row>
    <row r="48" spans="3:9" x14ac:dyDescent="0.25">
      <c r="C48" t="s">
        <v>490</v>
      </c>
      <c r="D48" t="s">
        <v>518</v>
      </c>
      <c r="G48" t="s">
        <v>492</v>
      </c>
      <c r="I48" t="s">
        <v>429</v>
      </c>
    </row>
    <row r="49" spans="2:9" x14ac:dyDescent="0.25">
      <c r="C49" t="s">
        <v>493</v>
      </c>
      <c r="D49" t="s">
        <v>519</v>
      </c>
      <c r="G49" t="s">
        <v>495</v>
      </c>
      <c r="I49" t="s">
        <v>429</v>
      </c>
    </row>
    <row r="50" spans="2:9" x14ac:dyDescent="0.25">
      <c r="C50" t="s">
        <v>496</v>
      </c>
      <c r="D50" t="s">
        <v>520</v>
      </c>
      <c r="G50" t="s">
        <v>498</v>
      </c>
      <c r="I50" t="s">
        <v>429</v>
      </c>
    </row>
    <row r="51" spans="2:9" x14ac:dyDescent="0.25">
      <c r="C51" t="s">
        <v>499</v>
      </c>
      <c r="D51" t="s">
        <v>521</v>
      </c>
      <c r="G51" t="s">
        <v>501</v>
      </c>
      <c r="I51" t="s">
        <v>429</v>
      </c>
    </row>
    <row r="52" spans="2:9" x14ac:dyDescent="0.25">
      <c r="B52" t="s">
        <v>275</v>
      </c>
      <c r="D52" t="s">
        <v>522</v>
      </c>
      <c r="I52" t="s">
        <v>429</v>
      </c>
    </row>
    <row r="53" spans="2:9" x14ac:dyDescent="0.25">
      <c r="C53" t="s">
        <v>445</v>
      </c>
      <c r="D53" t="s">
        <v>523</v>
      </c>
      <c r="G53" t="s">
        <v>447</v>
      </c>
      <c r="I53" t="s">
        <v>429</v>
      </c>
    </row>
    <row r="54" spans="2:9" x14ac:dyDescent="0.25">
      <c r="C54" t="s">
        <v>448</v>
      </c>
      <c r="D54" t="s">
        <v>524</v>
      </c>
      <c r="G54" t="s">
        <v>450</v>
      </c>
      <c r="I54" t="s">
        <v>429</v>
      </c>
    </row>
    <row r="55" spans="2:9" x14ac:dyDescent="0.25">
      <c r="C55" t="s">
        <v>451</v>
      </c>
      <c r="D55" t="s">
        <v>525</v>
      </c>
      <c r="G55" t="s">
        <v>453</v>
      </c>
      <c r="I55" t="s">
        <v>429</v>
      </c>
    </row>
    <row r="56" spans="2:9" x14ac:dyDescent="0.25">
      <c r="C56" t="s">
        <v>454</v>
      </c>
      <c r="D56" t="s">
        <v>526</v>
      </c>
      <c r="G56" t="s">
        <v>456</v>
      </c>
      <c r="I56" t="s">
        <v>429</v>
      </c>
    </row>
    <row r="57" spans="2:9" x14ac:dyDescent="0.25">
      <c r="C57" t="s">
        <v>457</v>
      </c>
      <c r="D57" t="s">
        <v>527</v>
      </c>
      <c r="G57" t="s">
        <v>459</v>
      </c>
      <c r="I57" t="s">
        <v>429</v>
      </c>
    </row>
    <row r="58" spans="2:9" x14ac:dyDescent="0.25">
      <c r="C58" t="s">
        <v>460</v>
      </c>
      <c r="D58" t="s">
        <v>528</v>
      </c>
      <c r="G58" t="s">
        <v>462</v>
      </c>
      <c r="I58" t="s">
        <v>429</v>
      </c>
    </row>
    <row r="59" spans="2:9" x14ac:dyDescent="0.25">
      <c r="C59" t="s">
        <v>463</v>
      </c>
      <c r="D59" t="s">
        <v>529</v>
      </c>
      <c r="G59" t="s">
        <v>465</v>
      </c>
      <c r="I59" t="s">
        <v>429</v>
      </c>
    </row>
    <row r="60" spans="2:9" x14ac:dyDescent="0.25">
      <c r="C60" t="s">
        <v>466</v>
      </c>
      <c r="D60" t="s">
        <v>530</v>
      </c>
      <c r="G60" t="s">
        <v>468</v>
      </c>
      <c r="I60" t="s">
        <v>429</v>
      </c>
    </row>
    <row r="61" spans="2:9" x14ac:dyDescent="0.25">
      <c r="C61" t="s">
        <v>469</v>
      </c>
      <c r="D61" t="s">
        <v>531</v>
      </c>
      <c r="G61" t="s">
        <v>471</v>
      </c>
      <c r="I61" t="s">
        <v>429</v>
      </c>
    </row>
    <row r="62" spans="2:9" x14ac:dyDescent="0.25">
      <c r="C62" t="s">
        <v>472</v>
      </c>
      <c r="D62" t="s">
        <v>532</v>
      </c>
      <c r="G62" t="s">
        <v>474</v>
      </c>
      <c r="I62" t="s">
        <v>429</v>
      </c>
    </row>
    <row r="63" spans="2:9" x14ac:dyDescent="0.25">
      <c r="C63" t="s">
        <v>475</v>
      </c>
      <c r="D63" t="s">
        <v>533</v>
      </c>
      <c r="G63" t="s">
        <v>477</v>
      </c>
      <c r="I63" t="s">
        <v>429</v>
      </c>
    </row>
    <row r="64" spans="2:9" x14ac:dyDescent="0.25">
      <c r="C64" t="s">
        <v>478</v>
      </c>
      <c r="D64" t="s">
        <v>534</v>
      </c>
      <c r="G64" t="s">
        <v>480</v>
      </c>
      <c r="I64" t="s">
        <v>429</v>
      </c>
    </row>
    <row r="65" spans="2:9" x14ac:dyDescent="0.25">
      <c r="C65" t="s">
        <v>481</v>
      </c>
      <c r="D65" t="s">
        <v>535</v>
      </c>
      <c r="G65" t="s">
        <v>483</v>
      </c>
      <c r="I65" t="s">
        <v>429</v>
      </c>
    </row>
    <row r="66" spans="2:9" x14ac:dyDescent="0.25">
      <c r="C66" t="s">
        <v>484</v>
      </c>
      <c r="D66" t="s">
        <v>536</v>
      </c>
      <c r="G66" t="s">
        <v>486</v>
      </c>
      <c r="I66" t="s">
        <v>429</v>
      </c>
    </row>
    <row r="67" spans="2:9" x14ac:dyDescent="0.25">
      <c r="C67" t="s">
        <v>487</v>
      </c>
      <c r="D67" t="s">
        <v>537</v>
      </c>
      <c r="G67" t="s">
        <v>489</v>
      </c>
      <c r="I67" t="s">
        <v>429</v>
      </c>
    </row>
    <row r="68" spans="2:9" x14ac:dyDescent="0.25">
      <c r="C68" t="s">
        <v>490</v>
      </c>
      <c r="D68" t="s">
        <v>538</v>
      </c>
      <c r="G68" t="s">
        <v>492</v>
      </c>
      <c r="I68" t="s">
        <v>429</v>
      </c>
    </row>
    <row r="69" spans="2:9" x14ac:dyDescent="0.25">
      <c r="C69" t="s">
        <v>493</v>
      </c>
      <c r="D69" t="s">
        <v>539</v>
      </c>
      <c r="G69" t="s">
        <v>495</v>
      </c>
      <c r="I69" t="s">
        <v>429</v>
      </c>
    </row>
    <row r="70" spans="2:9" x14ac:dyDescent="0.25">
      <c r="C70" t="s">
        <v>496</v>
      </c>
      <c r="D70" t="s">
        <v>540</v>
      </c>
      <c r="G70" t="s">
        <v>498</v>
      </c>
      <c r="I70" t="s">
        <v>429</v>
      </c>
    </row>
    <row r="71" spans="2:9" x14ac:dyDescent="0.25">
      <c r="C71" t="s">
        <v>499</v>
      </c>
      <c r="D71" t="s">
        <v>541</v>
      </c>
      <c r="G71" t="s">
        <v>501</v>
      </c>
      <c r="I71" t="s">
        <v>429</v>
      </c>
    </row>
    <row r="72" spans="2:9" x14ac:dyDescent="0.25">
      <c r="B72" t="s">
        <v>276</v>
      </c>
      <c r="D72" t="s">
        <v>542</v>
      </c>
      <c r="I72" t="s">
        <v>429</v>
      </c>
    </row>
    <row r="73" spans="2:9" x14ac:dyDescent="0.25">
      <c r="C73" t="s">
        <v>445</v>
      </c>
      <c r="D73" t="s">
        <v>543</v>
      </c>
      <c r="G73" t="s">
        <v>447</v>
      </c>
      <c r="I73" t="s">
        <v>429</v>
      </c>
    </row>
    <row r="74" spans="2:9" x14ac:dyDescent="0.25">
      <c r="C74" t="s">
        <v>448</v>
      </c>
      <c r="D74" t="s">
        <v>544</v>
      </c>
      <c r="G74" t="s">
        <v>450</v>
      </c>
      <c r="I74" t="s">
        <v>429</v>
      </c>
    </row>
    <row r="75" spans="2:9" x14ac:dyDescent="0.25">
      <c r="C75" t="s">
        <v>451</v>
      </c>
      <c r="D75" t="s">
        <v>545</v>
      </c>
      <c r="G75" t="s">
        <v>453</v>
      </c>
      <c r="I75" t="s">
        <v>429</v>
      </c>
    </row>
    <row r="76" spans="2:9" x14ac:dyDescent="0.25">
      <c r="C76" t="s">
        <v>454</v>
      </c>
      <c r="D76" t="s">
        <v>546</v>
      </c>
      <c r="G76" t="s">
        <v>456</v>
      </c>
      <c r="I76" t="s">
        <v>429</v>
      </c>
    </row>
    <row r="77" spans="2:9" x14ac:dyDescent="0.25">
      <c r="C77" t="s">
        <v>457</v>
      </c>
      <c r="D77" t="s">
        <v>547</v>
      </c>
      <c r="G77" t="s">
        <v>459</v>
      </c>
      <c r="I77" t="s">
        <v>429</v>
      </c>
    </row>
    <row r="78" spans="2:9" x14ac:dyDescent="0.25">
      <c r="C78" t="s">
        <v>460</v>
      </c>
      <c r="D78" t="s">
        <v>548</v>
      </c>
      <c r="G78" t="s">
        <v>462</v>
      </c>
      <c r="I78" t="s">
        <v>429</v>
      </c>
    </row>
    <row r="79" spans="2:9" x14ac:dyDescent="0.25">
      <c r="C79" t="s">
        <v>463</v>
      </c>
      <c r="D79" t="s">
        <v>549</v>
      </c>
      <c r="G79" t="s">
        <v>465</v>
      </c>
      <c r="I79" t="s">
        <v>429</v>
      </c>
    </row>
    <row r="80" spans="2:9" x14ac:dyDescent="0.25">
      <c r="C80" t="s">
        <v>466</v>
      </c>
      <c r="D80" t="s">
        <v>550</v>
      </c>
      <c r="G80" t="s">
        <v>468</v>
      </c>
      <c r="I80" t="s">
        <v>429</v>
      </c>
    </row>
    <row r="81" spans="2:9" x14ac:dyDescent="0.25">
      <c r="C81" t="s">
        <v>469</v>
      </c>
      <c r="D81" t="s">
        <v>551</v>
      </c>
      <c r="G81" t="s">
        <v>471</v>
      </c>
      <c r="I81" t="s">
        <v>429</v>
      </c>
    </row>
    <row r="82" spans="2:9" x14ac:dyDescent="0.25">
      <c r="C82" t="s">
        <v>472</v>
      </c>
      <c r="D82" t="s">
        <v>552</v>
      </c>
      <c r="G82" t="s">
        <v>474</v>
      </c>
      <c r="I82" t="s">
        <v>429</v>
      </c>
    </row>
    <row r="83" spans="2:9" x14ac:dyDescent="0.25">
      <c r="C83" t="s">
        <v>475</v>
      </c>
      <c r="D83" t="s">
        <v>553</v>
      </c>
      <c r="G83" t="s">
        <v>477</v>
      </c>
      <c r="I83" t="s">
        <v>429</v>
      </c>
    </row>
    <row r="84" spans="2:9" x14ac:dyDescent="0.25">
      <c r="C84" t="s">
        <v>478</v>
      </c>
      <c r="D84" t="s">
        <v>554</v>
      </c>
      <c r="G84" t="s">
        <v>480</v>
      </c>
      <c r="I84" t="s">
        <v>429</v>
      </c>
    </row>
    <row r="85" spans="2:9" x14ac:dyDescent="0.25">
      <c r="C85" t="s">
        <v>481</v>
      </c>
      <c r="D85" t="s">
        <v>555</v>
      </c>
      <c r="G85" t="s">
        <v>483</v>
      </c>
      <c r="I85" t="s">
        <v>429</v>
      </c>
    </row>
    <row r="86" spans="2:9" x14ac:dyDescent="0.25">
      <c r="C86" t="s">
        <v>484</v>
      </c>
      <c r="D86" t="s">
        <v>556</v>
      </c>
      <c r="G86" t="s">
        <v>486</v>
      </c>
      <c r="I86" t="s">
        <v>429</v>
      </c>
    </row>
    <row r="87" spans="2:9" x14ac:dyDescent="0.25">
      <c r="C87" t="s">
        <v>487</v>
      </c>
      <c r="D87" t="s">
        <v>557</v>
      </c>
      <c r="G87" t="s">
        <v>489</v>
      </c>
      <c r="I87" t="s">
        <v>429</v>
      </c>
    </row>
    <row r="88" spans="2:9" x14ac:dyDescent="0.25">
      <c r="C88" t="s">
        <v>490</v>
      </c>
      <c r="D88" t="s">
        <v>558</v>
      </c>
      <c r="G88" t="s">
        <v>492</v>
      </c>
      <c r="I88" t="s">
        <v>429</v>
      </c>
    </row>
    <row r="89" spans="2:9" x14ac:dyDescent="0.25">
      <c r="C89" t="s">
        <v>493</v>
      </c>
      <c r="D89" t="s">
        <v>559</v>
      </c>
      <c r="G89" t="s">
        <v>495</v>
      </c>
      <c r="I89" t="s">
        <v>429</v>
      </c>
    </row>
    <row r="90" spans="2:9" x14ac:dyDescent="0.25">
      <c r="C90" t="s">
        <v>496</v>
      </c>
      <c r="D90" t="s">
        <v>560</v>
      </c>
      <c r="G90" t="s">
        <v>498</v>
      </c>
      <c r="I90" t="s">
        <v>429</v>
      </c>
    </row>
    <row r="91" spans="2:9" x14ac:dyDescent="0.25">
      <c r="C91" t="s">
        <v>499</v>
      </c>
      <c r="D91" t="s">
        <v>561</v>
      </c>
      <c r="G91" t="s">
        <v>501</v>
      </c>
      <c r="I91" t="s">
        <v>429</v>
      </c>
    </row>
    <row r="92" spans="2:9" x14ac:dyDescent="0.25">
      <c r="B92" t="s">
        <v>277</v>
      </c>
      <c r="D92" t="s">
        <v>562</v>
      </c>
      <c r="I92" t="s">
        <v>429</v>
      </c>
    </row>
    <row r="93" spans="2:9" x14ac:dyDescent="0.25">
      <c r="C93" t="s">
        <v>445</v>
      </c>
      <c r="D93" t="s">
        <v>563</v>
      </c>
      <c r="G93" t="s">
        <v>447</v>
      </c>
      <c r="I93" t="s">
        <v>429</v>
      </c>
    </row>
    <row r="94" spans="2:9" x14ac:dyDescent="0.25">
      <c r="C94" t="s">
        <v>448</v>
      </c>
      <c r="D94" t="s">
        <v>564</v>
      </c>
      <c r="G94" t="s">
        <v>450</v>
      </c>
      <c r="I94" t="s">
        <v>429</v>
      </c>
    </row>
    <row r="95" spans="2:9" x14ac:dyDescent="0.25">
      <c r="C95" t="s">
        <v>451</v>
      </c>
      <c r="D95" t="s">
        <v>565</v>
      </c>
      <c r="G95" t="s">
        <v>453</v>
      </c>
      <c r="I95" t="s">
        <v>429</v>
      </c>
    </row>
    <row r="96" spans="2:9" x14ac:dyDescent="0.25">
      <c r="C96" t="s">
        <v>454</v>
      </c>
      <c r="D96" t="s">
        <v>566</v>
      </c>
      <c r="G96" t="s">
        <v>456</v>
      </c>
      <c r="I96" t="s">
        <v>429</v>
      </c>
    </row>
    <row r="97" spans="2:9" x14ac:dyDescent="0.25">
      <c r="C97" t="s">
        <v>457</v>
      </c>
      <c r="D97" t="s">
        <v>567</v>
      </c>
      <c r="G97" t="s">
        <v>459</v>
      </c>
      <c r="I97" t="s">
        <v>429</v>
      </c>
    </row>
    <row r="98" spans="2:9" x14ac:dyDescent="0.25">
      <c r="C98" t="s">
        <v>460</v>
      </c>
      <c r="D98" t="s">
        <v>568</v>
      </c>
      <c r="G98" t="s">
        <v>462</v>
      </c>
      <c r="I98" t="s">
        <v>429</v>
      </c>
    </row>
    <row r="99" spans="2:9" x14ac:dyDescent="0.25">
      <c r="C99" t="s">
        <v>463</v>
      </c>
      <c r="D99" t="s">
        <v>569</v>
      </c>
      <c r="G99" t="s">
        <v>465</v>
      </c>
      <c r="I99" t="s">
        <v>429</v>
      </c>
    </row>
    <row r="100" spans="2:9" x14ac:dyDescent="0.25">
      <c r="C100" t="s">
        <v>466</v>
      </c>
      <c r="D100" t="s">
        <v>570</v>
      </c>
      <c r="G100" t="s">
        <v>468</v>
      </c>
      <c r="I100" t="s">
        <v>429</v>
      </c>
    </row>
    <row r="101" spans="2:9" x14ac:dyDescent="0.25">
      <c r="C101" t="s">
        <v>469</v>
      </c>
      <c r="D101" t="s">
        <v>571</v>
      </c>
      <c r="G101" t="s">
        <v>471</v>
      </c>
      <c r="I101" t="s">
        <v>429</v>
      </c>
    </row>
    <row r="102" spans="2:9" x14ac:dyDescent="0.25">
      <c r="C102" t="s">
        <v>472</v>
      </c>
      <c r="D102" t="s">
        <v>572</v>
      </c>
      <c r="G102" t="s">
        <v>474</v>
      </c>
      <c r="I102" t="s">
        <v>429</v>
      </c>
    </row>
    <row r="103" spans="2:9" x14ac:dyDescent="0.25">
      <c r="C103" t="s">
        <v>475</v>
      </c>
      <c r="D103" t="s">
        <v>573</v>
      </c>
      <c r="G103" t="s">
        <v>477</v>
      </c>
      <c r="I103" t="s">
        <v>429</v>
      </c>
    </row>
    <row r="104" spans="2:9" x14ac:dyDescent="0.25">
      <c r="C104" t="s">
        <v>478</v>
      </c>
      <c r="D104" t="s">
        <v>574</v>
      </c>
      <c r="G104" t="s">
        <v>480</v>
      </c>
      <c r="I104" t="s">
        <v>429</v>
      </c>
    </row>
    <row r="105" spans="2:9" x14ac:dyDescent="0.25">
      <c r="C105" t="s">
        <v>481</v>
      </c>
      <c r="D105" t="s">
        <v>575</v>
      </c>
      <c r="G105" t="s">
        <v>483</v>
      </c>
      <c r="I105" t="s">
        <v>429</v>
      </c>
    </row>
    <row r="106" spans="2:9" x14ac:dyDescent="0.25">
      <c r="C106" t="s">
        <v>484</v>
      </c>
      <c r="D106" t="s">
        <v>576</v>
      </c>
      <c r="G106" t="s">
        <v>486</v>
      </c>
      <c r="I106" t="s">
        <v>429</v>
      </c>
    </row>
    <row r="107" spans="2:9" x14ac:dyDescent="0.25">
      <c r="C107" t="s">
        <v>487</v>
      </c>
      <c r="D107" t="s">
        <v>577</v>
      </c>
      <c r="G107" t="s">
        <v>489</v>
      </c>
      <c r="I107" t="s">
        <v>429</v>
      </c>
    </row>
    <row r="108" spans="2:9" x14ac:dyDescent="0.25">
      <c r="C108" t="s">
        <v>490</v>
      </c>
      <c r="D108" t="s">
        <v>578</v>
      </c>
      <c r="G108" t="s">
        <v>492</v>
      </c>
      <c r="I108" t="s">
        <v>429</v>
      </c>
    </row>
    <row r="109" spans="2:9" x14ac:dyDescent="0.25">
      <c r="C109" t="s">
        <v>493</v>
      </c>
      <c r="D109" t="s">
        <v>579</v>
      </c>
      <c r="G109" t="s">
        <v>495</v>
      </c>
      <c r="I109" t="s">
        <v>429</v>
      </c>
    </row>
    <row r="110" spans="2:9" x14ac:dyDescent="0.25">
      <c r="C110" t="s">
        <v>496</v>
      </c>
      <c r="D110" t="s">
        <v>580</v>
      </c>
      <c r="G110" t="s">
        <v>498</v>
      </c>
      <c r="I110" t="s">
        <v>429</v>
      </c>
    </row>
    <row r="111" spans="2:9" x14ac:dyDescent="0.25">
      <c r="C111" t="s">
        <v>499</v>
      </c>
      <c r="D111" t="s">
        <v>581</v>
      </c>
      <c r="G111" t="s">
        <v>501</v>
      </c>
      <c r="I111" t="s">
        <v>429</v>
      </c>
    </row>
    <row r="112" spans="2:9" x14ac:dyDescent="0.25">
      <c r="B112" t="s">
        <v>278</v>
      </c>
      <c r="D112" t="s">
        <v>582</v>
      </c>
      <c r="I112" t="s">
        <v>429</v>
      </c>
    </row>
    <row r="113" spans="3:9" x14ac:dyDescent="0.25">
      <c r="C113" t="s">
        <v>445</v>
      </c>
      <c r="D113" t="s">
        <v>583</v>
      </c>
      <c r="G113" t="s">
        <v>447</v>
      </c>
      <c r="I113" t="s">
        <v>429</v>
      </c>
    </row>
    <row r="114" spans="3:9" x14ac:dyDescent="0.25">
      <c r="C114" t="s">
        <v>448</v>
      </c>
      <c r="D114" t="s">
        <v>584</v>
      </c>
      <c r="G114" t="s">
        <v>450</v>
      </c>
      <c r="I114" t="s">
        <v>429</v>
      </c>
    </row>
    <row r="115" spans="3:9" x14ac:dyDescent="0.25">
      <c r="C115" t="s">
        <v>451</v>
      </c>
      <c r="D115" t="s">
        <v>585</v>
      </c>
      <c r="G115" t="s">
        <v>453</v>
      </c>
      <c r="I115" t="s">
        <v>429</v>
      </c>
    </row>
    <row r="116" spans="3:9" x14ac:dyDescent="0.25">
      <c r="C116" t="s">
        <v>454</v>
      </c>
      <c r="D116" t="s">
        <v>586</v>
      </c>
      <c r="G116" t="s">
        <v>456</v>
      </c>
      <c r="I116" t="s">
        <v>429</v>
      </c>
    </row>
    <row r="117" spans="3:9" x14ac:dyDescent="0.25">
      <c r="C117" t="s">
        <v>457</v>
      </c>
      <c r="D117" t="s">
        <v>587</v>
      </c>
      <c r="G117" t="s">
        <v>459</v>
      </c>
      <c r="I117" t="s">
        <v>429</v>
      </c>
    </row>
    <row r="118" spans="3:9" x14ac:dyDescent="0.25">
      <c r="C118" t="s">
        <v>460</v>
      </c>
      <c r="D118" t="s">
        <v>588</v>
      </c>
      <c r="G118" t="s">
        <v>462</v>
      </c>
      <c r="I118" t="s">
        <v>429</v>
      </c>
    </row>
    <row r="119" spans="3:9" x14ac:dyDescent="0.25">
      <c r="C119" t="s">
        <v>463</v>
      </c>
      <c r="D119" t="s">
        <v>589</v>
      </c>
      <c r="G119" t="s">
        <v>465</v>
      </c>
      <c r="I119" t="s">
        <v>429</v>
      </c>
    </row>
    <row r="120" spans="3:9" x14ac:dyDescent="0.25">
      <c r="C120" t="s">
        <v>466</v>
      </c>
      <c r="D120" t="s">
        <v>590</v>
      </c>
      <c r="G120" t="s">
        <v>468</v>
      </c>
      <c r="I120" t="s">
        <v>429</v>
      </c>
    </row>
    <row r="121" spans="3:9" x14ac:dyDescent="0.25">
      <c r="C121" t="s">
        <v>469</v>
      </c>
      <c r="D121" t="s">
        <v>591</v>
      </c>
      <c r="G121" t="s">
        <v>471</v>
      </c>
      <c r="I121" t="s">
        <v>429</v>
      </c>
    </row>
    <row r="122" spans="3:9" x14ac:dyDescent="0.25">
      <c r="C122" t="s">
        <v>472</v>
      </c>
      <c r="D122" t="s">
        <v>592</v>
      </c>
      <c r="G122" t="s">
        <v>474</v>
      </c>
      <c r="I122" t="s">
        <v>429</v>
      </c>
    </row>
    <row r="123" spans="3:9" x14ac:dyDescent="0.25">
      <c r="C123" t="s">
        <v>475</v>
      </c>
      <c r="D123" t="s">
        <v>593</v>
      </c>
      <c r="G123" t="s">
        <v>477</v>
      </c>
      <c r="I123" t="s">
        <v>429</v>
      </c>
    </row>
    <row r="124" spans="3:9" x14ac:dyDescent="0.25">
      <c r="C124" t="s">
        <v>478</v>
      </c>
      <c r="D124" t="s">
        <v>594</v>
      </c>
      <c r="G124" t="s">
        <v>480</v>
      </c>
      <c r="I124" t="s">
        <v>429</v>
      </c>
    </row>
    <row r="125" spans="3:9" x14ac:dyDescent="0.25">
      <c r="C125" t="s">
        <v>481</v>
      </c>
      <c r="D125" t="s">
        <v>595</v>
      </c>
      <c r="G125" t="s">
        <v>483</v>
      </c>
      <c r="I125" t="s">
        <v>429</v>
      </c>
    </row>
    <row r="126" spans="3:9" x14ac:dyDescent="0.25">
      <c r="C126" t="s">
        <v>484</v>
      </c>
      <c r="D126" t="s">
        <v>596</v>
      </c>
      <c r="G126" t="s">
        <v>486</v>
      </c>
      <c r="I126" t="s">
        <v>429</v>
      </c>
    </row>
    <row r="127" spans="3:9" x14ac:dyDescent="0.25">
      <c r="C127" t="s">
        <v>487</v>
      </c>
      <c r="D127" t="s">
        <v>597</v>
      </c>
      <c r="G127" t="s">
        <v>489</v>
      </c>
      <c r="I127" t="s">
        <v>429</v>
      </c>
    </row>
    <row r="128" spans="3:9" x14ac:dyDescent="0.25">
      <c r="C128" t="s">
        <v>490</v>
      </c>
      <c r="D128" t="s">
        <v>598</v>
      </c>
      <c r="G128" t="s">
        <v>492</v>
      </c>
      <c r="I128" t="s">
        <v>429</v>
      </c>
    </row>
    <row r="129" spans="2:9" x14ac:dyDescent="0.25">
      <c r="C129" t="s">
        <v>493</v>
      </c>
      <c r="D129" t="s">
        <v>599</v>
      </c>
      <c r="G129" t="s">
        <v>495</v>
      </c>
      <c r="I129" t="s">
        <v>429</v>
      </c>
    </row>
    <row r="130" spans="2:9" x14ac:dyDescent="0.25">
      <c r="C130" t="s">
        <v>496</v>
      </c>
      <c r="D130" t="s">
        <v>600</v>
      </c>
      <c r="G130" t="s">
        <v>498</v>
      </c>
      <c r="I130" t="s">
        <v>429</v>
      </c>
    </row>
    <row r="131" spans="2:9" x14ac:dyDescent="0.25">
      <c r="C131" t="s">
        <v>499</v>
      </c>
      <c r="D131" t="s">
        <v>601</v>
      </c>
      <c r="G131" t="s">
        <v>501</v>
      </c>
      <c r="I131" t="s">
        <v>429</v>
      </c>
    </row>
    <row r="132" spans="2:9" x14ac:dyDescent="0.25">
      <c r="B132" t="s">
        <v>279</v>
      </c>
      <c r="D132" t="s">
        <v>602</v>
      </c>
      <c r="I132" t="s">
        <v>429</v>
      </c>
    </row>
    <row r="133" spans="2:9" x14ac:dyDescent="0.25">
      <c r="C133" t="s">
        <v>445</v>
      </c>
      <c r="D133" t="s">
        <v>603</v>
      </c>
      <c r="G133" t="s">
        <v>447</v>
      </c>
      <c r="I133" t="s">
        <v>429</v>
      </c>
    </row>
    <row r="134" spans="2:9" x14ac:dyDescent="0.25">
      <c r="C134" t="s">
        <v>448</v>
      </c>
      <c r="D134" t="s">
        <v>604</v>
      </c>
      <c r="G134" t="s">
        <v>450</v>
      </c>
      <c r="I134" t="s">
        <v>429</v>
      </c>
    </row>
    <row r="135" spans="2:9" x14ac:dyDescent="0.25">
      <c r="C135" t="s">
        <v>451</v>
      </c>
      <c r="D135" t="s">
        <v>605</v>
      </c>
      <c r="G135" t="s">
        <v>453</v>
      </c>
      <c r="I135" t="s">
        <v>429</v>
      </c>
    </row>
    <row r="136" spans="2:9" x14ac:dyDescent="0.25">
      <c r="C136" t="s">
        <v>454</v>
      </c>
      <c r="D136" t="s">
        <v>606</v>
      </c>
      <c r="G136" t="s">
        <v>456</v>
      </c>
      <c r="I136" t="s">
        <v>429</v>
      </c>
    </row>
    <row r="137" spans="2:9" x14ac:dyDescent="0.25">
      <c r="C137" t="s">
        <v>457</v>
      </c>
      <c r="D137" t="s">
        <v>607</v>
      </c>
      <c r="G137" t="s">
        <v>459</v>
      </c>
      <c r="I137" t="s">
        <v>429</v>
      </c>
    </row>
    <row r="138" spans="2:9" x14ac:dyDescent="0.25">
      <c r="C138" t="s">
        <v>460</v>
      </c>
      <c r="D138" t="s">
        <v>608</v>
      </c>
      <c r="G138" t="s">
        <v>462</v>
      </c>
      <c r="I138" t="s">
        <v>429</v>
      </c>
    </row>
    <row r="139" spans="2:9" x14ac:dyDescent="0.25">
      <c r="C139" t="s">
        <v>463</v>
      </c>
      <c r="D139" t="s">
        <v>609</v>
      </c>
      <c r="G139" t="s">
        <v>465</v>
      </c>
      <c r="I139" t="s">
        <v>429</v>
      </c>
    </row>
    <row r="140" spans="2:9" x14ac:dyDescent="0.25">
      <c r="C140" t="s">
        <v>466</v>
      </c>
      <c r="D140" t="s">
        <v>610</v>
      </c>
      <c r="G140" t="s">
        <v>468</v>
      </c>
      <c r="I140" t="s">
        <v>429</v>
      </c>
    </row>
    <row r="141" spans="2:9" x14ac:dyDescent="0.25">
      <c r="C141" t="s">
        <v>469</v>
      </c>
      <c r="D141" t="s">
        <v>611</v>
      </c>
      <c r="G141" t="s">
        <v>471</v>
      </c>
      <c r="I141" t="s">
        <v>429</v>
      </c>
    </row>
    <row r="142" spans="2:9" x14ac:dyDescent="0.25">
      <c r="C142" t="s">
        <v>472</v>
      </c>
      <c r="D142" t="s">
        <v>612</v>
      </c>
      <c r="G142" t="s">
        <v>474</v>
      </c>
      <c r="I142" t="s">
        <v>429</v>
      </c>
    </row>
    <row r="143" spans="2:9" x14ac:dyDescent="0.25">
      <c r="C143" t="s">
        <v>475</v>
      </c>
      <c r="D143" t="s">
        <v>613</v>
      </c>
      <c r="G143" t="s">
        <v>477</v>
      </c>
      <c r="I143" t="s">
        <v>429</v>
      </c>
    </row>
    <row r="144" spans="2:9" x14ac:dyDescent="0.25">
      <c r="C144" t="s">
        <v>478</v>
      </c>
      <c r="D144" t="s">
        <v>614</v>
      </c>
      <c r="G144" t="s">
        <v>480</v>
      </c>
      <c r="I144" t="s">
        <v>429</v>
      </c>
    </row>
    <row r="145" spans="2:9" x14ac:dyDescent="0.25">
      <c r="C145" t="s">
        <v>481</v>
      </c>
      <c r="D145" t="s">
        <v>615</v>
      </c>
      <c r="G145" t="s">
        <v>483</v>
      </c>
      <c r="I145" t="s">
        <v>429</v>
      </c>
    </row>
    <row r="146" spans="2:9" x14ac:dyDescent="0.25">
      <c r="C146" t="s">
        <v>484</v>
      </c>
      <c r="D146" t="s">
        <v>616</v>
      </c>
      <c r="G146" t="s">
        <v>486</v>
      </c>
      <c r="I146" t="s">
        <v>429</v>
      </c>
    </row>
    <row r="147" spans="2:9" x14ac:dyDescent="0.25">
      <c r="C147" t="s">
        <v>487</v>
      </c>
      <c r="D147" t="s">
        <v>617</v>
      </c>
      <c r="G147" t="s">
        <v>489</v>
      </c>
      <c r="I147" t="s">
        <v>429</v>
      </c>
    </row>
    <row r="148" spans="2:9" x14ac:dyDescent="0.25">
      <c r="C148" t="s">
        <v>490</v>
      </c>
      <c r="D148" t="s">
        <v>618</v>
      </c>
      <c r="G148" t="s">
        <v>492</v>
      </c>
      <c r="I148" t="s">
        <v>429</v>
      </c>
    </row>
    <row r="149" spans="2:9" x14ac:dyDescent="0.25">
      <c r="C149" t="s">
        <v>493</v>
      </c>
      <c r="D149" t="s">
        <v>619</v>
      </c>
      <c r="G149" t="s">
        <v>495</v>
      </c>
      <c r="I149" t="s">
        <v>429</v>
      </c>
    </row>
    <row r="150" spans="2:9" x14ac:dyDescent="0.25">
      <c r="C150" t="s">
        <v>496</v>
      </c>
      <c r="D150" t="s">
        <v>620</v>
      </c>
      <c r="G150" t="s">
        <v>498</v>
      </c>
      <c r="I150" t="s">
        <v>429</v>
      </c>
    </row>
    <row r="151" spans="2:9" x14ac:dyDescent="0.25">
      <c r="C151" t="s">
        <v>499</v>
      </c>
      <c r="D151" t="s">
        <v>621</v>
      </c>
      <c r="G151" t="s">
        <v>501</v>
      </c>
      <c r="I151" t="s">
        <v>429</v>
      </c>
    </row>
    <row r="152" spans="2:9" x14ac:dyDescent="0.25">
      <c r="B152" t="s">
        <v>280</v>
      </c>
      <c r="D152" t="s">
        <v>622</v>
      </c>
      <c r="I152" t="s">
        <v>429</v>
      </c>
    </row>
    <row r="153" spans="2:9" x14ac:dyDescent="0.25">
      <c r="C153" t="s">
        <v>445</v>
      </c>
      <c r="D153" t="s">
        <v>623</v>
      </c>
      <c r="G153" t="s">
        <v>447</v>
      </c>
      <c r="I153" t="s">
        <v>429</v>
      </c>
    </row>
    <row r="154" spans="2:9" x14ac:dyDescent="0.25">
      <c r="C154" t="s">
        <v>448</v>
      </c>
      <c r="D154" t="s">
        <v>624</v>
      </c>
      <c r="G154" t="s">
        <v>450</v>
      </c>
      <c r="I154" t="s">
        <v>429</v>
      </c>
    </row>
    <row r="155" spans="2:9" x14ac:dyDescent="0.25">
      <c r="C155" t="s">
        <v>451</v>
      </c>
      <c r="D155" t="s">
        <v>625</v>
      </c>
      <c r="G155" t="s">
        <v>453</v>
      </c>
      <c r="I155" t="s">
        <v>429</v>
      </c>
    </row>
    <row r="156" spans="2:9" x14ac:dyDescent="0.25">
      <c r="C156" t="s">
        <v>454</v>
      </c>
      <c r="D156" t="s">
        <v>626</v>
      </c>
      <c r="G156" t="s">
        <v>456</v>
      </c>
      <c r="I156" t="s">
        <v>429</v>
      </c>
    </row>
    <row r="157" spans="2:9" x14ac:dyDescent="0.25">
      <c r="C157" t="s">
        <v>457</v>
      </c>
      <c r="D157" t="s">
        <v>627</v>
      </c>
      <c r="G157" t="s">
        <v>459</v>
      </c>
      <c r="I157" t="s">
        <v>429</v>
      </c>
    </row>
    <row r="158" spans="2:9" x14ac:dyDescent="0.25">
      <c r="C158" t="s">
        <v>460</v>
      </c>
      <c r="D158" t="s">
        <v>628</v>
      </c>
      <c r="G158" t="s">
        <v>462</v>
      </c>
      <c r="I158" t="s">
        <v>429</v>
      </c>
    </row>
    <row r="159" spans="2:9" x14ac:dyDescent="0.25">
      <c r="C159" t="s">
        <v>463</v>
      </c>
      <c r="D159" t="s">
        <v>629</v>
      </c>
      <c r="G159" t="s">
        <v>465</v>
      </c>
      <c r="I159" t="s">
        <v>429</v>
      </c>
    </row>
    <row r="160" spans="2:9" x14ac:dyDescent="0.25">
      <c r="C160" t="s">
        <v>466</v>
      </c>
      <c r="D160" t="s">
        <v>630</v>
      </c>
      <c r="G160" t="s">
        <v>468</v>
      </c>
      <c r="I160" t="s">
        <v>429</v>
      </c>
    </row>
    <row r="161" spans="1:9" x14ac:dyDescent="0.25">
      <c r="C161" t="s">
        <v>469</v>
      </c>
      <c r="D161" t="s">
        <v>631</v>
      </c>
      <c r="G161" t="s">
        <v>471</v>
      </c>
      <c r="I161" t="s">
        <v>429</v>
      </c>
    </row>
    <row r="162" spans="1:9" x14ac:dyDescent="0.25">
      <c r="C162" t="s">
        <v>472</v>
      </c>
      <c r="D162" t="s">
        <v>632</v>
      </c>
      <c r="G162" t="s">
        <v>474</v>
      </c>
      <c r="I162" t="s">
        <v>429</v>
      </c>
    </row>
    <row r="163" spans="1:9" x14ac:dyDescent="0.25">
      <c r="C163" t="s">
        <v>475</v>
      </c>
      <c r="D163" t="s">
        <v>633</v>
      </c>
      <c r="G163" t="s">
        <v>477</v>
      </c>
      <c r="I163" t="s">
        <v>429</v>
      </c>
    </row>
    <row r="164" spans="1:9" x14ac:dyDescent="0.25">
      <c r="C164" t="s">
        <v>478</v>
      </c>
      <c r="D164" t="s">
        <v>634</v>
      </c>
      <c r="G164" t="s">
        <v>480</v>
      </c>
      <c r="I164" t="s">
        <v>429</v>
      </c>
    </row>
    <row r="165" spans="1:9" x14ac:dyDescent="0.25">
      <c r="C165" t="s">
        <v>481</v>
      </c>
      <c r="D165" t="s">
        <v>635</v>
      </c>
      <c r="G165" t="s">
        <v>483</v>
      </c>
      <c r="I165" t="s">
        <v>429</v>
      </c>
    </row>
    <row r="166" spans="1:9" x14ac:dyDescent="0.25">
      <c r="C166" t="s">
        <v>484</v>
      </c>
      <c r="D166" t="s">
        <v>636</v>
      </c>
      <c r="G166" t="s">
        <v>486</v>
      </c>
      <c r="I166" t="s">
        <v>429</v>
      </c>
    </row>
    <row r="167" spans="1:9" x14ac:dyDescent="0.25">
      <c r="C167" t="s">
        <v>487</v>
      </c>
      <c r="D167" t="s">
        <v>637</v>
      </c>
      <c r="G167" t="s">
        <v>489</v>
      </c>
      <c r="I167" t="s">
        <v>429</v>
      </c>
    </row>
    <row r="168" spans="1:9" x14ac:dyDescent="0.25">
      <c r="C168" t="s">
        <v>490</v>
      </c>
      <c r="D168" t="s">
        <v>638</v>
      </c>
      <c r="G168" t="s">
        <v>492</v>
      </c>
      <c r="I168" t="s">
        <v>429</v>
      </c>
    </row>
    <row r="169" spans="1:9" x14ac:dyDescent="0.25">
      <c r="C169" t="s">
        <v>493</v>
      </c>
      <c r="D169" t="s">
        <v>639</v>
      </c>
      <c r="G169" t="s">
        <v>495</v>
      </c>
      <c r="I169" t="s">
        <v>429</v>
      </c>
    </row>
    <row r="170" spans="1:9" x14ac:dyDescent="0.25">
      <c r="C170" t="s">
        <v>496</v>
      </c>
      <c r="D170" t="s">
        <v>640</v>
      </c>
      <c r="G170" t="s">
        <v>498</v>
      </c>
      <c r="I170" t="s">
        <v>429</v>
      </c>
    </row>
    <row r="171" spans="1:9" x14ac:dyDescent="0.25">
      <c r="C171" t="s">
        <v>499</v>
      </c>
      <c r="D171" t="s">
        <v>641</v>
      </c>
      <c r="G171" t="s">
        <v>501</v>
      </c>
      <c r="I171" t="s">
        <v>429</v>
      </c>
    </row>
    <row r="172" spans="1:9" x14ac:dyDescent="0.25">
      <c r="D172" t="s">
        <v>642</v>
      </c>
      <c r="I172" t="s">
        <v>429</v>
      </c>
    </row>
    <row r="173" spans="1:9" x14ac:dyDescent="0.25">
      <c r="A173" t="s">
        <v>21</v>
      </c>
      <c r="D173" t="s">
        <v>643</v>
      </c>
      <c r="I173" t="s">
        <v>429</v>
      </c>
    </row>
    <row r="174" spans="1:9" x14ac:dyDescent="0.25">
      <c r="B174" t="s">
        <v>255</v>
      </c>
      <c r="D174" t="s">
        <v>644</v>
      </c>
      <c r="I174" t="s">
        <v>429</v>
      </c>
    </row>
    <row r="175" spans="1:9" x14ac:dyDescent="0.25">
      <c r="C175" t="s">
        <v>645</v>
      </c>
      <c r="D175" t="s">
        <v>646</v>
      </c>
      <c r="G175" t="s">
        <v>647</v>
      </c>
      <c r="I175" t="s">
        <v>429</v>
      </c>
    </row>
    <row r="176" spans="1:9" x14ac:dyDescent="0.25">
      <c r="C176" t="s">
        <v>648</v>
      </c>
      <c r="D176" t="s">
        <v>649</v>
      </c>
      <c r="G176" t="s">
        <v>650</v>
      </c>
      <c r="I176" t="s">
        <v>429</v>
      </c>
    </row>
    <row r="177" spans="3:9" x14ac:dyDescent="0.25">
      <c r="C177" t="s">
        <v>651</v>
      </c>
      <c r="D177" t="s">
        <v>652</v>
      </c>
      <c r="G177" t="s">
        <v>653</v>
      </c>
      <c r="I177" t="s">
        <v>429</v>
      </c>
    </row>
    <row r="178" spans="3:9" x14ac:dyDescent="0.25">
      <c r="C178" t="s">
        <v>654</v>
      </c>
      <c r="D178" t="s">
        <v>655</v>
      </c>
      <c r="G178" t="s">
        <v>656</v>
      </c>
      <c r="I178" t="s">
        <v>429</v>
      </c>
    </row>
    <row r="179" spans="3:9" x14ac:dyDescent="0.25">
      <c r="C179" t="s">
        <v>657</v>
      </c>
      <c r="D179" t="s">
        <v>658</v>
      </c>
      <c r="G179" t="s">
        <v>659</v>
      </c>
      <c r="I179" t="s">
        <v>429</v>
      </c>
    </row>
    <row r="180" spans="3:9" x14ac:dyDescent="0.25">
      <c r="C180" t="s">
        <v>660</v>
      </c>
      <c r="D180" t="s">
        <v>661</v>
      </c>
      <c r="G180" t="s">
        <v>662</v>
      </c>
      <c r="I180" t="s">
        <v>429</v>
      </c>
    </row>
    <row r="181" spans="3:9" x14ac:dyDescent="0.25">
      <c r="C181" t="s">
        <v>663</v>
      </c>
      <c r="D181" t="s">
        <v>664</v>
      </c>
      <c r="G181" t="s">
        <v>665</v>
      </c>
      <c r="I181" t="s">
        <v>429</v>
      </c>
    </row>
    <row r="182" spans="3:9" x14ac:dyDescent="0.25">
      <c r="C182" t="s">
        <v>666</v>
      </c>
      <c r="D182" t="s">
        <v>667</v>
      </c>
      <c r="G182" t="s">
        <v>668</v>
      </c>
      <c r="I182" t="s">
        <v>429</v>
      </c>
    </row>
    <row r="183" spans="3:9" x14ac:dyDescent="0.25">
      <c r="C183" t="s">
        <v>669</v>
      </c>
      <c r="D183" t="s">
        <v>670</v>
      </c>
      <c r="G183" t="s">
        <v>671</v>
      </c>
      <c r="I183" t="s">
        <v>429</v>
      </c>
    </row>
    <row r="184" spans="3:9" x14ac:dyDescent="0.25">
      <c r="C184" t="s">
        <v>672</v>
      </c>
      <c r="D184" t="s">
        <v>673</v>
      </c>
      <c r="G184" t="s">
        <v>674</v>
      </c>
      <c r="I184" t="s">
        <v>429</v>
      </c>
    </row>
    <row r="185" spans="3:9" x14ac:dyDescent="0.25">
      <c r="C185" t="s">
        <v>675</v>
      </c>
      <c r="D185" t="s">
        <v>676</v>
      </c>
      <c r="G185" t="s">
        <v>677</v>
      </c>
      <c r="I185" t="s">
        <v>429</v>
      </c>
    </row>
    <row r="186" spans="3:9" x14ac:dyDescent="0.25">
      <c r="C186" t="s">
        <v>678</v>
      </c>
      <c r="D186" t="s">
        <v>679</v>
      </c>
      <c r="G186" t="s">
        <v>680</v>
      </c>
      <c r="I186" t="s">
        <v>429</v>
      </c>
    </row>
    <row r="187" spans="3:9" x14ac:dyDescent="0.25">
      <c r="C187" t="s">
        <v>681</v>
      </c>
      <c r="D187" t="s">
        <v>682</v>
      </c>
      <c r="G187" t="s">
        <v>683</v>
      </c>
      <c r="I187" t="s">
        <v>429</v>
      </c>
    </row>
    <row r="188" spans="3:9" x14ac:dyDescent="0.25">
      <c r="C188" t="s">
        <v>684</v>
      </c>
      <c r="D188" t="s">
        <v>685</v>
      </c>
      <c r="G188" t="s">
        <v>686</v>
      </c>
      <c r="I188" t="s">
        <v>429</v>
      </c>
    </row>
    <row r="189" spans="3:9" x14ac:dyDescent="0.25">
      <c r="C189" t="s">
        <v>687</v>
      </c>
      <c r="D189" t="s">
        <v>688</v>
      </c>
      <c r="G189" t="s">
        <v>689</v>
      </c>
      <c r="I189" t="s">
        <v>429</v>
      </c>
    </row>
    <row r="190" spans="3:9" x14ac:dyDescent="0.25">
      <c r="C190" t="s">
        <v>690</v>
      </c>
      <c r="D190" t="s">
        <v>691</v>
      </c>
      <c r="G190" t="s">
        <v>692</v>
      </c>
      <c r="I190" t="s">
        <v>429</v>
      </c>
    </row>
    <row r="191" spans="3:9" x14ac:dyDescent="0.25">
      <c r="C191" t="s">
        <v>693</v>
      </c>
      <c r="D191" t="s">
        <v>694</v>
      </c>
      <c r="G191" t="s">
        <v>695</v>
      </c>
      <c r="I191" t="s">
        <v>429</v>
      </c>
    </row>
    <row r="192" spans="3:9" x14ac:dyDescent="0.25">
      <c r="C192" t="s">
        <v>696</v>
      </c>
      <c r="D192" t="s">
        <v>697</v>
      </c>
      <c r="G192" t="s">
        <v>698</v>
      </c>
      <c r="I192" t="s">
        <v>429</v>
      </c>
    </row>
    <row r="193" spans="2:9" x14ac:dyDescent="0.25">
      <c r="C193" t="s">
        <v>699</v>
      </c>
      <c r="D193" t="s">
        <v>700</v>
      </c>
      <c r="G193" t="s">
        <v>701</v>
      </c>
      <c r="I193" t="s">
        <v>429</v>
      </c>
    </row>
    <row r="194" spans="2:9" x14ac:dyDescent="0.25">
      <c r="C194" t="s">
        <v>702</v>
      </c>
      <c r="D194" t="s">
        <v>703</v>
      </c>
      <c r="G194" t="s">
        <v>704</v>
      </c>
      <c r="I194" t="s">
        <v>429</v>
      </c>
    </row>
    <row r="195" spans="2:9" x14ac:dyDescent="0.25">
      <c r="C195" t="s">
        <v>705</v>
      </c>
      <c r="D195" t="s">
        <v>706</v>
      </c>
      <c r="G195" t="s">
        <v>707</v>
      </c>
      <c r="I195" t="s">
        <v>429</v>
      </c>
    </row>
    <row r="196" spans="2:9" x14ac:dyDescent="0.25">
      <c r="C196" t="s">
        <v>708</v>
      </c>
      <c r="D196" t="s">
        <v>709</v>
      </c>
      <c r="G196" t="s">
        <v>710</v>
      </c>
      <c r="I196" t="s">
        <v>429</v>
      </c>
    </row>
    <row r="197" spans="2:9" x14ac:dyDescent="0.25">
      <c r="C197" t="s">
        <v>711</v>
      </c>
      <c r="D197" t="s">
        <v>712</v>
      </c>
      <c r="G197" t="s">
        <v>713</v>
      </c>
      <c r="I197" t="s">
        <v>429</v>
      </c>
    </row>
    <row r="198" spans="2:9" x14ac:dyDescent="0.25">
      <c r="B198" t="s">
        <v>286</v>
      </c>
      <c r="D198" t="s">
        <v>714</v>
      </c>
      <c r="I198" t="s">
        <v>429</v>
      </c>
    </row>
    <row r="199" spans="2:9" x14ac:dyDescent="0.25">
      <c r="C199" t="s">
        <v>657</v>
      </c>
      <c r="D199" t="s">
        <v>715</v>
      </c>
      <c r="G199" t="s">
        <v>659</v>
      </c>
      <c r="I199" t="s">
        <v>429</v>
      </c>
    </row>
    <row r="200" spans="2:9" x14ac:dyDescent="0.25">
      <c r="C200" t="s">
        <v>645</v>
      </c>
      <c r="D200" t="s">
        <v>716</v>
      </c>
      <c r="G200" t="s">
        <v>647</v>
      </c>
      <c r="I200" t="s">
        <v>429</v>
      </c>
    </row>
    <row r="201" spans="2:9" x14ac:dyDescent="0.25">
      <c r="C201" t="s">
        <v>648</v>
      </c>
      <c r="D201" t="s">
        <v>717</v>
      </c>
      <c r="G201" t="s">
        <v>650</v>
      </c>
      <c r="I201" t="s">
        <v>429</v>
      </c>
    </row>
    <row r="202" spans="2:9" x14ac:dyDescent="0.25">
      <c r="C202" t="s">
        <v>651</v>
      </c>
      <c r="D202" t="s">
        <v>718</v>
      </c>
      <c r="G202" t="s">
        <v>653</v>
      </c>
      <c r="I202" t="s">
        <v>429</v>
      </c>
    </row>
    <row r="203" spans="2:9" x14ac:dyDescent="0.25">
      <c r="C203" t="s">
        <v>654</v>
      </c>
      <c r="D203" t="s">
        <v>719</v>
      </c>
      <c r="G203" t="s">
        <v>656</v>
      </c>
      <c r="I203" t="s">
        <v>429</v>
      </c>
    </row>
    <row r="204" spans="2:9" x14ac:dyDescent="0.25">
      <c r="C204" t="s">
        <v>660</v>
      </c>
      <c r="D204" t="s">
        <v>720</v>
      </c>
      <c r="G204" t="s">
        <v>662</v>
      </c>
      <c r="I204" t="s">
        <v>429</v>
      </c>
    </row>
    <row r="205" spans="2:9" x14ac:dyDescent="0.25">
      <c r="C205" t="s">
        <v>663</v>
      </c>
      <c r="D205" t="s">
        <v>721</v>
      </c>
      <c r="G205" t="s">
        <v>665</v>
      </c>
      <c r="I205" t="s">
        <v>429</v>
      </c>
    </row>
    <row r="206" spans="2:9" x14ac:dyDescent="0.25">
      <c r="C206" t="s">
        <v>666</v>
      </c>
      <c r="D206" t="s">
        <v>722</v>
      </c>
      <c r="G206" t="s">
        <v>668</v>
      </c>
      <c r="I206" t="s">
        <v>429</v>
      </c>
    </row>
    <row r="207" spans="2:9" x14ac:dyDescent="0.25">
      <c r="C207" t="s">
        <v>669</v>
      </c>
      <c r="D207" t="s">
        <v>723</v>
      </c>
      <c r="G207" t="s">
        <v>671</v>
      </c>
      <c r="I207" t="s">
        <v>429</v>
      </c>
    </row>
    <row r="208" spans="2:9" x14ac:dyDescent="0.25">
      <c r="C208" t="s">
        <v>672</v>
      </c>
      <c r="D208" t="s">
        <v>724</v>
      </c>
      <c r="G208" t="s">
        <v>674</v>
      </c>
      <c r="I208" t="s">
        <v>429</v>
      </c>
    </row>
    <row r="209" spans="2:9" x14ac:dyDescent="0.25">
      <c r="C209" t="s">
        <v>675</v>
      </c>
      <c r="D209" t="s">
        <v>725</v>
      </c>
      <c r="G209" t="s">
        <v>677</v>
      </c>
      <c r="I209" t="s">
        <v>429</v>
      </c>
    </row>
    <row r="210" spans="2:9" x14ac:dyDescent="0.25">
      <c r="C210" t="s">
        <v>678</v>
      </c>
      <c r="D210" t="s">
        <v>726</v>
      </c>
      <c r="G210" t="s">
        <v>680</v>
      </c>
      <c r="I210" t="s">
        <v>429</v>
      </c>
    </row>
    <row r="211" spans="2:9" x14ac:dyDescent="0.25">
      <c r="C211" t="s">
        <v>681</v>
      </c>
      <c r="D211" t="s">
        <v>727</v>
      </c>
      <c r="G211" t="s">
        <v>683</v>
      </c>
      <c r="I211" t="s">
        <v>429</v>
      </c>
    </row>
    <row r="212" spans="2:9" x14ac:dyDescent="0.25">
      <c r="C212" t="s">
        <v>684</v>
      </c>
      <c r="D212" t="s">
        <v>728</v>
      </c>
      <c r="G212" t="s">
        <v>686</v>
      </c>
      <c r="I212" t="s">
        <v>429</v>
      </c>
    </row>
    <row r="213" spans="2:9" x14ac:dyDescent="0.25">
      <c r="C213" t="s">
        <v>687</v>
      </c>
      <c r="D213" t="s">
        <v>729</v>
      </c>
      <c r="G213" t="s">
        <v>689</v>
      </c>
      <c r="I213" t="s">
        <v>429</v>
      </c>
    </row>
    <row r="214" spans="2:9" x14ac:dyDescent="0.25">
      <c r="C214" t="s">
        <v>690</v>
      </c>
      <c r="D214" t="s">
        <v>730</v>
      </c>
      <c r="G214" t="s">
        <v>692</v>
      </c>
      <c r="I214" t="s">
        <v>429</v>
      </c>
    </row>
    <row r="215" spans="2:9" x14ac:dyDescent="0.25">
      <c r="C215" t="s">
        <v>693</v>
      </c>
      <c r="D215" t="s">
        <v>731</v>
      </c>
      <c r="G215" t="s">
        <v>695</v>
      </c>
      <c r="I215" t="s">
        <v>429</v>
      </c>
    </row>
    <row r="216" spans="2:9" x14ac:dyDescent="0.25">
      <c r="C216" t="s">
        <v>696</v>
      </c>
      <c r="D216" t="s">
        <v>732</v>
      </c>
      <c r="G216" t="s">
        <v>698</v>
      </c>
      <c r="I216" t="s">
        <v>429</v>
      </c>
    </row>
    <row r="217" spans="2:9" x14ac:dyDescent="0.25">
      <c r="C217" t="s">
        <v>699</v>
      </c>
      <c r="D217" t="s">
        <v>733</v>
      </c>
      <c r="G217" t="s">
        <v>701</v>
      </c>
      <c r="I217" t="s">
        <v>429</v>
      </c>
    </row>
    <row r="218" spans="2:9" x14ac:dyDescent="0.25">
      <c r="C218" t="s">
        <v>702</v>
      </c>
      <c r="D218" t="s">
        <v>734</v>
      </c>
      <c r="G218" t="s">
        <v>704</v>
      </c>
      <c r="I218" t="s">
        <v>429</v>
      </c>
    </row>
    <row r="219" spans="2:9" x14ac:dyDescent="0.25">
      <c r="C219" t="s">
        <v>705</v>
      </c>
      <c r="D219" t="s">
        <v>735</v>
      </c>
      <c r="G219" t="s">
        <v>707</v>
      </c>
      <c r="I219" t="s">
        <v>429</v>
      </c>
    </row>
    <row r="220" spans="2:9" x14ac:dyDescent="0.25">
      <c r="C220" t="s">
        <v>708</v>
      </c>
      <c r="D220" t="s">
        <v>736</v>
      </c>
      <c r="G220" t="s">
        <v>710</v>
      </c>
      <c r="I220" t="s">
        <v>429</v>
      </c>
    </row>
    <row r="221" spans="2:9" x14ac:dyDescent="0.25">
      <c r="C221" t="s">
        <v>711</v>
      </c>
      <c r="D221" t="s">
        <v>737</v>
      </c>
      <c r="G221" t="s">
        <v>713</v>
      </c>
      <c r="I221" t="s">
        <v>429</v>
      </c>
    </row>
    <row r="222" spans="2:9" x14ac:dyDescent="0.25">
      <c r="B222" t="s">
        <v>304</v>
      </c>
      <c r="D222" t="s">
        <v>738</v>
      </c>
      <c r="I222" t="s">
        <v>429</v>
      </c>
    </row>
    <row r="223" spans="2:9" x14ac:dyDescent="0.25">
      <c r="C223" t="s">
        <v>657</v>
      </c>
      <c r="D223" t="s">
        <v>739</v>
      </c>
      <c r="G223" t="s">
        <v>659</v>
      </c>
      <c r="I223" t="s">
        <v>429</v>
      </c>
    </row>
    <row r="224" spans="2:9" x14ac:dyDescent="0.25">
      <c r="C224" t="s">
        <v>645</v>
      </c>
      <c r="D224" t="s">
        <v>740</v>
      </c>
      <c r="G224" t="s">
        <v>647</v>
      </c>
      <c r="I224" t="s">
        <v>429</v>
      </c>
    </row>
    <row r="225" spans="3:9" x14ac:dyDescent="0.25">
      <c r="C225" t="s">
        <v>648</v>
      </c>
      <c r="D225" t="s">
        <v>741</v>
      </c>
      <c r="G225" t="s">
        <v>650</v>
      </c>
      <c r="I225" t="s">
        <v>429</v>
      </c>
    </row>
    <row r="226" spans="3:9" x14ac:dyDescent="0.25">
      <c r="C226" t="s">
        <v>651</v>
      </c>
      <c r="D226" t="s">
        <v>742</v>
      </c>
      <c r="G226" t="s">
        <v>653</v>
      </c>
      <c r="I226" t="s">
        <v>429</v>
      </c>
    </row>
    <row r="227" spans="3:9" x14ac:dyDescent="0.25">
      <c r="C227" t="s">
        <v>654</v>
      </c>
      <c r="D227" t="s">
        <v>743</v>
      </c>
      <c r="G227" t="s">
        <v>656</v>
      </c>
      <c r="I227" t="s">
        <v>429</v>
      </c>
    </row>
    <row r="228" spans="3:9" x14ac:dyDescent="0.25">
      <c r="C228" t="s">
        <v>660</v>
      </c>
      <c r="D228" t="s">
        <v>744</v>
      </c>
      <c r="G228" t="s">
        <v>662</v>
      </c>
      <c r="I228" t="s">
        <v>429</v>
      </c>
    </row>
    <row r="229" spans="3:9" x14ac:dyDescent="0.25">
      <c r="C229" t="s">
        <v>663</v>
      </c>
      <c r="D229" t="s">
        <v>745</v>
      </c>
      <c r="G229" t="s">
        <v>665</v>
      </c>
      <c r="I229" t="s">
        <v>429</v>
      </c>
    </row>
    <row r="230" spans="3:9" x14ac:dyDescent="0.25">
      <c r="C230" t="s">
        <v>666</v>
      </c>
      <c r="D230" t="s">
        <v>746</v>
      </c>
      <c r="G230" t="s">
        <v>668</v>
      </c>
      <c r="I230" t="s">
        <v>429</v>
      </c>
    </row>
    <row r="231" spans="3:9" x14ac:dyDescent="0.25">
      <c r="C231" t="s">
        <v>669</v>
      </c>
      <c r="D231" t="s">
        <v>747</v>
      </c>
      <c r="G231" t="s">
        <v>671</v>
      </c>
      <c r="I231" t="s">
        <v>429</v>
      </c>
    </row>
    <row r="232" spans="3:9" x14ac:dyDescent="0.25">
      <c r="C232" t="s">
        <v>672</v>
      </c>
      <c r="D232" t="s">
        <v>748</v>
      </c>
      <c r="G232" t="s">
        <v>674</v>
      </c>
      <c r="I232" t="s">
        <v>429</v>
      </c>
    </row>
    <row r="233" spans="3:9" x14ac:dyDescent="0.25">
      <c r="C233" t="s">
        <v>675</v>
      </c>
      <c r="D233" t="s">
        <v>749</v>
      </c>
      <c r="G233" t="s">
        <v>677</v>
      </c>
      <c r="I233" t="s">
        <v>429</v>
      </c>
    </row>
    <row r="234" spans="3:9" x14ac:dyDescent="0.25">
      <c r="C234" t="s">
        <v>678</v>
      </c>
      <c r="D234" t="s">
        <v>750</v>
      </c>
      <c r="G234" t="s">
        <v>680</v>
      </c>
      <c r="I234" t="s">
        <v>429</v>
      </c>
    </row>
    <row r="235" spans="3:9" x14ac:dyDescent="0.25">
      <c r="C235" t="s">
        <v>681</v>
      </c>
      <c r="D235" t="s">
        <v>751</v>
      </c>
      <c r="G235" t="s">
        <v>683</v>
      </c>
      <c r="I235" t="s">
        <v>429</v>
      </c>
    </row>
    <row r="236" spans="3:9" x14ac:dyDescent="0.25">
      <c r="C236" t="s">
        <v>684</v>
      </c>
      <c r="D236" t="s">
        <v>752</v>
      </c>
      <c r="G236" t="s">
        <v>686</v>
      </c>
      <c r="I236" t="s">
        <v>429</v>
      </c>
    </row>
    <row r="237" spans="3:9" x14ac:dyDescent="0.25">
      <c r="C237" t="s">
        <v>687</v>
      </c>
      <c r="D237" t="s">
        <v>753</v>
      </c>
      <c r="G237" t="s">
        <v>689</v>
      </c>
      <c r="I237" t="s">
        <v>429</v>
      </c>
    </row>
    <row r="238" spans="3:9" x14ac:dyDescent="0.25">
      <c r="C238" t="s">
        <v>690</v>
      </c>
      <c r="D238" t="s">
        <v>754</v>
      </c>
      <c r="G238" t="s">
        <v>692</v>
      </c>
      <c r="I238" t="s">
        <v>429</v>
      </c>
    </row>
    <row r="239" spans="3:9" x14ac:dyDescent="0.25">
      <c r="C239" t="s">
        <v>693</v>
      </c>
      <c r="D239" t="s">
        <v>755</v>
      </c>
      <c r="G239" t="s">
        <v>695</v>
      </c>
      <c r="I239" t="s">
        <v>429</v>
      </c>
    </row>
    <row r="240" spans="3:9" x14ac:dyDescent="0.25">
      <c r="C240" t="s">
        <v>696</v>
      </c>
      <c r="D240" t="s">
        <v>756</v>
      </c>
      <c r="G240" t="s">
        <v>698</v>
      </c>
      <c r="I240" t="s">
        <v>429</v>
      </c>
    </row>
    <row r="241" spans="2:9" x14ac:dyDescent="0.25">
      <c r="C241" t="s">
        <v>699</v>
      </c>
      <c r="D241" t="s">
        <v>757</v>
      </c>
      <c r="G241" t="s">
        <v>701</v>
      </c>
      <c r="I241" t="s">
        <v>429</v>
      </c>
    </row>
    <row r="242" spans="2:9" x14ac:dyDescent="0.25">
      <c r="C242" t="s">
        <v>702</v>
      </c>
      <c r="D242" t="s">
        <v>758</v>
      </c>
      <c r="G242" t="s">
        <v>704</v>
      </c>
      <c r="I242" t="s">
        <v>429</v>
      </c>
    </row>
    <row r="243" spans="2:9" x14ac:dyDescent="0.25">
      <c r="C243" t="s">
        <v>705</v>
      </c>
      <c r="D243" t="s">
        <v>759</v>
      </c>
      <c r="G243" t="s">
        <v>707</v>
      </c>
      <c r="I243" t="s">
        <v>429</v>
      </c>
    </row>
    <row r="244" spans="2:9" x14ac:dyDescent="0.25">
      <c r="C244" t="s">
        <v>708</v>
      </c>
      <c r="D244" t="s">
        <v>760</v>
      </c>
      <c r="G244" t="s">
        <v>710</v>
      </c>
      <c r="I244" t="s">
        <v>429</v>
      </c>
    </row>
    <row r="245" spans="2:9" x14ac:dyDescent="0.25">
      <c r="C245" t="s">
        <v>711</v>
      </c>
      <c r="D245" t="s">
        <v>761</v>
      </c>
      <c r="G245" t="s">
        <v>713</v>
      </c>
      <c r="I245" t="s">
        <v>429</v>
      </c>
    </row>
    <row r="246" spans="2:9" x14ac:dyDescent="0.25">
      <c r="B246" t="s">
        <v>305</v>
      </c>
      <c r="D246" t="s">
        <v>762</v>
      </c>
      <c r="I246" t="s">
        <v>429</v>
      </c>
    </row>
    <row r="247" spans="2:9" x14ac:dyDescent="0.25">
      <c r="C247" t="s">
        <v>657</v>
      </c>
      <c r="D247" t="s">
        <v>763</v>
      </c>
      <c r="G247" t="s">
        <v>659</v>
      </c>
      <c r="I247" t="s">
        <v>429</v>
      </c>
    </row>
    <row r="248" spans="2:9" x14ac:dyDescent="0.25">
      <c r="C248" t="s">
        <v>645</v>
      </c>
      <c r="D248" t="s">
        <v>764</v>
      </c>
      <c r="G248" t="s">
        <v>647</v>
      </c>
      <c r="I248" t="s">
        <v>429</v>
      </c>
    </row>
    <row r="249" spans="2:9" x14ac:dyDescent="0.25">
      <c r="C249" t="s">
        <v>648</v>
      </c>
      <c r="D249" t="s">
        <v>765</v>
      </c>
      <c r="G249" t="s">
        <v>650</v>
      </c>
      <c r="I249" t="s">
        <v>429</v>
      </c>
    </row>
    <row r="250" spans="2:9" x14ac:dyDescent="0.25">
      <c r="C250" t="s">
        <v>651</v>
      </c>
      <c r="D250" t="s">
        <v>766</v>
      </c>
      <c r="G250" t="s">
        <v>653</v>
      </c>
      <c r="I250" t="s">
        <v>429</v>
      </c>
    </row>
    <row r="251" spans="2:9" x14ac:dyDescent="0.25">
      <c r="C251" t="s">
        <v>654</v>
      </c>
      <c r="D251" t="s">
        <v>767</v>
      </c>
      <c r="G251" t="s">
        <v>656</v>
      </c>
      <c r="I251" t="s">
        <v>429</v>
      </c>
    </row>
    <row r="252" spans="2:9" x14ac:dyDescent="0.25">
      <c r="C252" t="s">
        <v>660</v>
      </c>
      <c r="D252" t="s">
        <v>768</v>
      </c>
      <c r="G252" t="s">
        <v>662</v>
      </c>
      <c r="I252" t="s">
        <v>429</v>
      </c>
    </row>
    <row r="253" spans="2:9" x14ac:dyDescent="0.25">
      <c r="C253" t="s">
        <v>663</v>
      </c>
      <c r="D253" t="s">
        <v>769</v>
      </c>
      <c r="G253" t="s">
        <v>665</v>
      </c>
      <c r="I253" t="s">
        <v>429</v>
      </c>
    </row>
    <row r="254" spans="2:9" x14ac:dyDescent="0.25">
      <c r="C254" t="s">
        <v>666</v>
      </c>
      <c r="D254" t="s">
        <v>770</v>
      </c>
      <c r="G254" t="s">
        <v>668</v>
      </c>
      <c r="I254" t="s">
        <v>429</v>
      </c>
    </row>
    <row r="255" spans="2:9" x14ac:dyDescent="0.25">
      <c r="C255" t="s">
        <v>669</v>
      </c>
      <c r="D255" t="s">
        <v>771</v>
      </c>
      <c r="G255" t="s">
        <v>671</v>
      </c>
      <c r="I255" t="s">
        <v>429</v>
      </c>
    </row>
    <row r="256" spans="2:9" x14ac:dyDescent="0.25">
      <c r="C256" t="s">
        <v>672</v>
      </c>
      <c r="D256" t="s">
        <v>772</v>
      </c>
      <c r="G256" t="s">
        <v>674</v>
      </c>
      <c r="I256" t="s">
        <v>429</v>
      </c>
    </row>
    <row r="257" spans="2:9" x14ac:dyDescent="0.25">
      <c r="C257" t="s">
        <v>675</v>
      </c>
      <c r="D257" t="s">
        <v>773</v>
      </c>
      <c r="G257" t="s">
        <v>677</v>
      </c>
      <c r="I257" t="s">
        <v>429</v>
      </c>
    </row>
    <row r="258" spans="2:9" x14ac:dyDescent="0.25">
      <c r="C258" t="s">
        <v>678</v>
      </c>
      <c r="D258" t="s">
        <v>774</v>
      </c>
      <c r="G258" t="s">
        <v>680</v>
      </c>
      <c r="I258" t="s">
        <v>429</v>
      </c>
    </row>
    <row r="259" spans="2:9" x14ac:dyDescent="0.25">
      <c r="C259" t="s">
        <v>681</v>
      </c>
      <c r="D259" t="s">
        <v>775</v>
      </c>
      <c r="G259" t="s">
        <v>683</v>
      </c>
      <c r="I259" t="s">
        <v>429</v>
      </c>
    </row>
    <row r="260" spans="2:9" x14ac:dyDescent="0.25">
      <c r="C260" t="s">
        <v>684</v>
      </c>
      <c r="D260" t="s">
        <v>776</v>
      </c>
      <c r="G260" t="s">
        <v>686</v>
      </c>
      <c r="I260" t="s">
        <v>429</v>
      </c>
    </row>
    <row r="261" spans="2:9" x14ac:dyDescent="0.25">
      <c r="C261" t="s">
        <v>687</v>
      </c>
      <c r="D261" t="s">
        <v>777</v>
      </c>
      <c r="G261" t="s">
        <v>689</v>
      </c>
      <c r="I261" t="s">
        <v>429</v>
      </c>
    </row>
    <row r="262" spans="2:9" x14ac:dyDescent="0.25">
      <c r="C262" t="s">
        <v>690</v>
      </c>
      <c r="D262" t="s">
        <v>778</v>
      </c>
      <c r="G262" t="s">
        <v>692</v>
      </c>
      <c r="I262" t="s">
        <v>429</v>
      </c>
    </row>
    <row r="263" spans="2:9" x14ac:dyDescent="0.25">
      <c r="C263" t="s">
        <v>693</v>
      </c>
      <c r="D263" t="s">
        <v>779</v>
      </c>
      <c r="G263" t="s">
        <v>695</v>
      </c>
      <c r="I263" t="s">
        <v>429</v>
      </c>
    </row>
    <row r="264" spans="2:9" x14ac:dyDescent="0.25">
      <c r="C264" t="s">
        <v>696</v>
      </c>
      <c r="D264" t="s">
        <v>780</v>
      </c>
      <c r="G264" t="s">
        <v>698</v>
      </c>
      <c r="I264" t="s">
        <v>429</v>
      </c>
    </row>
    <row r="265" spans="2:9" x14ac:dyDescent="0.25">
      <c r="C265" t="s">
        <v>699</v>
      </c>
      <c r="D265" t="s">
        <v>781</v>
      </c>
      <c r="G265" t="s">
        <v>701</v>
      </c>
      <c r="I265" t="s">
        <v>429</v>
      </c>
    </row>
    <row r="266" spans="2:9" x14ac:dyDescent="0.25">
      <c r="C266" t="s">
        <v>702</v>
      </c>
      <c r="D266" t="s">
        <v>782</v>
      </c>
      <c r="G266" t="s">
        <v>704</v>
      </c>
      <c r="I266" t="s">
        <v>429</v>
      </c>
    </row>
    <row r="267" spans="2:9" x14ac:dyDescent="0.25">
      <c r="C267" t="s">
        <v>705</v>
      </c>
      <c r="D267" t="s">
        <v>783</v>
      </c>
      <c r="G267" t="s">
        <v>707</v>
      </c>
      <c r="I267" t="s">
        <v>429</v>
      </c>
    </row>
    <row r="268" spans="2:9" x14ac:dyDescent="0.25">
      <c r="C268" t="s">
        <v>708</v>
      </c>
      <c r="D268" t="s">
        <v>784</v>
      </c>
      <c r="G268" t="s">
        <v>710</v>
      </c>
      <c r="I268" t="s">
        <v>429</v>
      </c>
    </row>
    <row r="269" spans="2:9" x14ac:dyDescent="0.25">
      <c r="C269" t="s">
        <v>711</v>
      </c>
      <c r="D269" t="s">
        <v>785</v>
      </c>
      <c r="G269" t="s">
        <v>713</v>
      </c>
      <c r="I269" t="s">
        <v>429</v>
      </c>
    </row>
    <row r="270" spans="2:9" x14ac:dyDescent="0.25">
      <c r="B270" t="s">
        <v>306</v>
      </c>
      <c r="D270" t="s">
        <v>786</v>
      </c>
      <c r="I270" t="s">
        <v>429</v>
      </c>
    </row>
    <row r="271" spans="2:9" x14ac:dyDescent="0.25">
      <c r="C271" t="s">
        <v>657</v>
      </c>
      <c r="D271" t="s">
        <v>787</v>
      </c>
      <c r="G271" t="s">
        <v>659</v>
      </c>
      <c r="I271" t="s">
        <v>429</v>
      </c>
    </row>
    <row r="272" spans="2:9" x14ac:dyDescent="0.25">
      <c r="C272" t="s">
        <v>645</v>
      </c>
      <c r="D272" t="s">
        <v>788</v>
      </c>
      <c r="G272" t="s">
        <v>647</v>
      </c>
      <c r="I272" t="s">
        <v>429</v>
      </c>
    </row>
    <row r="273" spans="3:9" x14ac:dyDescent="0.25">
      <c r="C273" t="s">
        <v>648</v>
      </c>
      <c r="D273" t="s">
        <v>789</v>
      </c>
      <c r="G273" t="s">
        <v>650</v>
      </c>
      <c r="I273" t="s">
        <v>429</v>
      </c>
    </row>
    <row r="274" spans="3:9" x14ac:dyDescent="0.25">
      <c r="C274" t="s">
        <v>651</v>
      </c>
      <c r="D274" t="s">
        <v>790</v>
      </c>
      <c r="G274" t="s">
        <v>653</v>
      </c>
      <c r="I274" t="s">
        <v>429</v>
      </c>
    </row>
    <row r="275" spans="3:9" x14ac:dyDescent="0.25">
      <c r="C275" t="s">
        <v>654</v>
      </c>
      <c r="D275" t="s">
        <v>791</v>
      </c>
      <c r="G275" t="s">
        <v>656</v>
      </c>
      <c r="I275" t="s">
        <v>429</v>
      </c>
    </row>
    <row r="276" spans="3:9" x14ac:dyDescent="0.25">
      <c r="C276" t="s">
        <v>660</v>
      </c>
      <c r="D276" t="s">
        <v>792</v>
      </c>
      <c r="G276" t="s">
        <v>662</v>
      </c>
      <c r="I276" t="s">
        <v>429</v>
      </c>
    </row>
    <row r="277" spans="3:9" x14ac:dyDescent="0.25">
      <c r="C277" t="s">
        <v>663</v>
      </c>
      <c r="D277" t="s">
        <v>793</v>
      </c>
      <c r="G277" t="s">
        <v>665</v>
      </c>
      <c r="I277" t="s">
        <v>429</v>
      </c>
    </row>
    <row r="278" spans="3:9" x14ac:dyDescent="0.25">
      <c r="C278" t="s">
        <v>666</v>
      </c>
      <c r="D278" t="s">
        <v>794</v>
      </c>
      <c r="G278" t="s">
        <v>668</v>
      </c>
      <c r="I278" t="s">
        <v>429</v>
      </c>
    </row>
    <row r="279" spans="3:9" x14ac:dyDescent="0.25">
      <c r="C279" t="s">
        <v>669</v>
      </c>
      <c r="D279" t="s">
        <v>795</v>
      </c>
      <c r="G279" t="s">
        <v>671</v>
      </c>
      <c r="I279" t="s">
        <v>429</v>
      </c>
    </row>
    <row r="280" spans="3:9" x14ac:dyDescent="0.25">
      <c r="C280" t="s">
        <v>672</v>
      </c>
      <c r="D280" t="s">
        <v>796</v>
      </c>
      <c r="G280" t="s">
        <v>674</v>
      </c>
      <c r="I280" t="s">
        <v>429</v>
      </c>
    </row>
    <row r="281" spans="3:9" x14ac:dyDescent="0.25">
      <c r="C281" t="s">
        <v>675</v>
      </c>
      <c r="D281" t="s">
        <v>797</v>
      </c>
      <c r="G281" t="s">
        <v>677</v>
      </c>
      <c r="I281" t="s">
        <v>429</v>
      </c>
    </row>
    <row r="282" spans="3:9" x14ac:dyDescent="0.25">
      <c r="C282" t="s">
        <v>678</v>
      </c>
      <c r="D282" t="s">
        <v>798</v>
      </c>
      <c r="G282" t="s">
        <v>680</v>
      </c>
      <c r="I282" t="s">
        <v>429</v>
      </c>
    </row>
    <row r="283" spans="3:9" x14ac:dyDescent="0.25">
      <c r="C283" t="s">
        <v>681</v>
      </c>
      <c r="D283" t="s">
        <v>799</v>
      </c>
      <c r="G283" t="s">
        <v>683</v>
      </c>
      <c r="I283" t="s">
        <v>429</v>
      </c>
    </row>
    <row r="284" spans="3:9" x14ac:dyDescent="0.25">
      <c r="C284" t="s">
        <v>684</v>
      </c>
      <c r="D284" t="s">
        <v>800</v>
      </c>
      <c r="G284" t="s">
        <v>686</v>
      </c>
      <c r="I284" t="s">
        <v>429</v>
      </c>
    </row>
    <row r="285" spans="3:9" x14ac:dyDescent="0.25">
      <c r="C285" t="s">
        <v>687</v>
      </c>
      <c r="D285" t="s">
        <v>801</v>
      </c>
      <c r="G285" t="s">
        <v>689</v>
      </c>
      <c r="I285" t="s">
        <v>429</v>
      </c>
    </row>
    <row r="286" spans="3:9" x14ac:dyDescent="0.25">
      <c r="C286" t="s">
        <v>690</v>
      </c>
      <c r="D286" t="s">
        <v>802</v>
      </c>
      <c r="G286" t="s">
        <v>692</v>
      </c>
      <c r="I286" t="s">
        <v>429</v>
      </c>
    </row>
    <row r="287" spans="3:9" x14ac:dyDescent="0.25">
      <c r="C287" t="s">
        <v>693</v>
      </c>
      <c r="D287" t="s">
        <v>803</v>
      </c>
      <c r="G287" t="s">
        <v>695</v>
      </c>
      <c r="I287" t="s">
        <v>429</v>
      </c>
    </row>
    <row r="288" spans="3:9" x14ac:dyDescent="0.25">
      <c r="C288" t="s">
        <v>696</v>
      </c>
      <c r="D288" t="s">
        <v>804</v>
      </c>
      <c r="G288" t="s">
        <v>698</v>
      </c>
      <c r="I288" t="s">
        <v>429</v>
      </c>
    </row>
    <row r="289" spans="2:9" x14ac:dyDescent="0.25">
      <c r="C289" t="s">
        <v>699</v>
      </c>
      <c r="D289" t="s">
        <v>805</v>
      </c>
      <c r="G289" t="s">
        <v>701</v>
      </c>
      <c r="I289" t="s">
        <v>429</v>
      </c>
    </row>
    <row r="290" spans="2:9" x14ac:dyDescent="0.25">
      <c r="C290" t="s">
        <v>702</v>
      </c>
      <c r="D290" t="s">
        <v>806</v>
      </c>
      <c r="G290" t="s">
        <v>704</v>
      </c>
      <c r="I290" t="s">
        <v>429</v>
      </c>
    </row>
    <row r="291" spans="2:9" x14ac:dyDescent="0.25">
      <c r="C291" t="s">
        <v>705</v>
      </c>
      <c r="D291" t="s">
        <v>807</v>
      </c>
      <c r="G291" t="s">
        <v>707</v>
      </c>
      <c r="I291" t="s">
        <v>429</v>
      </c>
    </row>
    <row r="292" spans="2:9" x14ac:dyDescent="0.25">
      <c r="C292" t="s">
        <v>708</v>
      </c>
      <c r="D292" t="s">
        <v>808</v>
      </c>
      <c r="G292" t="s">
        <v>710</v>
      </c>
      <c r="I292" t="s">
        <v>429</v>
      </c>
    </row>
    <row r="293" spans="2:9" x14ac:dyDescent="0.25">
      <c r="C293" t="s">
        <v>711</v>
      </c>
      <c r="D293" t="s">
        <v>809</v>
      </c>
      <c r="G293" t="s">
        <v>713</v>
      </c>
      <c r="I293" t="s">
        <v>429</v>
      </c>
    </row>
    <row r="294" spans="2:9" x14ac:dyDescent="0.25">
      <c r="B294" t="s">
        <v>307</v>
      </c>
      <c r="D294" t="s">
        <v>810</v>
      </c>
      <c r="I294" t="s">
        <v>429</v>
      </c>
    </row>
    <row r="295" spans="2:9" x14ac:dyDescent="0.25">
      <c r="C295" t="s">
        <v>657</v>
      </c>
      <c r="D295" t="s">
        <v>811</v>
      </c>
      <c r="G295" t="s">
        <v>659</v>
      </c>
      <c r="I295" t="s">
        <v>429</v>
      </c>
    </row>
    <row r="296" spans="2:9" x14ac:dyDescent="0.25">
      <c r="C296" t="s">
        <v>645</v>
      </c>
      <c r="D296" t="s">
        <v>812</v>
      </c>
      <c r="G296" t="s">
        <v>647</v>
      </c>
      <c r="I296" t="s">
        <v>429</v>
      </c>
    </row>
    <row r="297" spans="2:9" x14ac:dyDescent="0.25">
      <c r="C297" t="s">
        <v>648</v>
      </c>
      <c r="D297" t="s">
        <v>813</v>
      </c>
      <c r="G297" t="s">
        <v>650</v>
      </c>
      <c r="I297" t="s">
        <v>429</v>
      </c>
    </row>
    <row r="298" spans="2:9" x14ac:dyDescent="0.25">
      <c r="C298" t="s">
        <v>651</v>
      </c>
      <c r="D298" t="s">
        <v>814</v>
      </c>
      <c r="G298" t="s">
        <v>653</v>
      </c>
      <c r="I298" t="s">
        <v>429</v>
      </c>
    </row>
    <row r="299" spans="2:9" x14ac:dyDescent="0.25">
      <c r="C299" t="s">
        <v>654</v>
      </c>
      <c r="D299" t="s">
        <v>815</v>
      </c>
      <c r="G299" t="s">
        <v>656</v>
      </c>
      <c r="I299" t="s">
        <v>429</v>
      </c>
    </row>
    <row r="300" spans="2:9" x14ac:dyDescent="0.25">
      <c r="C300" t="s">
        <v>660</v>
      </c>
      <c r="D300" t="s">
        <v>816</v>
      </c>
      <c r="G300" t="s">
        <v>662</v>
      </c>
      <c r="I300" t="s">
        <v>429</v>
      </c>
    </row>
    <row r="301" spans="2:9" x14ac:dyDescent="0.25">
      <c r="C301" t="s">
        <v>663</v>
      </c>
      <c r="D301" t="s">
        <v>817</v>
      </c>
      <c r="G301" t="s">
        <v>665</v>
      </c>
      <c r="I301" t="s">
        <v>429</v>
      </c>
    </row>
    <row r="302" spans="2:9" x14ac:dyDescent="0.25">
      <c r="C302" t="s">
        <v>666</v>
      </c>
      <c r="D302" t="s">
        <v>818</v>
      </c>
      <c r="G302" t="s">
        <v>668</v>
      </c>
      <c r="I302" t="s">
        <v>429</v>
      </c>
    </row>
    <row r="303" spans="2:9" x14ac:dyDescent="0.25">
      <c r="C303" t="s">
        <v>669</v>
      </c>
      <c r="D303" t="s">
        <v>819</v>
      </c>
      <c r="G303" t="s">
        <v>671</v>
      </c>
      <c r="I303" t="s">
        <v>429</v>
      </c>
    </row>
    <row r="304" spans="2:9" x14ac:dyDescent="0.25">
      <c r="C304" t="s">
        <v>672</v>
      </c>
      <c r="D304" t="s">
        <v>820</v>
      </c>
      <c r="G304" t="s">
        <v>674</v>
      </c>
      <c r="I304" t="s">
        <v>429</v>
      </c>
    </row>
    <row r="305" spans="2:9" x14ac:dyDescent="0.25">
      <c r="C305" t="s">
        <v>675</v>
      </c>
      <c r="D305" t="s">
        <v>821</v>
      </c>
      <c r="G305" t="s">
        <v>677</v>
      </c>
      <c r="I305" t="s">
        <v>429</v>
      </c>
    </row>
    <row r="306" spans="2:9" x14ac:dyDescent="0.25">
      <c r="C306" t="s">
        <v>678</v>
      </c>
      <c r="D306" t="s">
        <v>822</v>
      </c>
      <c r="G306" t="s">
        <v>680</v>
      </c>
      <c r="I306" t="s">
        <v>429</v>
      </c>
    </row>
    <row r="307" spans="2:9" x14ac:dyDescent="0.25">
      <c r="C307" t="s">
        <v>681</v>
      </c>
      <c r="D307" t="s">
        <v>823</v>
      </c>
      <c r="G307" t="s">
        <v>683</v>
      </c>
      <c r="I307" t="s">
        <v>429</v>
      </c>
    </row>
    <row r="308" spans="2:9" x14ac:dyDescent="0.25">
      <c r="C308" t="s">
        <v>684</v>
      </c>
      <c r="D308" t="s">
        <v>824</v>
      </c>
      <c r="G308" t="s">
        <v>686</v>
      </c>
      <c r="I308" t="s">
        <v>429</v>
      </c>
    </row>
    <row r="309" spans="2:9" x14ac:dyDescent="0.25">
      <c r="C309" t="s">
        <v>687</v>
      </c>
      <c r="D309" t="s">
        <v>825</v>
      </c>
      <c r="G309" t="s">
        <v>689</v>
      </c>
      <c r="I309" t="s">
        <v>429</v>
      </c>
    </row>
    <row r="310" spans="2:9" x14ac:dyDescent="0.25">
      <c r="C310" t="s">
        <v>690</v>
      </c>
      <c r="D310" t="s">
        <v>826</v>
      </c>
      <c r="G310" t="s">
        <v>692</v>
      </c>
      <c r="I310" t="s">
        <v>429</v>
      </c>
    </row>
    <row r="311" spans="2:9" x14ac:dyDescent="0.25">
      <c r="C311" t="s">
        <v>693</v>
      </c>
      <c r="D311" t="s">
        <v>827</v>
      </c>
      <c r="G311" t="s">
        <v>695</v>
      </c>
      <c r="I311" t="s">
        <v>429</v>
      </c>
    </row>
    <row r="312" spans="2:9" x14ac:dyDescent="0.25">
      <c r="C312" t="s">
        <v>696</v>
      </c>
      <c r="D312" t="s">
        <v>828</v>
      </c>
      <c r="G312" t="s">
        <v>698</v>
      </c>
      <c r="I312" t="s">
        <v>429</v>
      </c>
    </row>
    <row r="313" spans="2:9" x14ac:dyDescent="0.25">
      <c r="C313" t="s">
        <v>699</v>
      </c>
      <c r="D313" t="s">
        <v>829</v>
      </c>
      <c r="G313" t="s">
        <v>701</v>
      </c>
      <c r="I313" t="s">
        <v>429</v>
      </c>
    </row>
    <row r="314" spans="2:9" x14ac:dyDescent="0.25">
      <c r="C314" t="s">
        <v>702</v>
      </c>
      <c r="D314" t="s">
        <v>830</v>
      </c>
      <c r="G314" t="s">
        <v>704</v>
      </c>
      <c r="I314" t="s">
        <v>429</v>
      </c>
    </row>
    <row r="315" spans="2:9" x14ac:dyDescent="0.25">
      <c r="C315" t="s">
        <v>705</v>
      </c>
      <c r="D315" t="s">
        <v>831</v>
      </c>
      <c r="G315" t="s">
        <v>707</v>
      </c>
      <c r="I315" t="s">
        <v>429</v>
      </c>
    </row>
    <row r="316" spans="2:9" x14ac:dyDescent="0.25">
      <c r="C316" t="s">
        <v>708</v>
      </c>
      <c r="D316" t="s">
        <v>832</v>
      </c>
      <c r="G316" t="s">
        <v>710</v>
      </c>
      <c r="I316" t="s">
        <v>429</v>
      </c>
    </row>
    <row r="317" spans="2:9" x14ac:dyDescent="0.25">
      <c r="C317" t="s">
        <v>711</v>
      </c>
      <c r="D317" t="s">
        <v>833</v>
      </c>
      <c r="G317" t="s">
        <v>713</v>
      </c>
      <c r="I317" t="s">
        <v>429</v>
      </c>
    </row>
    <row r="318" spans="2:9" x14ac:dyDescent="0.25">
      <c r="B318" t="s">
        <v>308</v>
      </c>
      <c r="D318" t="s">
        <v>834</v>
      </c>
      <c r="I318" t="s">
        <v>429</v>
      </c>
    </row>
    <row r="319" spans="2:9" x14ac:dyDescent="0.25">
      <c r="C319" t="s">
        <v>657</v>
      </c>
      <c r="D319" t="s">
        <v>835</v>
      </c>
      <c r="G319" t="s">
        <v>659</v>
      </c>
      <c r="I319" t="s">
        <v>429</v>
      </c>
    </row>
    <row r="320" spans="2:9" x14ac:dyDescent="0.25">
      <c r="C320" t="s">
        <v>645</v>
      </c>
      <c r="D320" t="s">
        <v>836</v>
      </c>
      <c r="G320" t="s">
        <v>647</v>
      </c>
      <c r="I320" t="s">
        <v>429</v>
      </c>
    </row>
    <row r="321" spans="3:9" x14ac:dyDescent="0.25">
      <c r="C321" t="s">
        <v>648</v>
      </c>
      <c r="D321" t="s">
        <v>837</v>
      </c>
      <c r="G321" t="s">
        <v>650</v>
      </c>
      <c r="I321" t="s">
        <v>429</v>
      </c>
    </row>
    <row r="322" spans="3:9" x14ac:dyDescent="0.25">
      <c r="C322" t="s">
        <v>651</v>
      </c>
      <c r="D322" t="s">
        <v>838</v>
      </c>
      <c r="G322" t="s">
        <v>653</v>
      </c>
      <c r="I322" t="s">
        <v>429</v>
      </c>
    </row>
    <row r="323" spans="3:9" x14ac:dyDescent="0.25">
      <c r="C323" t="s">
        <v>654</v>
      </c>
      <c r="D323" t="s">
        <v>839</v>
      </c>
      <c r="G323" t="s">
        <v>656</v>
      </c>
      <c r="I323" t="s">
        <v>429</v>
      </c>
    </row>
    <row r="324" spans="3:9" x14ac:dyDescent="0.25">
      <c r="C324" t="s">
        <v>660</v>
      </c>
      <c r="D324" t="s">
        <v>840</v>
      </c>
      <c r="G324" t="s">
        <v>662</v>
      </c>
      <c r="I324" t="s">
        <v>429</v>
      </c>
    </row>
    <row r="325" spans="3:9" x14ac:dyDescent="0.25">
      <c r="C325" t="s">
        <v>663</v>
      </c>
      <c r="D325" t="s">
        <v>841</v>
      </c>
      <c r="G325" t="s">
        <v>665</v>
      </c>
      <c r="I325" t="s">
        <v>429</v>
      </c>
    </row>
    <row r="326" spans="3:9" x14ac:dyDescent="0.25">
      <c r="C326" t="s">
        <v>666</v>
      </c>
      <c r="D326" t="s">
        <v>842</v>
      </c>
      <c r="G326" t="s">
        <v>668</v>
      </c>
      <c r="I326" t="s">
        <v>429</v>
      </c>
    </row>
    <row r="327" spans="3:9" x14ac:dyDescent="0.25">
      <c r="C327" t="s">
        <v>669</v>
      </c>
      <c r="D327" t="s">
        <v>843</v>
      </c>
      <c r="G327" t="s">
        <v>671</v>
      </c>
      <c r="I327" t="s">
        <v>429</v>
      </c>
    </row>
    <row r="328" spans="3:9" x14ac:dyDescent="0.25">
      <c r="C328" t="s">
        <v>672</v>
      </c>
      <c r="D328" t="s">
        <v>844</v>
      </c>
      <c r="G328" t="s">
        <v>674</v>
      </c>
      <c r="I328" t="s">
        <v>429</v>
      </c>
    </row>
    <row r="329" spans="3:9" x14ac:dyDescent="0.25">
      <c r="C329" t="s">
        <v>675</v>
      </c>
      <c r="D329" t="s">
        <v>845</v>
      </c>
      <c r="G329" t="s">
        <v>677</v>
      </c>
      <c r="I329" t="s">
        <v>429</v>
      </c>
    </row>
    <row r="330" spans="3:9" x14ac:dyDescent="0.25">
      <c r="C330" t="s">
        <v>678</v>
      </c>
      <c r="D330" t="s">
        <v>846</v>
      </c>
      <c r="G330" t="s">
        <v>680</v>
      </c>
      <c r="I330" t="s">
        <v>429</v>
      </c>
    </row>
    <row r="331" spans="3:9" x14ac:dyDescent="0.25">
      <c r="C331" t="s">
        <v>681</v>
      </c>
      <c r="D331" t="s">
        <v>847</v>
      </c>
      <c r="G331" t="s">
        <v>683</v>
      </c>
      <c r="I331" t="s">
        <v>429</v>
      </c>
    </row>
    <row r="332" spans="3:9" x14ac:dyDescent="0.25">
      <c r="C332" t="s">
        <v>684</v>
      </c>
      <c r="D332" t="s">
        <v>848</v>
      </c>
      <c r="G332" t="s">
        <v>686</v>
      </c>
      <c r="I332" t="s">
        <v>429</v>
      </c>
    </row>
    <row r="333" spans="3:9" x14ac:dyDescent="0.25">
      <c r="C333" t="s">
        <v>687</v>
      </c>
      <c r="D333" t="s">
        <v>849</v>
      </c>
      <c r="G333" t="s">
        <v>689</v>
      </c>
      <c r="I333" t="s">
        <v>429</v>
      </c>
    </row>
    <row r="334" spans="3:9" x14ac:dyDescent="0.25">
      <c r="C334" t="s">
        <v>690</v>
      </c>
      <c r="D334" t="s">
        <v>850</v>
      </c>
      <c r="G334" t="s">
        <v>692</v>
      </c>
      <c r="I334" t="s">
        <v>429</v>
      </c>
    </row>
    <row r="335" spans="3:9" x14ac:dyDescent="0.25">
      <c r="C335" t="s">
        <v>693</v>
      </c>
      <c r="D335" t="s">
        <v>851</v>
      </c>
      <c r="G335" t="s">
        <v>695</v>
      </c>
      <c r="I335" t="s">
        <v>429</v>
      </c>
    </row>
    <row r="336" spans="3:9" x14ac:dyDescent="0.25">
      <c r="C336" t="s">
        <v>696</v>
      </c>
      <c r="D336" t="s">
        <v>852</v>
      </c>
      <c r="G336" t="s">
        <v>698</v>
      </c>
      <c r="I336" t="s">
        <v>429</v>
      </c>
    </row>
    <row r="337" spans="2:9" x14ac:dyDescent="0.25">
      <c r="C337" t="s">
        <v>699</v>
      </c>
      <c r="D337" t="s">
        <v>853</v>
      </c>
      <c r="G337" t="s">
        <v>701</v>
      </c>
      <c r="I337" t="s">
        <v>429</v>
      </c>
    </row>
    <row r="338" spans="2:9" x14ac:dyDescent="0.25">
      <c r="C338" t="s">
        <v>702</v>
      </c>
      <c r="D338" t="s">
        <v>854</v>
      </c>
      <c r="G338" t="s">
        <v>704</v>
      </c>
      <c r="I338" t="s">
        <v>429</v>
      </c>
    </row>
    <row r="339" spans="2:9" x14ac:dyDescent="0.25">
      <c r="C339" t="s">
        <v>705</v>
      </c>
      <c r="D339" t="s">
        <v>855</v>
      </c>
      <c r="G339" t="s">
        <v>707</v>
      </c>
      <c r="I339" t="s">
        <v>429</v>
      </c>
    </row>
    <row r="340" spans="2:9" x14ac:dyDescent="0.25">
      <c r="C340" t="s">
        <v>708</v>
      </c>
      <c r="D340" t="s">
        <v>856</v>
      </c>
      <c r="G340" t="s">
        <v>710</v>
      </c>
      <c r="I340" t="s">
        <v>429</v>
      </c>
    </row>
    <row r="341" spans="2:9" x14ac:dyDescent="0.25">
      <c r="C341" t="s">
        <v>711</v>
      </c>
      <c r="D341" t="s">
        <v>857</v>
      </c>
      <c r="G341" t="s">
        <v>713</v>
      </c>
      <c r="I341" t="s">
        <v>429</v>
      </c>
    </row>
    <row r="342" spans="2:9" x14ac:dyDescent="0.25">
      <c r="B342" t="s">
        <v>280</v>
      </c>
      <c r="D342" t="s">
        <v>858</v>
      </c>
      <c r="I342" t="s">
        <v>429</v>
      </c>
    </row>
    <row r="343" spans="2:9" x14ac:dyDescent="0.25">
      <c r="C343" t="s">
        <v>657</v>
      </c>
      <c r="D343" t="s">
        <v>859</v>
      </c>
      <c r="G343" t="s">
        <v>659</v>
      </c>
      <c r="I343" t="s">
        <v>429</v>
      </c>
    </row>
    <row r="344" spans="2:9" x14ac:dyDescent="0.25">
      <c r="C344" t="s">
        <v>645</v>
      </c>
      <c r="D344" t="s">
        <v>860</v>
      </c>
      <c r="G344" t="s">
        <v>647</v>
      </c>
      <c r="I344" t="s">
        <v>429</v>
      </c>
    </row>
    <row r="345" spans="2:9" x14ac:dyDescent="0.25">
      <c r="C345" t="s">
        <v>648</v>
      </c>
      <c r="D345" t="s">
        <v>861</v>
      </c>
      <c r="G345" t="s">
        <v>650</v>
      </c>
      <c r="I345" t="s">
        <v>429</v>
      </c>
    </row>
    <row r="346" spans="2:9" x14ac:dyDescent="0.25">
      <c r="C346" t="s">
        <v>651</v>
      </c>
      <c r="D346" t="s">
        <v>862</v>
      </c>
      <c r="G346" t="s">
        <v>653</v>
      </c>
      <c r="I346" t="s">
        <v>429</v>
      </c>
    </row>
    <row r="347" spans="2:9" x14ac:dyDescent="0.25">
      <c r="C347" t="s">
        <v>654</v>
      </c>
      <c r="D347" t="s">
        <v>863</v>
      </c>
      <c r="G347" t="s">
        <v>656</v>
      </c>
      <c r="I347" t="s">
        <v>429</v>
      </c>
    </row>
    <row r="348" spans="2:9" x14ac:dyDescent="0.25">
      <c r="C348" t="s">
        <v>711</v>
      </c>
      <c r="D348" t="s">
        <v>864</v>
      </c>
      <c r="G348" t="s">
        <v>713</v>
      </c>
      <c r="I348" t="s">
        <v>429</v>
      </c>
    </row>
    <row r="349" spans="2:9" x14ac:dyDescent="0.25">
      <c r="C349" t="s">
        <v>660</v>
      </c>
      <c r="D349" t="s">
        <v>865</v>
      </c>
      <c r="G349" t="s">
        <v>662</v>
      </c>
      <c r="I349" t="s">
        <v>429</v>
      </c>
    </row>
    <row r="350" spans="2:9" x14ac:dyDescent="0.25">
      <c r="C350" t="s">
        <v>663</v>
      </c>
      <c r="D350" t="s">
        <v>866</v>
      </c>
      <c r="G350" t="s">
        <v>665</v>
      </c>
      <c r="I350" t="s">
        <v>429</v>
      </c>
    </row>
    <row r="351" spans="2:9" x14ac:dyDescent="0.25">
      <c r="C351" t="s">
        <v>666</v>
      </c>
      <c r="D351" t="s">
        <v>867</v>
      </c>
      <c r="G351" t="s">
        <v>668</v>
      </c>
      <c r="I351" t="s">
        <v>429</v>
      </c>
    </row>
    <row r="352" spans="2:9" x14ac:dyDescent="0.25">
      <c r="C352" t="s">
        <v>669</v>
      </c>
      <c r="D352" t="s">
        <v>868</v>
      </c>
      <c r="G352" t="s">
        <v>671</v>
      </c>
      <c r="I352" t="s">
        <v>429</v>
      </c>
    </row>
    <row r="353" spans="1:9" x14ac:dyDescent="0.25">
      <c r="C353" t="s">
        <v>672</v>
      </c>
      <c r="D353" t="s">
        <v>869</v>
      </c>
      <c r="G353" t="s">
        <v>674</v>
      </c>
      <c r="I353" t="s">
        <v>429</v>
      </c>
    </row>
    <row r="354" spans="1:9" x14ac:dyDescent="0.25">
      <c r="C354" t="s">
        <v>675</v>
      </c>
      <c r="D354" t="s">
        <v>870</v>
      </c>
      <c r="G354" t="s">
        <v>677</v>
      </c>
      <c r="I354" t="s">
        <v>429</v>
      </c>
    </row>
    <row r="355" spans="1:9" x14ac:dyDescent="0.25">
      <c r="C355" t="s">
        <v>678</v>
      </c>
      <c r="D355" t="s">
        <v>871</v>
      </c>
      <c r="G355" t="s">
        <v>680</v>
      </c>
      <c r="I355" t="s">
        <v>429</v>
      </c>
    </row>
    <row r="356" spans="1:9" x14ac:dyDescent="0.25">
      <c r="C356" t="s">
        <v>681</v>
      </c>
      <c r="D356" t="s">
        <v>872</v>
      </c>
      <c r="G356" t="s">
        <v>683</v>
      </c>
      <c r="I356" t="s">
        <v>429</v>
      </c>
    </row>
    <row r="357" spans="1:9" x14ac:dyDescent="0.25">
      <c r="C357" t="s">
        <v>684</v>
      </c>
      <c r="D357" t="s">
        <v>873</v>
      </c>
      <c r="G357" t="s">
        <v>686</v>
      </c>
      <c r="I357" t="s">
        <v>429</v>
      </c>
    </row>
    <row r="358" spans="1:9" x14ac:dyDescent="0.25">
      <c r="C358" t="s">
        <v>687</v>
      </c>
      <c r="D358" t="s">
        <v>874</v>
      </c>
      <c r="G358" t="s">
        <v>689</v>
      </c>
      <c r="I358" t="s">
        <v>429</v>
      </c>
    </row>
    <row r="359" spans="1:9" x14ac:dyDescent="0.25">
      <c r="C359" t="s">
        <v>690</v>
      </c>
      <c r="D359" t="s">
        <v>875</v>
      </c>
      <c r="G359" t="s">
        <v>692</v>
      </c>
      <c r="I359" t="s">
        <v>429</v>
      </c>
    </row>
    <row r="360" spans="1:9" x14ac:dyDescent="0.25">
      <c r="C360" t="s">
        <v>693</v>
      </c>
      <c r="D360" t="s">
        <v>876</v>
      </c>
      <c r="G360" t="s">
        <v>695</v>
      </c>
      <c r="I360" t="s">
        <v>429</v>
      </c>
    </row>
    <row r="361" spans="1:9" x14ac:dyDescent="0.25">
      <c r="C361" t="s">
        <v>696</v>
      </c>
      <c r="D361" t="s">
        <v>877</v>
      </c>
      <c r="G361" t="s">
        <v>698</v>
      </c>
      <c r="I361" t="s">
        <v>429</v>
      </c>
    </row>
    <row r="362" spans="1:9" x14ac:dyDescent="0.25">
      <c r="C362" t="s">
        <v>699</v>
      </c>
      <c r="D362" t="s">
        <v>878</v>
      </c>
      <c r="G362" t="s">
        <v>701</v>
      </c>
      <c r="I362" t="s">
        <v>429</v>
      </c>
    </row>
    <row r="363" spans="1:9" x14ac:dyDescent="0.25">
      <c r="C363" t="s">
        <v>702</v>
      </c>
      <c r="D363" t="s">
        <v>879</v>
      </c>
      <c r="G363" t="s">
        <v>704</v>
      </c>
      <c r="I363" t="s">
        <v>429</v>
      </c>
    </row>
    <row r="364" spans="1:9" x14ac:dyDescent="0.25">
      <c r="C364" t="s">
        <v>705</v>
      </c>
      <c r="D364" t="s">
        <v>880</v>
      </c>
      <c r="G364" t="s">
        <v>707</v>
      </c>
      <c r="I364" t="s">
        <v>429</v>
      </c>
    </row>
    <row r="365" spans="1:9" x14ac:dyDescent="0.25">
      <c r="C365" t="s">
        <v>708</v>
      </c>
      <c r="D365" t="s">
        <v>881</v>
      </c>
      <c r="G365" t="s">
        <v>710</v>
      </c>
      <c r="I365" t="s">
        <v>429</v>
      </c>
    </row>
    <row r="366" spans="1:9" x14ac:dyDescent="0.25">
      <c r="D366" t="s">
        <v>882</v>
      </c>
      <c r="I366" t="s">
        <v>429</v>
      </c>
    </row>
    <row r="367" spans="1:9" x14ac:dyDescent="0.25">
      <c r="A367" t="s">
        <v>17</v>
      </c>
      <c r="D367" t="s">
        <v>883</v>
      </c>
      <c r="I367" t="s">
        <v>429</v>
      </c>
    </row>
    <row r="368" spans="1:9" x14ac:dyDescent="0.25">
      <c r="B368" t="s">
        <v>274</v>
      </c>
      <c r="D368" t="s">
        <v>884</v>
      </c>
      <c r="I368" t="s">
        <v>429</v>
      </c>
    </row>
    <row r="369" spans="3:9" x14ac:dyDescent="0.25">
      <c r="C369" t="s">
        <v>885</v>
      </c>
      <c r="D369" t="s">
        <v>886</v>
      </c>
      <c r="G369" t="s">
        <v>887</v>
      </c>
      <c r="I369" t="s">
        <v>429</v>
      </c>
    </row>
    <row r="370" spans="3:9" x14ac:dyDescent="0.25">
      <c r="C370" t="s">
        <v>888</v>
      </c>
      <c r="D370" t="s">
        <v>889</v>
      </c>
      <c r="G370" t="s">
        <v>890</v>
      </c>
      <c r="I370" t="s">
        <v>429</v>
      </c>
    </row>
    <row r="371" spans="3:9" x14ac:dyDescent="0.25">
      <c r="C371" t="s">
        <v>891</v>
      </c>
      <c r="D371" t="s">
        <v>892</v>
      </c>
      <c r="G371" t="s">
        <v>893</v>
      </c>
      <c r="I371" t="s">
        <v>429</v>
      </c>
    </row>
    <row r="372" spans="3:9" x14ac:dyDescent="0.25">
      <c r="C372" t="s">
        <v>894</v>
      </c>
      <c r="D372" t="s">
        <v>895</v>
      </c>
      <c r="G372" t="s">
        <v>896</v>
      </c>
      <c r="I372" t="s">
        <v>429</v>
      </c>
    </row>
    <row r="373" spans="3:9" x14ac:dyDescent="0.25">
      <c r="C373" t="s">
        <v>897</v>
      </c>
      <c r="D373" t="s">
        <v>898</v>
      </c>
      <c r="G373" t="s">
        <v>899</v>
      </c>
      <c r="I373" t="s">
        <v>429</v>
      </c>
    </row>
    <row r="374" spans="3:9" x14ac:dyDescent="0.25">
      <c r="C374" t="s">
        <v>900</v>
      </c>
      <c r="D374" t="s">
        <v>901</v>
      </c>
      <c r="G374" t="s">
        <v>902</v>
      </c>
      <c r="I374" t="s">
        <v>429</v>
      </c>
    </row>
    <row r="375" spans="3:9" x14ac:dyDescent="0.25">
      <c r="C375" t="s">
        <v>903</v>
      </c>
      <c r="D375" t="s">
        <v>904</v>
      </c>
      <c r="G375" t="s">
        <v>905</v>
      </c>
      <c r="I375" t="s">
        <v>429</v>
      </c>
    </row>
    <row r="376" spans="3:9" x14ac:dyDescent="0.25">
      <c r="C376" t="s">
        <v>906</v>
      </c>
      <c r="D376" t="s">
        <v>907</v>
      </c>
      <c r="G376" t="s">
        <v>908</v>
      </c>
      <c r="I376" t="s">
        <v>429</v>
      </c>
    </row>
    <row r="377" spans="3:9" x14ac:dyDescent="0.25">
      <c r="C377" t="s">
        <v>909</v>
      </c>
      <c r="D377" t="s">
        <v>910</v>
      </c>
      <c r="G377" t="s">
        <v>911</v>
      </c>
      <c r="I377" t="s">
        <v>429</v>
      </c>
    </row>
    <row r="378" spans="3:9" x14ac:dyDescent="0.25">
      <c r="C378" t="s">
        <v>912</v>
      </c>
      <c r="D378" t="s">
        <v>913</v>
      </c>
      <c r="G378" t="s">
        <v>914</v>
      </c>
      <c r="I378" t="s">
        <v>429</v>
      </c>
    </row>
    <row r="379" spans="3:9" x14ac:dyDescent="0.25">
      <c r="C379" t="s">
        <v>915</v>
      </c>
      <c r="D379" t="s">
        <v>916</v>
      </c>
      <c r="G379" t="s">
        <v>917</v>
      </c>
      <c r="I379" t="s">
        <v>429</v>
      </c>
    </row>
    <row r="380" spans="3:9" x14ac:dyDescent="0.25">
      <c r="C380" t="s">
        <v>918</v>
      </c>
      <c r="D380" t="s">
        <v>919</v>
      </c>
      <c r="G380" t="s">
        <v>920</v>
      </c>
      <c r="I380" t="s">
        <v>429</v>
      </c>
    </row>
    <row r="381" spans="3:9" x14ac:dyDescent="0.25">
      <c r="C381" t="s">
        <v>921</v>
      </c>
      <c r="D381" t="s">
        <v>922</v>
      </c>
      <c r="G381" t="s">
        <v>923</v>
      </c>
      <c r="I381" t="s">
        <v>429</v>
      </c>
    </row>
    <row r="382" spans="3:9" x14ac:dyDescent="0.25">
      <c r="C382" t="s">
        <v>924</v>
      </c>
      <c r="D382" t="s">
        <v>925</v>
      </c>
      <c r="G382" t="s">
        <v>926</v>
      </c>
      <c r="I382" t="s">
        <v>429</v>
      </c>
    </row>
    <row r="383" spans="3:9" x14ac:dyDescent="0.25">
      <c r="C383" t="s">
        <v>927</v>
      </c>
      <c r="D383" t="s">
        <v>928</v>
      </c>
      <c r="G383" t="s">
        <v>929</v>
      </c>
      <c r="I383" t="s">
        <v>429</v>
      </c>
    </row>
    <row r="384" spans="3:9" x14ac:dyDescent="0.25">
      <c r="C384" t="s">
        <v>930</v>
      </c>
      <c r="D384" t="s">
        <v>931</v>
      </c>
      <c r="G384" t="s">
        <v>932</v>
      </c>
      <c r="I384" t="s">
        <v>429</v>
      </c>
    </row>
    <row r="385" spans="3:9" x14ac:dyDescent="0.25">
      <c r="C385" t="s">
        <v>933</v>
      </c>
      <c r="D385" t="s">
        <v>934</v>
      </c>
      <c r="G385" t="s">
        <v>935</v>
      </c>
      <c r="I385" t="s">
        <v>429</v>
      </c>
    </row>
    <row r="386" spans="3:9" x14ac:dyDescent="0.25">
      <c r="C386" t="s">
        <v>936</v>
      </c>
      <c r="D386" t="s">
        <v>937</v>
      </c>
      <c r="G386" t="s">
        <v>938</v>
      </c>
      <c r="I386" t="s">
        <v>429</v>
      </c>
    </row>
    <row r="387" spans="3:9" x14ac:dyDescent="0.25">
      <c r="C387" t="s">
        <v>939</v>
      </c>
      <c r="D387" t="s">
        <v>940</v>
      </c>
      <c r="G387" t="s">
        <v>941</v>
      </c>
      <c r="I387" t="s">
        <v>429</v>
      </c>
    </row>
    <row r="388" spans="3:9" x14ac:dyDescent="0.25">
      <c r="C388" t="s">
        <v>942</v>
      </c>
      <c r="D388" t="s">
        <v>943</v>
      </c>
      <c r="G388" t="s">
        <v>944</v>
      </c>
      <c r="I388" t="s">
        <v>429</v>
      </c>
    </row>
    <row r="389" spans="3:9" x14ac:dyDescent="0.25">
      <c r="C389" t="s">
        <v>945</v>
      </c>
      <c r="D389" t="s">
        <v>946</v>
      </c>
      <c r="G389" t="s">
        <v>947</v>
      </c>
      <c r="I389" t="s">
        <v>429</v>
      </c>
    </row>
    <row r="390" spans="3:9" x14ac:dyDescent="0.25">
      <c r="C390" t="s">
        <v>948</v>
      </c>
      <c r="D390" t="s">
        <v>949</v>
      </c>
      <c r="G390" t="s">
        <v>950</v>
      </c>
      <c r="I390" t="s">
        <v>429</v>
      </c>
    </row>
    <row r="391" spans="3:9" x14ac:dyDescent="0.25">
      <c r="C391" t="s">
        <v>951</v>
      </c>
      <c r="D391" t="s">
        <v>952</v>
      </c>
      <c r="G391" t="s">
        <v>953</v>
      </c>
      <c r="I391" t="s">
        <v>429</v>
      </c>
    </row>
    <row r="392" spans="3:9" x14ac:dyDescent="0.25">
      <c r="C392" t="s">
        <v>954</v>
      </c>
      <c r="D392" t="s">
        <v>955</v>
      </c>
      <c r="G392" t="s">
        <v>956</v>
      </c>
      <c r="I392" t="s">
        <v>429</v>
      </c>
    </row>
    <row r="393" spans="3:9" x14ac:dyDescent="0.25">
      <c r="C393" t="s">
        <v>957</v>
      </c>
      <c r="D393" t="s">
        <v>958</v>
      </c>
      <c r="G393" t="s">
        <v>959</v>
      </c>
      <c r="I393" t="s">
        <v>429</v>
      </c>
    </row>
    <row r="394" spans="3:9" x14ac:dyDescent="0.25">
      <c r="C394" t="s">
        <v>960</v>
      </c>
      <c r="D394" t="s">
        <v>961</v>
      </c>
      <c r="G394" t="s">
        <v>962</v>
      </c>
      <c r="I394" t="s">
        <v>429</v>
      </c>
    </row>
    <row r="395" spans="3:9" x14ac:dyDescent="0.25">
      <c r="C395" t="s">
        <v>963</v>
      </c>
      <c r="D395" t="s">
        <v>964</v>
      </c>
      <c r="G395" t="s">
        <v>965</v>
      </c>
      <c r="I395" t="s">
        <v>429</v>
      </c>
    </row>
    <row r="396" spans="3:9" x14ac:dyDescent="0.25">
      <c r="C396" t="s">
        <v>966</v>
      </c>
      <c r="D396" t="s">
        <v>967</v>
      </c>
      <c r="G396" t="s">
        <v>968</v>
      </c>
      <c r="I396" t="s">
        <v>429</v>
      </c>
    </row>
    <row r="397" spans="3:9" x14ac:dyDescent="0.25">
      <c r="C397" t="s">
        <v>969</v>
      </c>
      <c r="D397" t="s">
        <v>970</v>
      </c>
      <c r="G397" t="s">
        <v>971</v>
      </c>
      <c r="I397" t="s">
        <v>429</v>
      </c>
    </row>
    <row r="398" spans="3:9" x14ac:dyDescent="0.25">
      <c r="C398" t="s">
        <v>972</v>
      </c>
      <c r="D398" t="s">
        <v>973</v>
      </c>
      <c r="G398" t="s">
        <v>974</v>
      </c>
      <c r="I398" t="s">
        <v>429</v>
      </c>
    </row>
    <row r="399" spans="3:9" x14ac:dyDescent="0.25">
      <c r="C399" t="s">
        <v>975</v>
      </c>
      <c r="D399" t="s">
        <v>976</v>
      </c>
      <c r="G399" t="s">
        <v>977</v>
      </c>
      <c r="I399" t="s">
        <v>429</v>
      </c>
    </row>
    <row r="400" spans="3:9" x14ac:dyDescent="0.25">
      <c r="C400" t="s">
        <v>978</v>
      </c>
      <c r="D400" t="s">
        <v>979</v>
      </c>
      <c r="G400" t="s">
        <v>980</v>
      </c>
      <c r="I400" t="s">
        <v>429</v>
      </c>
    </row>
    <row r="401" spans="2:9" x14ac:dyDescent="0.25">
      <c r="C401" t="s">
        <v>981</v>
      </c>
      <c r="D401" t="s">
        <v>982</v>
      </c>
      <c r="G401" t="s">
        <v>983</v>
      </c>
      <c r="I401" t="s">
        <v>429</v>
      </c>
    </row>
    <row r="402" spans="2:9" x14ac:dyDescent="0.25">
      <c r="C402" t="s">
        <v>984</v>
      </c>
      <c r="D402" t="s">
        <v>985</v>
      </c>
      <c r="G402" t="s">
        <v>986</v>
      </c>
      <c r="I402" t="s">
        <v>429</v>
      </c>
    </row>
    <row r="403" spans="2:9" x14ac:dyDescent="0.25">
      <c r="B403" t="s">
        <v>344</v>
      </c>
      <c r="D403" t="s">
        <v>987</v>
      </c>
      <c r="I403" t="s">
        <v>429</v>
      </c>
    </row>
    <row r="404" spans="2:9" x14ac:dyDescent="0.25">
      <c r="C404" t="s">
        <v>951</v>
      </c>
      <c r="D404" t="s">
        <v>988</v>
      </c>
      <c r="G404" t="s">
        <v>953</v>
      </c>
      <c r="I404" t="s">
        <v>429</v>
      </c>
    </row>
    <row r="405" spans="2:9" x14ac:dyDescent="0.25">
      <c r="C405" t="s">
        <v>957</v>
      </c>
      <c r="D405" t="s">
        <v>989</v>
      </c>
      <c r="G405" t="s">
        <v>959</v>
      </c>
      <c r="I405" t="s">
        <v>429</v>
      </c>
    </row>
    <row r="406" spans="2:9" x14ac:dyDescent="0.25">
      <c r="C406" t="s">
        <v>960</v>
      </c>
      <c r="D406" t="s">
        <v>990</v>
      </c>
      <c r="G406" t="s">
        <v>962</v>
      </c>
      <c r="I406" t="s">
        <v>429</v>
      </c>
    </row>
    <row r="407" spans="2:9" x14ac:dyDescent="0.25">
      <c r="C407" t="s">
        <v>963</v>
      </c>
      <c r="D407" t="s">
        <v>991</v>
      </c>
      <c r="G407" t="s">
        <v>965</v>
      </c>
      <c r="I407" t="s">
        <v>429</v>
      </c>
    </row>
    <row r="408" spans="2:9" x14ac:dyDescent="0.25">
      <c r="B408" t="s">
        <v>345</v>
      </c>
      <c r="D408" t="s">
        <v>992</v>
      </c>
      <c r="I408" t="s">
        <v>429</v>
      </c>
    </row>
    <row r="409" spans="2:9" x14ac:dyDescent="0.25">
      <c r="C409" t="s">
        <v>951</v>
      </c>
      <c r="D409" t="s">
        <v>993</v>
      </c>
      <c r="G409" t="s">
        <v>953</v>
      </c>
      <c r="I409" t="s">
        <v>429</v>
      </c>
    </row>
    <row r="410" spans="2:9" x14ac:dyDescent="0.25">
      <c r="C410" t="s">
        <v>957</v>
      </c>
      <c r="D410" t="s">
        <v>994</v>
      </c>
      <c r="G410" t="s">
        <v>959</v>
      </c>
      <c r="I410" t="s">
        <v>429</v>
      </c>
    </row>
    <row r="411" spans="2:9" x14ac:dyDescent="0.25">
      <c r="C411" t="s">
        <v>960</v>
      </c>
      <c r="D411" t="s">
        <v>995</v>
      </c>
      <c r="G411" t="s">
        <v>962</v>
      </c>
      <c r="I411" t="s">
        <v>429</v>
      </c>
    </row>
    <row r="412" spans="2:9" x14ac:dyDescent="0.25">
      <c r="C412" t="s">
        <v>963</v>
      </c>
      <c r="D412" t="s">
        <v>996</v>
      </c>
      <c r="G412" t="s">
        <v>965</v>
      </c>
      <c r="I412" t="s">
        <v>429</v>
      </c>
    </row>
    <row r="413" spans="2:9" x14ac:dyDescent="0.25">
      <c r="B413" t="s">
        <v>346</v>
      </c>
      <c r="D413" t="s">
        <v>997</v>
      </c>
      <c r="I413" t="s">
        <v>429</v>
      </c>
    </row>
    <row r="414" spans="2:9" x14ac:dyDescent="0.25">
      <c r="C414" t="s">
        <v>951</v>
      </c>
      <c r="D414" t="s">
        <v>998</v>
      </c>
      <c r="G414" t="s">
        <v>953</v>
      </c>
      <c r="I414" t="s">
        <v>429</v>
      </c>
    </row>
    <row r="415" spans="2:9" x14ac:dyDescent="0.25">
      <c r="C415" t="s">
        <v>957</v>
      </c>
      <c r="D415" t="s">
        <v>999</v>
      </c>
      <c r="G415" t="s">
        <v>959</v>
      </c>
      <c r="I415" t="s">
        <v>429</v>
      </c>
    </row>
    <row r="416" spans="2:9" x14ac:dyDescent="0.25">
      <c r="C416" t="s">
        <v>960</v>
      </c>
      <c r="D416" t="s">
        <v>1000</v>
      </c>
      <c r="G416" t="s">
        <v>962</v>
      </c>
      <c r="I416" t="s">
        <v>429</v>
      </c>
    </row>
    <row r="417" spans="2:9" x14ac:dyDescent="0.25">
      <c r="C417" t="s">
        <v>963</v>
      </c>
      <c r="D417" t="s">
        <v>1001</v>
      </c>
      <c r="G417" t="s">
        <v>965</v>
      </c>
      <c r="I417" t="s">
        <v>429</v>
      </c>
    </row>
    <row r="418" spans="2:9" x14ac:dyDescent="0.25">
      <c r="B418" t="s">
        <v>276</v>
      </c>
      <c r="D418" t="s">
        <v>1002</v>
      </c>
      <c r="I418" t="s">
        <v>429</v>
      </c>
    </row>
    <row r="419" spans="2:9" x14ac:dyDescent="0.25">
      <c r="C419" t="s">
        <v>885</v>
      </c>
      <c r="D419" t="s">
        <v>1003</v>
      </c>
      <c r="G419" t="s">
        <v>887</v>
      </c>
      <c r="I419" t="s">
        <v>429</v>
      </c>
    </row>
    <row r="420" spans="2:9" x14ac:dyDescent="0.25">
      <c r="C420" t="s">
        <v>888</v>
      </c>
      <c r="D420" t="s">
        <v>1004</v>
      </c>
      <c r="G420" t="s">
        <v>890</v>
      </c>
      <c r="I420" t="s">
        <v>429</v>
      </c>
    </row>
    <row r="421" spans="2:9" x14ac:dyDescent="0.25">
      <c r="C421" t="s">
        <v>891</v>
      </c>
      <c r="D421" t="s">
        <v>1005</v>
      </c>
      <c r="G421" t="s">
        <v>893</v>
      </c>
      <c r="I421" t="s">
        <v>429</v>
      </c>
    </row>
    <row r="422" spans="2:9" x14ac:dyDescent="0.25">
      <c r="C422" t="s">
        <v>894</v>
      </c>
      <c r="D422" t="s">
        <v>1006</v>
      </c>
      <c r="G422" t="s">
        <v>896</v>
      </c>
      <c r="I422" t="s">
        <v>429</v>
      </c>
    </row>
    <row r="423" spans="2:9" x14ac:dyDescent="0.25">
      <c r="C423" t="s">
        <v>897</v>
      </c>
      <c r="D423" t="s">
        <v>1007</v>
      </c>
      <c r="G423" t="s">
        <v>899</v>
      </c>
      <c r="I423" t="s">
        <v>429</v>
      </c>
    </row>
    <row r="424" spans="2:9" x14ac:dyDescent="0.25">
      <c r="C424" t="s">
        <v>900</v>
      </c>
      <c r="D424" t="s">
        <v>1008</v>
      </c>
      <c r="G424" t="s">
        <v>902</v>
      </c>
      <c r="I424" t="s">
        <v>429</v>
      </c>
    </row>
    <row r="425" spans="2:9" x14ac:dyDescent="0.25">
      <c r="C425" t="s">
        <v>903</v>
      </c>
      <c r="D425" t="s">
        <v>1009</v>
      </c>
      <c r="G425" t="s">
        <v>905</v>
      </c>
      <c r="I425" t="s">
        <v>429</v>
      </c>
    </row>
    <row r="426" spans="2:9" x14ac:dyDescent="0.25">
      <c r="C426" t="s">
        <v>906</v>
      </c>
      <c r="D426" t="s">
        <v>1010</v>
      </c>
      <c r="G426" t="s">
        <v>908</v>
      </c>
      <c r="I426" t="s">
        <v>429</v>
      </c>
    </row>
    <row r="427" spans="2:9" x14ac:dyDescent="0.25">
      <c r="C427" t="s">
        <v>909</v>
      </c>
      <c r="D427" t="s">
        <v>1011</v>
      </c>
      <c r="G427" t="s">
        <v>911</v>
      </c>
      <c r="I427" t="s">
        <v>429</v>
      </c>
    </row>
    <row r="428" spans="2:9" x14ac:dyDescent="0.25">
      <c r="C428" t="s">
        <v>912</v>
      </c>
      <c r="D428" t="s">
        <v>1012</v>
      </c>
      <c r="G428" t="s">
        <v>914</v>
      </c>
      <c r="I428" t="s">
        <v>429</v>
      </c>
    </row>
    <row r="429" spans="2:9" x14ac:dyDescent="0.25">
      <c r="C429" t="s">
        <v>915</v>
      </c>
      <c r="D429" t="s">
        <v>1013</v>
      </c>
      <c r="G429" t="s">
        <v>917</v>
      </c>
      <c r="I429" t="s">
        <v>429</v>
      </c>
    </row>
    <row r="430" spans="2:9" x14ac:dyDescent="0.25">
      <c r="C430" t="s">
        <v>918</v>
      </c>
      <c r="D430" t="s">
        <v>1014</v>
      </c>
      <c r="G430" t="s">
        <v>920</v>
      </c>
      <c r="I430" t="s">
        <v>429</v>
      </c>
    </row>
    <row r="431" spans="2:9" x14ac:dyDescent="0.25">
      <c r="C431" t="s">
        <v>921</v>
      </c>
      <c r="D431" t="s">
        <v>1015</v>
      </c>
      <c r="G431" t="s">
        <v>923</v>
      </c>
      <c r="I431" t="s">
        <v>429</v>
      </c>
    </row>
    <row r="432" spans="2:9" x14ac:dyDescent="0.25">
      <c r="C432" t="s">
        <v>924</v>
      </c>
      <c r="D432" t="s">
        <v>1016</v>
      </c>
      <c r="G432" t="s">
        <v>926</v>
      </c>
      <c r="I432" t="s">
        <v>429</v>
      </c>
    </row>
    <row r="433" spans="3:9" x14ac:dyDescent="0.25">
      <c r="C433" t="s">
        <v>927</v>
      </c>
      <c r="D433" t="s">
        <v>1017</v>
      </c>
      <c r="G433" t="s">
        <v>929</v>
      </c>
      <c r="I433" t="s">
        <v>429</v>
      </c>
    </row>
    <row r="434" spans="3:9" x14ac:dyDescent="0.25">
      <c r="C434" t="s">
        <v>930</v>
      </c>
      <c r="D434" t="s">
        <v>1018</v>
      </c>
      <c r="G434" t="s">
        <v>932</v>
      </c>
      <c r="I434" t="s">
        <v>429</v>
      </c>
    </row>
    <row r="435" spans="3:9" x14ac:dyDescent="0.25">
      <c r="C435" t="s">
        <v>933</v>
      </c>
      <c r="D435" t="s">
        <v>1019</v>
      </c>
      <c r="G435" t="s">
        <v>935</v>
      </c>
      <c r="I435" t="s">
        <v>429</v>
      </c>
    </row>
    <row r="436" spans="3:9" x14ac:dyDescent="0.25">
      <c r="C436" t="s">
        <v>936</v>
      </c>
      <c r="D436" t="s">
        <v>1020</v>
      </c>
      <c r="G436" t="s">
        <v>938</v>
      </c>
      <c r="I436" t="s">
        <v>429</v>
      </c>
    </row>
    <row r="437" spans="3:9" x14ac:dyDescent="0.25">
      <c r="C437" t="s">
        <v>939</v>
      </c>
      <c r="D437" t="s">
        <v>1021</v>
      </c>
      <c r="G437" t="s">
        <v>941</v>
      </c>
      <c r="I437" t="s">
        <v>429</v>
      </c>
    </row>
    <row r="438" spans="3:9" x14ac:dyDescent="0.25">
      <c r="C438" t="s">
        <v>942</v>
      </c>
      <c r="D438" t="s">
        <v>1022</v>
      </c>
      <c r="G438" t="s">
        <v>944</v>
      </c>
      <c r="I438" t="s">
        <v>429</v>
      </c>
    </row>
    <row r="439" spans="3:9" x14ac:dyDescent="0.25">
      <c r="C439" t="s">
        <v>945</v>
      </c>
      <c r="D439" t="s">
        <v>1023</v>
      </c>
      <c r="G439" t="s">
        <v>947</v>
      </c>
      <c r="I439" t="s">
        <v>429</v>
      </c>
    </row>
    <row r="440" spans="3:9" x14ac:dyDescent="0.25">
      <c r="C440" t="s">
        <v>948</v>
      </c>
      <c r="D440" t="s">
        <v>1024</v>
      </c>
      <c r="G440" t="s">
        <v>950</v>
      </c>
      <c r="I440" t="s">
        <v>429</v>
      </c>
    </row>
    <row r="441" spans="3:9" x14ac:dyDescent="0.25">
      <c r="C441" t="s">
        <v>951</v>
      </c>
      <c r="D441" t="s">
        <v>1025</v>
      </c>
      <c r="G441" t="s">
        <v>953</v>
      </c>
      <c r="I441" t="s">
        <v>429</v>
      </c>
    </row>
    <row r="442" spans="3:9" x14ac:dyDescent="0.25">
      <c r="C442" t="s">
        <v>954</v>
      </c>
      <c r="D442" t="s">
        <v>1026</v>
      </c>
      <c r="G442" t="s">
        <v>956</v>
      </c>
      <c r="I442" t="s">
        <v>429</v>
      </c>
    </row>
    <row r="443" spans="3:9" x14ac:dyDescent="0.25">
      <c r="C443" t="s">
        <v>957</v>
      </c>
      <c r="D443" t="s">
        <v>1027</v>
      </c>
      <c r="G443" t="s">
        <v>959</v>
      </c>
      <c r="I443" t="s">
        <v>429</v>
      </c>
    </row>
    <row r="444" spans="3:9" x14ac:dyDescent="0.25">
      <c r="C444" t="s">
        <v>960</v>
      </c>
      <c r="D444" t="s">
        <v>1028</v>
      </c>
      <c r="G444" t="s">
        <v>962</v>
      </c>
      <c r="I444" t="s">
        <v>429</v>
      </c>
    </row>
    <row r="445" spans="3:9" x14ac:dyDescent="0.25">
      <c r="C445" t="s">
        <v>963</v>
      </c>
      <c r="D445" t="s">
        <v>1029</v>
      </c>
      <c r="G445" t="s">
        <v>965</v>
      </c>
      <c r="I445" t="s">
        <v>429</v>
      </c>
    </row>
    <row r="446" spans="3:9" x14ac:dyDescent="0.25">
      <c r="C446" t="s">
        <v>966</v>
      </c>
      <c r="D446" t="s">
        <v>1030</v>
      </c>
      <c r="G446" t="s">
        <v>968</v>
      </c>
      <c r="I446" t="s">
        <v>429</v>
      </c>
    </row>
    <row r="447" spans="3:9" x14ac:dyDescent="0.25">
      <c r="C447" t="s">
        <v>969</v>
      </c>
      <c r="D447" t="s">
        <v>1031</v>
      </c>
      <c r="G447" t="s">
        <v>971</v>
      </c>
      <c r="I447" t="s">
        <v>429</v>
      </c>
    </row>
    <row r="448" spans="3:9" x14ac:dyDescent="0.25">
      <c r="C448" t="s">
        <v>972</v>
      </c>
      <c r="D448" t="s">
        <v>1032</v>
      </c>
      <c r="G448" t="s">
        <v>974</v>
      </c>
      <c r="I448" t="s">
        <v>429</v>
      </c>
    </row>
    <row r="449" spans="2:9" x14ac:dyDescent="0.25">
      <c r="C449" t="s">
        <v>975</v>
      </c>
      <c r="D449" t="s">
        <v>1033</v>
      </c>
      <c r="G449" t="s">
        <v>977</v>
      </c>
      <c r="I449" t="s">
        <v>429</v>
      </c>
    </row>
    <row r="450" spans="2:9" x14ac:dyDescent="0.25">
      <c r="C450" t="s">
        <v>978</v>
      </c>
      <c r="D450" t="s">
        <v>1034</v>
      </c>
      <c r="G450" t="s">
        <v>980</v>
      </c>
      <c r="I450" t="s">
        <v>429</v>
      </c>
    </row>
    <row r="451" spans="2:9" x14ac:dyDescent="0.25">
      <c r="C451" t="s">
        <v>981</v>
      </c>
      <c r="D451" t="s">
        <v>1035</v>
      </c>
      <c r="G451" t="s">
        <v>983</v>
      </c>
      <c r="I451" t="s">
        <v>429</v>
      </c>
    </row>
    <row r="452" spans="2:9" x14ac:dyDescent="0.25">
      <c r="C452" t="s">
        <v>984</v>
      </c>
      <c r="D452" t="s">
        <v>1036</v>
      </c>
      <c r="G452" t="s">
        <v>986</v>
      </c>
      <c r="I452" t="s">
        <v>429</v>
      </c>
    </row>
    <row r="453" spans="2:9" x14ac:dyDescent="0.25">
      <c r="B453" t="s">
        <v>347</v>
      </c>
      <c r="D453" t="s">
        <v>1037</v>
      </c>
      <c r="I453" t="s">
        <v>429</v>
      </c>
    </row>
    <row r="454" spans="2:9" x14ac:dyDescent="0.25">
      <c r="C454" t="s">
        <v>951</v>
      </c>
      <c r="D454" t="s">
        <v>1038</v>
      </c>
      <c r="G454" t="s">
        <v>953</v>
      </c>
      <c r="I454" t="s">
        <v>429</v>
      </c>
    </row>
    <row r="455" spans="2:9" x14ac:dyDescent="0.25">
      <c r="C455" t="s">
        <v>957</v>
      </c>
      <c r="D455" t="s">
        <v>1039</v>
      </c>
      <c r="G455" t="s">
        <v>959</v>
      </c>
      <c r="I455" t="s">
        <v>429</v>
      </c>
    </row>
    <row r="456" spans="2:9" x14ac:dyDescent="0.25">
      <c r="C456" t="s">
        <v>960</v>
      </c>
      <c r="D456" t="s">
        <v>1040</v>
      </c>
      <c r="G456" t="s">
        <v>962</v>
      </c>
      <c r="I456" t="s">
        <v>429</v>
      </c>
    </row>
    <row r="457" spans="2:9" x14ac:dyDescent="0.25">
      <c r="C457" t="s">
        <v>963</v>
      </c>
      <c r="D457" t="s">
        <v>1041</v>
      </c>
      <c r="G457" t="s">
        <v>965</v>
      </c>
      <c r="I457" t="s">
        <v>429</v>
      </c>
    </row>
    <row r="458" spans="2:9" x14ac:dyDescent="0.25">
      <c r="B458" t="s">
        <v>348</v>
      </c>
      <c r="D458" t="s">
        <v>1042</v>
      </c>
      <c r="I458" t="s">
        <v>429</v>
      </c>
    </row>
    <row r="459" spans="2:9" x14ac:dyDescent="0.25">
      <c r="C459" t="s">
        <v>951</v>
      </c>
      <c r="D459" t="s">
        <v>1043</v>
      </c>
      <c r="G459" t="s">
        <v>953</v>
      </c>
      <c r="I459" t="s">
        <v>429</v>
      </c>
    </row>
    <row r="460" spans="2:9" x14ac:dyDescent="0.25">
      <c r="C460" t="s">
        <v>957</v>
      </c>
      <c r="D460" t="s">
        <v>1044</v>
      </c>
      <c r="G460" t="s">
        <v>959</v>
      </c>
      <c r="I460" t="s">
        <v>429</v>
      </c>
    </row>
    <row r="461" spans="2:9" x14ac:dyDescent="0.25">
      <c r="C461" t="s">
        <v>960</v>
      </c>
      <c r="D461" t="s">
        <v>1045</v>
      </c>
      <c r="G461" t="s">
        <v>962</v>
      </c>
      <c r="I461" t="s">
        <v>429</v>
      </c>
    </row>
    <row r="462" spans="2:9" x14ac:dyDescent="0.25">
      <c r="C462" t="s">
        <v>963</v>
      </c>
      <c r="D462" t="s">
        <v>1046</v>
      </c>
      <c r="G462" t="s">
        <v>965</v>
      </c>
      <c r="I462" t="s">
        <v>429</v>
      </c>
    </row>
    <row r="463" spans="2:9" x14ac:dyDescent="0.25">
      <c r="B463" t="s">
        <v>280</v>
      </c>
      <c r="D463" t="s">
        <v>1047</v>
      </c>
      <c r="I463" t="s">
        <v>429</v>
      </c>
    </row>
    <row r="464" spans="2:9" x14ac:dyDescent="0.25">
      <c r="C464" t="s">
        <v>885</v>
      </c>
      <c r="D464" t="s">
        <v>1048</v>
      </c>
      <c r="G464" t="s">
        <v>887</v>
      </c>
      <c r="I464" t="s">
        <v>429</v>
      </c>
    </row>
    <row r="465" spans="3:9" x14ac:dyDescent="0.25">
      <c r="C465" t="s">
        <v>888</v>
      </c>
      <c r="D465" t="s">
        <v>1049</v>
      </c>
      <c r="G465" t="s">
        <v>890</v>
      </c>
      <c r="I465" t="s">
        <v>429</v>
      </c>
    </row>
    <row r="466" spans="3:9" x14ac:dyDescent="0.25">
      <c r="C466" t="s">
        <v>891</v>
      </c>
      <c r="D466" t="s">
        <v>1050</v>
      </c>
      <c r="G466" t="s">
        <v>893</v>
      </c>
      <c r="I466" t="s">
        <v>429</v>
      </c>
    </row>
    <row r="467" spans="3:9" x14ac:dyDescent="0.25">
      <c r="C467" t="s">
        <v>894</v>
      </c>
      <c r="D467" t="s">
        <v>1051</v>
      </c>
      <c r="G467" t="s">
        <v>896</v>
      </c>
      <c r="I467" t="s">
        <v>429</v>
      </c>
    </row>
    <row r="468" spans="3:9" x14ac:dyDescent="0.25">
      <c r="C468" t="s">
        <v>897</v>
      </c>
      <c r="D468" t="s">
        <v>1052</v>
      </c>
      <c r="G468" t="s">
        <v>899</v>
      </c>
      <c r="I468" t="s">
        <v>429</v>
      </c>
    </row>
    <row r="469" spans="3:9" x14ac:dyDescent="0.25">
      <c r="C469" t="s">
        <v>900</v>
      </c>
      <c r="D469" t="s">
        <v>1053</v>
      </c>
      <c r="G469" t="s">
        <v>902</v>
      </c>
      <c r="I469" t="s">
        <v>429</v>
      </c>
    </row>
    <row r="470" spans="3:9" x14ac:dyDescent="0.25">
      <c r="C470" t="s">
        <v>903</v>
      </c>
      <c r="D470" t="s">
        <v>1054</v>
      </c>
      <c r="G470" t="s">
        <v>905</v>
      </c>
      <c r="I470" t="s">
        <v>429</v>
      </c>
    </row>
    <row r="471" spans="3:9" x14ac:dyDescent="0.25">
      <c r="C471" t="s">
        <v>906</v>
      </c>
      <c r="D471" t="s">
        <v>1055</v>
      </c>
      <c r="G471" t="s">
        <v>908</v>
      </c>
      <c r="I471" t="s">
        <v>429</v>
      </c>
    </row>
    <row r="472" spans="3:9" x14ac:dyDescent="0.25">
      <c r="C472" t="s">
        <v>909</v>
      </c>
      <c r="D472" t="s">
        <v>1056</v>
      </c>
      <c r="G472" t="s">
        <v>911</v>
      </c>
      <c r="I472" t="s">
        <v>429</v>
      </c>
    </row>
    <row r="473" spans="3:9" x14ac:dyDescent="0.25">
      <c r="C473" t="s">
        <v>912</v>
      </c>
      <c r="D473" t="s">
        <v>1057</v>
      </c>
      <c r="G473" t="s">
        <v>914</v>
      </c>
      <c r="I473" t="s">
        <v>429</v>
      </c>
    </row>
    <row r="474" spans="3:9" x14ac:dyDescent="0.25">
      <c r="C474" t="s">
        <v>915</v>
      </c>
      <c r="D474" t="s">
        <v>1058</v>
      </c>
      <c r="G474" t="s">
        <v>917</v>
      </c>
      <c r="I474" t="s">
        <v>429</v>
      </c>
    </row>
    <row r="475" spans="3:9" x14ac:dyDescent="0.25">
      <c r="C475" t="s">
        <v>918</v>
      </c>
      <c r="D475" t="s">
        <v>1059</v>
      </c>
      <c r="G475" t="s">
        <v>920</v>
      </c>
      <c r="I475" t="s">
        <v>429</v>
      </c>
    </row>
    <row r="476" spans="3:9" x14ac:dyDescent="0.25">
      <c r="C476" t="s">
        <v>921</v>
      </c>
      <c r="D476" t="s">
        <v>1060</v>
      </c>
      <c r="G476" t="s">
        <v>923</v>
      </c>
      <c r="I476" t="s">
        <v>429</v>
      </c>
    </row>
    <row r="477" spans="3:9" x14ac:dyDescent="0.25">
      <c r="C477" t="s">
        <v>924</v>
      </c>
      <c r="D477" t="s">
        <v>1061</v>
      </c>
      <c r="G477" t="s">
        <v>926</v>
      </c>
      <c r="I477" t="s">
        <v>429</v>
      </c>
    </row>
    <row r="478" spans="3:9" x14ac:dyDescent="0.25">
      <c r="C478" t="s">
        <v>927</v>
      </c>
      <c r="D478" t="s">
        <v>1062</v>
      </c>
      <c r="G478" t="s">
        <v>929</v>
      </c>
      <c r="I478" t="s">
        <v>429</v>
      </c>
    </row>
    <row r="479" spans="3:9" x14ac:dyDescent="0.25">
      <c r="C479" t="s">
        <v>930</v>
      </c>
      <c r="D479" t="s">
        <v>1063</v>
      </c>
      <c r="G479" t="s">
        <v>932</v>
      </c>
      <c r="I479" t="s">
        <v>429</v>
      </c>
    </row>
    <row r="480" spans="3:9" x14ac:dyDescent="0.25">
      <c r="C480" t="s">
        <v>933</v>
      </c>
      <c r="D480" t="s">
        <v>1064</v>
      </c>
      <c r="G480" t="s">
        <v>935</v>
      </c>
      <c r="I480" t="s">
        <v>429</v>
      </c>
    </row>
    <row r="481" spans="3:9" x14ac:dyDescent="0.25">
      <c r="C481" t="s">
        <v>936</v>
      </c>
      <c r="D481" t="s">
        <v>1065</v>
      </c>
      <c r="G481" t="s">
        <v>938</v>
      </c>
      <c r="I481" t="s">
        <v>429</v>
      </c>
    </row>
    <row r="482" spans="3:9" x14ac:dyDescent="0.25">
      <c r="C482" t="s">
        <v>939</v>
      </c>
      <c r="D482" t="s">
        <v>1066</v>
      </c>
      <c r="G482" t="s">
        <v>941</v>
      </c>
      <c r="I482" t="s">
        <v>429</v>
      </c>
    </row>
    <row r="483" spans="3:9" x14ac:dyDescent="0.25">
      <c r="C483" t="s">
        <v>942</v>
      </c>
      <c r="D483" t="s">
        <v>1067</v>
      </c>
      <c r="G483" t="s">
        <v>944</v>
      </c>
      <c r="I483" t="s">
        <v>429</v>
      </c>
    </row>
    <row r="484" spans="3:9" x14ac:dyDescent="0.25">
      <c r="C484" t="s">
        <v>945</v>
      </c>
      <c r="D484" t="s">
        <v>1068</v>
      </c>
      <c r="G484" t="s">
        <v>947</v>
      </c>
      <c r="I484" t="s">
        <v>429</v>
      </c>
    </row>
    <row r="485" spans="3:9" x14ac:dyDescent="0.25">
      <c r="C485" t="s">
        <v>948</v>
      </c>
      <c r="D485" t="s">
        <v>1069</v>
      </c>
      <c r="G485" t="s">
        <v>950</v>
      </c>
      <c r="I485" t="s">
        <v>429</v>
      </c>
    </row>
    <row r="486" spans="3:9" x14ac:dyDescent="0.25">
      <c r="C486" t="s">
        <v>951</v>
      </c>
      <c r="D486" t="s">
        <v>1070</v>
      </c>
      <c r="G486" t="s">
        <v>953</v>
      </c>
      <c r="I486" t="s">
        <v>429</v>
      </c>
    </row>
    <row r="487" spans="3:9" x14ac:dyDescent="0.25">
      <c r="C487" t="s">
        <v>954</v>
      </c>
      <c r="D487" t="s">
        <v>1071</v>
      </c>
      <c r="G487" t="s">
        <v>956</v>
      </c>
      <c r="I487" t="s">
        <v>429</v>
      </c>
    </row>
    <row r="488" spans="3:9" x14ac:dyDescent="0.25">
      <c r="C488" t="s">
        <v>957</v>
      </c>
      <c r="D488" t="s">
        <v>1072</v>
      </c>
      <c r="G488" t="s">
        <v>959</v>
      </c>
      <c r="I488" t="s">
        <v>429</v>
      </c>
    </row>
    <row r="489" spans="3:9" x14ac:dyDescent="0.25">
      <c r="C489" t="s">
        <v>960</v>
      </c>
      <c r="D489" t="s">
        <v>1073</v>
      </c>
      <c r="G489" t="s">
        <v>962</v>
      </c>
      <c r="I489" t="s">
        <v>429</v>
      </c>
    </row>
    <row r="490" spans="3:9" x14ac:dyDescent="0.25">
      <c r="C490" t="s">
        <v>963</v>
      </c>
      <c r="D490" t="s">
        <v>1074</v>
      </c>
      <c r="G490" t="s">
        <v>965</v>
      </c>
      <c r="I490" t="s">
        <v>429</v>
      </c>
    </row>
    <row r="491" spans="3:9" x14ac:dyDescent="0.25">
      <c r="C491" t="s">
        <v>966</v>
      </c>
      <c r="D491" t="s">
        <v>1075</v>
      </c>
      <c r="G491" t="s">
        <v>968</v>
      </c>
      <c r="I491" t="s">
        <v>429</v>
      </c>
    </row>
    <row r="492" spans="3:9" x14ac:dyDescent="0.25">
      <c r="C492" t="s">
        <v>969</v>
      </c>
      <c r="D492" t="s">
        <v>1076</v>
      </c>
      <c r="G492" t="s">
        <v>971</v>
      </c>
      <c r="I492" t="s">
        <v>429</v>
      </c>
    </row>
    <row r="493" spans="3:9" x14ac:dyDescent="0.25">
      <c r="C493" t="s">
        <v>972</v>
      </c>
      <c r="D493" t="s">
        <v>1077</v>
      </c>
      <c r="G493" t="s">
        <v>974</v>
      </c>
      <c r="I493" t="s">
        <v>429</v>
      </c>
    </row>
    <row r="494" spans="3:9" x14ac:dyDescent="0.25">
      <c r="C494" t="s">
        <v>975</v>
      </c>
      <c r="D494" t="s">
        <v>1078</v>
      </c>
      <c r="G494" t="s">
        <v>977</v>
      </c>
      <c r="I494" t="s">
        <v>429</v>
      </c>
    </row>
    <row r="495" spans="3:9" x14ac:dyDescent="0.25">
      <c r="C495" t="s">
        <v>978</v>
      </c>
      <c r="D495" t="s">
        <v>1079</v>
      </c>
      <c r="G495" t="s">
        <v>980</v>
      </c>
      <c r="I495" t="s">
        <v>429</v>
      </c>
    </row>
    <row r="496" spans="3:9" x14ac:dyDescent="0.25">
      <c r="C496" t="s">
        <v>981</v>
      </c>
      <c r="D496" t="s">
        <v>1080</v>
      </c>
      <c r="G496" t="s">
        <v>983</v>
      </c>
      <c r="I496" t="s">
        <v>429</v>
      </c>
    </row>
    <row r="497" spans="1:9" x14ac:dyDescent="0.25">
      <c r="C497" t="s">
        <v>984</v>
      </c>
      <c r="D497" t="s">
        <v>1081</v>
      </c>
      <c r="G497" t="s">
        <v>986</v>
      </c>
      <c r="I497" t="s">
        <v>429</v>
      </c>
    </row>
    <row r="498" spans="1:9" x14ac:dyDescent="0.25">
      <c r="D498" t="s">
        <v>1082</v>
      </c>
      <c r="I498" t="s">
        <v>429</v>
      </c>
    </row>
    <row r="499" spans="1:9" x14ac:dyDescent="0.25">
      <c r="A499" t="s">
        <v>51</v>
      </c>
      <c r="D499" t="s">
        <v>1083</v>
      </c>
      <c r="I499" t="s">
        <v>429</v>
      </c>
    </row>
    <row r="500" spans="1:9" x14ac:dyDescent="0.25">
      <c r="B500" t="s">
        <v>255</v>
      </c>
      <c r="D500" t="s">
        <v>1084</v>
      </c>
      <c r="I500" t="s">
        <v>429</v>
      </c>
    </row>
    <row r="501" spans="1:9" x14ac:dyDescent="0.25">
      <c r="C501" t="s">
        <v>1085</v>
      </c>
      <c r="D501" t="s">
        <v>1086</v>
      </c>
      <c r="G501" t="s">
        <v>1087</v>
      </c>
      <c r="I501" t="s">
        <v>429</v>
      </c>
    </row>
    <row r="502" spans="1:9" x14ac:dyDescent="0.25">
      <c r="C502" t="s">
        <v>1088</v>
      </c>
      <c r="D502" t="s">
        <v>1089</v>
      </c>
      <c r="G502" t="s">
        <v>1090</v>
      </c>
      <c r="I502" t="s">
        <v>429</v>
      </c>
    </row>
    <row r="503" spans="1:9" x14ac:dyDescent="0.25">
      <c r="C503" t="s">
        <v>1091</v>
      </c>
      <c r="D503" t="s">
        <v>1092</v>
      </c>
      <c r="G503" t="s">
        <v>1093</v>
      </c>
      <c r="I503" t="s">
        <v>429</v>
      </c>
    </row>
    <row r="504" spans="1:9" x14ac:dyDescent="0.25">
      <c r="C504" t="s">
        <v>1094</v>
      </c>
      <c r="D504" t="s">
        <v>1095</v>
      </c>
      <c r="G504" t="s">
        <v>1096</v>
      </c>
      <c r="I504" t="s">
        <v>429</v>
      </c>
    </row>
    <row r="505" spans="1:9" x14ac:dyDescent="0.25">
      <c r="C505" t="s">
        <v>1097</v>
      </c>
      <c r="D505" t="s">
        <v>1098</v>
      </c>
      <c r="G505" t="s">
        <v>1099</v>
      </c>
      <c r="I505" t="s">
        <v>429</v>
      </c>
    </row>
    <row r="506" spans="1:9" x14ac:dyDescent="0.25">
      <c r="C506" t="s">
        <v>1100</v>
      </c>
      <c r="D506" t="s">
        <v>1101</v>
      </c>
      <c r="G506" t="s">
        <v>1102</v>
      </c>
      <c r="I506" t="s">
        <v>429</v>
      </c>
    </row>
    <row r="507" spans="1:9" x14ac:dyDescent="0.25">
      <c r="C507" t="s">
        <v>1103</v>
      </c>
      <c r="D507" t="s">
        <v>1104</v>
      </c>
      <c r="G507" t="s">
        <v>1105</v>
      </c>
      <c r="I507" t="s">
        <v>429</v>
      </c>
    </row>
    <row r="508" spans="1:9" x14ac:dyDescent="0.25">
      <c r="C508" t="s">
        <v>1106</v>
      </c>
      <c r="D508" t="s">
        <v>1107</v>
      </c>
      <c r="G508" t="s">
        <v>1108</v>
      </c>
      <c r="I508" t="s">
        <v>429</v>
      </c>
    </row>
    <row r="509" spans="1:9" x14ac:dyDescent="0.25">
      <c r="C509" t="s">
        <v>1109</v>
      </c>
      <c r="D509" t="s">
        <v>1110</v>
      </c>
      <c r="G509" t="s">
        <v>1111</v>
      </c>
      <c r="I509" t="s">
        <v>429</v>
      </c>
    </row>
    <row r="510" spans="1:9" x14ac:dyDescent="0.25">
      <c r="C510" t="s">
        <v>1112</v>
      </c>
      <c r="D510" t="s">
        <v>1113</v>
      </c>
      <c r="G510" t="s">
        <v>1114</v>
      </c>
      <c r="I510" t="s">
        <v>429</v>
      </c>
    </row>
    <row r="511" spans="1:9" x14ac:dyDescent="0.25">
      <c r="C511" t="s">
        <v>1115</v>
      </c>
      <c r="D511" t="s">
        <v>1116</v>
      </c>
      <c r="G511" t="s">
        <v>1117</v>
      </c>
      <c r="I511" t="s">
        <v>429</v>
      </c>
    </row>
    <row r="512" spans="1:9" x14ac:dyDescent="0.25">
      <c r="B512" t="s">
        <v>360</v>
      </c>
      <c r="D512" t="s">
        <v>1118</v>
      </c>
      <c r="I512" t="s">
        <v>429</v>
      </c>
    </row>
    <row r="513" spans="2:9" x14ac:dyDescent="0.25">
      <c r="C513" t="s">
        <v>1085</v>
      </c>
      <c r="D513" t="s">
        <v>1119</v>
      </c>
      <c r="G513" t="s">
        <v>1087</v>
      </c>
      <c r="I513" t="s">
        <v>429</v>
      </c>
    </row>
    <row r="514" spans="2:9" x14ac:dyDescent="0.25">
      <c r="C514" t="s">
        <v>1088</v>
      </c>
      <c r="D514" t="s">
        <v>1120</v>
      </c>
      <c r="G514" t="s">
        <v>1090</v>
      </c>
      <c r="I514" t="s">
        <v>429</v>
      </c>
    </row>
    <row r="515" spans="2:9" x14ac:dyDescent="0.25">
      <c r="C515" t="s">
        <v>1091</v>
      </c>
      <c r="D515" t="s">
        <v>1121</v>
      </c>
      <c r="G515" t="s">
        <v>1093</v>
      </c>
      <c r="I515" t="s">
        <v>429</v>
      </c>
    </row>
    <row r="516" spans="2:9" x14ac:dyDescent="0.25">
      <c r="C516" t="s">
        <v>1094</v>
      </c>
      <c r="D516" t="s">
        <v>1122</v>
      </c>
      <c r="G516" t="s">
        <v>1096</v>
      </c>
      <c r="I516" t="s">
        <v>429</v>
      </c>
    </row>
    <row r="517" spans="2:9" x14ac:dyDescent="0.25">
      <c r="C517" t="s">
        <v>1097</v>
      </c>
      <c r="D517" t="s">
        <v>1123</v>
      </c>
      <c r="G517" t="s">
        <v>1099</v>
      </c>
      <c r="I517" t="s">
        <v>429</v>
      </c>
    </row>
    <row r="518" spans="2:9" x14ac:dyDescent="0.25">
      <c r="C518" t="s">
        <v>1100</v>
      </c>
      <c r="D518" t="s">
        <v>1124</v>
      </c>
      <c r="G518" t="s">
        <v>1102</v>
      </c>
      <c r="I518" t="s">
        <v>429</v>
      </c>
    </row>
    <row r="519" spans="2:9" x14ac:dyDescent="0.25">
      <c r="C519" t="s">
        <v>1103</v>
      </c>
      <c r="D519" t="s">
        <v>1125</v>
      </c>
      <c r="G519" t="s">
        <v>1105</v>
      </c>
      <c r="I519" t="s">
        <v>429</v>
      </c>
    </row>
    <row r="520" spans="2:9" x14ac:dyDescent="0.25">
      <c r="C520" t="s">
        <v>1106</v>
      </c>
      <c r="D520" t="s">
        <v>1126</v>
      </c>
      <c r="G520" t="s">
        <v>1108</v>
      </c>
      <c r="I520" t="s">
        <v>429</v>
      </c>
    </row>
    <row r="521" spans="2:9" x14ac:dyDescent="0.25">
      <c r="C521" t="s">
        <v>1109</v>
      </c>
      <c r="D521" t="s">
        <v>1127</v>
      </c>
      <c r="G521" t="s">
        <v>1111</v>
      </c>
      <c r="I521" t="s">
        <v>429</v>
      </c>
    </row>
    <row r="522" spans="2:9" x14ac:dyDescent="0.25">
      <c r="C522" t="s">
        <v>1112</v>
      </c>
      <c r="D522" t="s">
        <v>1128</v>
      </c>
      <c r="G522" t="s">
        <v>1114</v>
      </c>
      <c r="I522" t="s">
        <v>429</v>
      </c>
    </row>
    <row r="523" spans="2:9" x14ac:dyDescent="0.25">
      <c r="C523" t="s">
        <v>1115</v>
      </c>
      <c r="D523" t="s">
        <v>1129</v>
      </c>
      <c r="G523" t="s">
        <v>1117</v>
      </c>
      <c r="I523" t="s">
        <v>429</v>
      </c>
    </row>
    <row r="524" spans="2:9" x14ac:dyDescent="0.25">
      <c r="B524" t="s">
        <v>361</v>
      </c>
      <c r="D524" t="s">
        <v>1130</v>
      </c>
      <c r="I524" t="s">
        <v>429</v>
      </c>
    </row>
    <row r="525" spans="2:9" x14ac:dyDescent="0.25">
      <c r="C525" t="s">
        <v>1085</v>
      </c>
      <c r="D525" t="s">
        <v>1131</v>
      </c>
      <c r="G525" t="s">
        <v>1087</v>
      </c>
      <c r="I525" t="s">
        <v>429</v>
      </c>
    </row>
    <row r="526" spans="2:9" x14ac:dyDescent="0.25">
      <c r="C526" t="s">
        <v>1088</v>
      </c>
      <c r="D526" t="s">
        <v>1132</v>
      </c>
      <c r="G526" t="s">
        <v>1090</v>
      </c>
      <c r="I526" t="s">
        <v>429</v>
      </c>
    </row>
    <row r="527" spans="2:9" x14ac:dyDescent="0.25">
      <c r="C527" t="s">
        <v>1091</v>
      </c>
      <c r="D527" t="s">
        <v>1133</v>
      </c>
      <c r="G527" t="s">
        <v>1093</v>
      </c>
      <c r="I527" t="s">
        <v>429</v>
      </c>
    </row>
    <row r="528" spans="2:9" x14ac:dyDescent="0.25">
      <c r="C528" t="s">
        <v>1094</v>
      </c>
      <c r="D528" t="s">
        <v>1134</v>
      </c>
      <c r="G528" t="s">
        <v>1096</v>
      </c>
      <c r="I528" t="s">
        <v>429</v>
      </c>
    </row>
    <row r="529" spans="2:9" x14ac:dyDescent="0.25">
      <c r="C529" t="s">
        <v>1097</v>
      </c>
      <c r="D529" t="s">
        <v>1135</v>
      </c>
      <c r="G529" t="s">
        <v>1099</v>
      </c>
      <c r="I529" t="s">
        <v>429</v>
      </c>
    </row>
    <row r="530" spans="2:9" x14ac:dyDescent="0.25">
      <c r="C530" t="s">
        <v>1100</v>
      </c>
      <c r="D530" t="s">
        <v>1136</v>
      </c>
      <c r="G530" t="s">
        <v>1102</v>
      </c>
      <c r="I530" t="s">
        <v>429</v>
      </c>
    </row>
    <row r="531" spans="2:9" x14ac:dyDescent="0.25">
      <c r="C531" t="s">
        <v>1103</v>
      </c>
      <c r="D531" t="s">
        <v>1137</v>
      </c>
      <c r="G531" t="s">
        <v>1105</v>
      </c>
      <c r="I531" t="s">
        <v>429</v>
      </c>
    </row>
    <row r="532" spans="2:9" x14ac:dyDescent="0.25">
      <c r="C532" t="s">
        <v>1106</v>
      </c>
      <c r="D532" t="s">
        <v>1138</v>
      </c>
      <c r="G532" t="s">
        <v>1108</v>
      </c>
      <c r="I532" t="s">
        <v>429</v>
      </c>
    </row>
    <row r="533" spans="2:9" x14ac:dyDescent="0.25">
      <c r="C533" t="s">
        <v>1109</v>
      </c>
      <c r="D533" t="s">
        <v>1139</v>
      </c>
      <c r="G533" t="s">
        <v>1111</v>
      </c>
      <c r="I533" t="s">
        <v>429</v>
      </c>
    </row>
    <row r="534" spans="2:9" x14ac:dyDescent="0.25">
      <c r="C534" t="s">
        <v>1112</v>
      </c>
      <c r="D534" t="s">
        <v>1140</v>
      </c>
      <c r="G534" t="s">
        <v>1114</v>
      </c>
      <c r="I534" t="s">
        <v>429</v>
      </c>
    </row>
    <row r="535" spans="2:9" x14ac:dyDescent="0.25">
      <c r="C535" t="s">
        <v>1115</v>
      </c>
      <c r="D535" t="s">
        <v>1141</v>
      </c>
      <c r="G535" t="s">
        <v>1117</v>
      </c>
      <c r="I535" t="s">
        <v>429</v>
      </c>
    </row>
    <row r="536" spans="2:9" x14ac:dyDescent="0.25">
      <c r="B536" t="s">
        <v>362</v>
      </c>
      <c r="D536" t="s">
        <v>1142</v>
      </c>
      <c r="I536" t="s">
        <v>429</v>
      </c>
    </row>
    <row r="537" spans="2:9" x14ac:dyDescent="0.25">
      <c r="C537" t="s">
        <v>1085</v>
      </c>
      <c r="D537" t="s">
        <v>1143</v>
      </c>
      <c r="G537" t="s">
        <v>1087</v>
      </c>
      <c r="I537" t="s">
        <v>429</v>
      </c>
    </row>
    <row r="538" spans="2:9" x14ac:dyDescent="0.25">
      <c r="C538" t="s">
        <v>1088</v>
      </c>
      <c r="D538" t="s">
        <v>1144</v>
      </c>
      <c r="G538" t="s">
        <v>1090</v>
      </c>
      <c r="I538" t="s">
        <v>429</v>
      </c>
    </row>
    <row r="539" spans="2:9" x14ac:dyDescent="0.25">
      <c r="C539" t="s">
        <v>1091</v>
      </c>
      <c r="D539" t="s">
        <v>1145</v>
      </c>
      <c r="G539" t="s">
        <v>1093</v>
      </c>
      <c r="I539" t="s">
        <v>429</v>
      </c>
    </row>
    <row r="540" spans="2:9" x14ac:dyDescent="0.25">
      <c r="C540" t="s">
        <v>1094</v>
      </c>
      <c r="D540" t="s">
        <v>1146</v>
      </c>
      <c r="G540" t="s">
        <v>1096</v>
      </c>
      <c r="I540" t="s">
        <v>429</v>
      </c>
    </row>
    <row r="541" spans="2:9" x14ac:dyDescent="0.25">
      <c r="C541" t="s">
        <v>1097</v>
      </c>
      <c r="D541" t="s">
        <v>1147</v>
      </c>
      <c r="G541" t="s">
        <v>1099</v>
      </c>
      <c r="I541" t="s">
        <v>429</v>
      </c>
    </row>
    <row r="542" spans="2:9" x14ac:dyDescent="0.25">
      <c r="C542" t="s">
        <v>1100</v>
      </c>
      <c r="D542" t="s">
        <v>1148</v>
      </c>
      <c r="G542" t="s">
        <v>1102</v>
      </c>
      <c r="I542" t="s">
        <v>429</v>
      </c>
    </row>
    <row r="543" spans="2:9" x14ac:dyDescent="0.25">
      <c r="C543" t="s">
        <v>1103</v>
      </c>
      <c r="D543" t="s">
        <v>1149</v>
      </c>
      <c r="G543" t="s">
        <v>1105</v>
      </c>
      <c r="I543" t="s">
        <v>429</v>
      </c>
    </row>
    <row r="544" spans="2:9" x14ac:dyDescent="0.25">
      <c r="C544" t="s">
        <v>1106</v>
      </c>
      <c r="D544" t="s">
        <v>1150</v>
      </c>
      <c r="G544" t="s">
        <v>1108</v>
      </c>
      <c r="I544" t="s">
        <v>429</v>
      </c>
    </row>
    <row r="545" spans="2:9" x14ac:dyDescent="0.25">
      <c r="C545" t="s">
        <v>1109</v>
      </c>
      <c r="D545" t="s">
        <v>1151</v>
      </c>
      <c r="G545" t="s">
        <v>1111</v>
      </c>
      <c r="I545" t="s">
        <v>429</v>
      </c>
    </row>
    <row r="546" spans="2:9" x14ac:dyDescent="0.25">
      <c r="C546" t="s">
        <v>1112</v>
      </c>
      <c r="D546" t="s">
        <v>1152</v>
      </c>
      <c r="G546" t="s">
        <v>1114</v>
      </c>
      <c r="I546" t="s">
        <v>429</v>
      </c>
    </row>
    <row r="547" spans="2:9" x14ac:dyDescent="0.25">
      <c r="C547" t="s">
        <v>1115</v>
      </c>
      <c r="D547" t="s">
        <v>1153</v>
      </c>
      <c r="G547" t="s">
        <v>1117</v>
      </c>
      <c r="I547" t="s">
        <v>429</v>
      </c>
    </row>
    <row r="548" spans="2:9" x14ac:dyDescent="0.25">
      <c r="B548" t="s">
        <v>363</v>
      </c>
      <c r="D548" t="s">
        <v>1154</v>
      </c>
      <c r="I548" t="s">
        <v>429</v>
      </c>
    </row>
    <row r="549" spans="2:9" x14ac:dyDescent="0.25">
      <c r="C549" t="s">
        <v>1085</v>
      </c>
      <c r="D549" t="s">
        <v>1155</v>
      </c>
      <c r="G549" t="s">
        <v>1087</v>
      </c>
      <c r="I549" t="s">
        <v>429</v>
      </c>
    </row>
    <row r="550" spans="2:9" x14ac:dyDescent="0.25">
      <c r="C550" t="s">
        <v>1088</v>
      </c>
      <c r="D550" t="s">
        <v>1156</v>
      </c>
      <c r="G550" t="s">
        <v>1090</v>
      </c>
      <c r="I550" t="s">
        <v>429</v>
      </c>
    </row>
    <row r="551" spans="2:9" x14ac:dyDescent="0.25">
      <c r="C551" t="s">
        <v>1091</v>
      </c>
      <c r="D551" t="s">
        <v>1157</v>
      </c>
      <c r="G551" t="s">
        <v>1093</v>
      </c>
      <c r="I551" t="s">
        <v>429</v>
      </c>
    </row>
    <row r="552" spans="2:9" x14ac:dyDescent="0.25">
      <c r="C552" t="s">
        <v>1094</v>
      </c>
      <c r="D552" t="s">
        <v>1158</v>
      </c>
      <c r="G552" t="s">
        <v>1096</v>
      </c>
      <c r="I552" t="s">
        <v>429</v>
      </c>
    </row>
    <row r="553" spans="2:9" x14ac:dyDescent="0.25">
      <c r="C553" t="s">
        <v>1097</v>
      </c>
      <c r="D553" t="s">
        <v>1159</v>
      </c>
      <c r="G553" t="s">
        <v>1099</v>
      </c>
      <c r="I553" t="s">
        <v>429</v>
      </c>
    </row>
    <row r="554" spans="2:9" x14ac:dyDescent="0.25">
      <c r="C554" t="s">
        <v>1100</v>
      </c>
      <c r="D554" t="s">
        <v>1160</v>
      </c>
      <c r="G554" t="s">
        <v>1102</v>
      </c>
      <c r="I554" t="s">
        <v>429</v>
      </c>
    </row>
    <row r="555" spans="2:9" x14ac:dyDescent="0.25">
      <c r="C555" t="s">
        <v>1103</v>
      </c>
      <c r="D555" t="s">
        <v>1161</v>
      </c>
      <c r="G555" t="s">
        <v>1105</v>
      </c>
      <c r="I555" t="s">
        <v>429</v>
      </c>
    </row>
    <row r="556" spans="2:9" x14ac:dyDescent="0.25">
      <c r="C556" t="s">
        <v>1106</v>
      </c>
      <c r="D556" t="s">
        <v>1162</v>
      </c>
      <c r="G556" t="s">
        <v>1108</v>
      </c>
      <c r="I556" t="s">
        <v>429</v>
      </c>
    </row>
    <row r="557" spans="2:9" x14ac:dyDescent="0.25">
      <c r="C557" t="s">
        <v>1109</v>
      </c>
      <c r="D557" t="s">
        <v>1163</v>
      </c>
      <c r="G557" t="s">
        <v>1111</v>
      </c>
      <c r="I557" t="s">
        <v>429</v>
      </c>
    </row>
    <row r="558" spans="2:9" x14ac:dyDescent="0.25">
      <c r="C558" t="s">
        <v>1112</v>
      </c>
      <c r="D558" t="s">
        <v>1164</v>
      </c>
      <c r="G558" t="s">
        <v>1114</v>
      </c>
      <c r="I558" t="s">
        <v>429</v>
      </c>
    </row>
    <row r="559" spans="2:9" x14ac:dyDescent="0.25">
      <c r="C559" t="s">
        <v>1115</v>
      </c>
      <c r="D559" t="s">
        <v>1165</v>
      </c>
      <c r="G559" t="s">
        <v>1117</v>
      </c>
      <c r="I559" t="s">
        <v>429</v>
      </c>
    </row>
    <row r="560" spans="2:9" x14ac:dyDescent="0.25">
      <c r="B560" t="s">
        <v>278</v>
      </c>
      <c r="D560" t="s">
        <v>1166</v>
      </c>
      <c r="I560" t="s">
        <v>429</v>
      </c>
    </row>
    <row r="561" spans="2:9" x14ac:dyDescent="0.25">
      <c r="C561" t="s">
        <v>1085</v>
      </c>
      <c r="D561" t="s">
        <v>1167</v>
      </c>
      <c r="G561" t="s">
        <v>1087</v>
      </c>
      <c r="I561" t="s">
        <v>429</v>
      </c>
    </row>
    <row r="562" spans="2:9" x14ac:dyDescent="0.25">
      <c r="C562" t="s">
        <v>1088</v>
      </c>
      <c r="D562" t="s">
        <v>1168</v>
      </c>
      <c r="G562" t="s">
        <v>1090</v>
      </c>
      <c r="I562" t="s">
        <v>429</v>
      </c>
    </row>
    <row r="563" spans="2:9" x14ac:dyDescent="0.25">
      <c r="C563" t="s">
        <v>1091</v>
      </c>
      <c r="D563" t="s">
        <v>1169</v>
      </c>
      <c r="G563" t="s">
        <v>1093</v>
      </c>
      <c r="I563" t="s">
        <v>429</v>
      </c>
    </row>
    <row r="564" spans="2:9" x14ac:dyDescent="0.25">
      <c r="C564" t="s">
        <v>1094</v>
      </c>
      <c r="D564" t="s">
        <v>1170</v>
      </c>
      <c r="G564" t="s">
        <v>1096</v>
      </c>
      <c r="I564" t="s">
        <v>429</v>
      </c>
    </row>
    <row r="565" spans="2:9" x14ac:dyDescent="0.25">
      <c r="C565" t="s">
        <v>1097</v>
      </c>
      <c r="D565" t="s">
        <v>1171</v>
      </c>
      <c r="G565" t="s">
        <v>1099</v>
      </c>
      <c r="I565" t="s">
        <v>429</v>
      </c>
    </row>
    <row r="566" spans="2:9" x14ac:dyDescent="0.25">
      <c r="C566" t="s">
        <v>1100</v>
      </c>
      <c r="D566" t="s">
        <v>1172</v>
      </c>
      <c r="G566" t="s">
        <v>1102</v>
      </c>
      <c r="I566" t="s">
        <v>429</v>
      </c>
    </row>
    <row r="567" spans="2:9" x14ac:dyDescent="0.25">
      <c r="C567" t="s">
        <v>1103</v>
      </c>
      <c r="D567" t="s">
        <v>1173</v>
      </c>
      <c r="G567" t="s">
        <v>1105</v>
      </c>
      <c r="I567" t="s">
        <v>429</v>
      </c>
    </row>
    <row r="568" spans="2:9" x14ac:dyDescent="0.25">
      <c r="C568" t="s">
        <v>1106</v>
      </c>
      <c r="D568" t="s">
        <v>1174</v>
      </c>
      <c r="G568" t="s">
        <v>1108</v>
      </c>
      <c r="I568" t="s">
        <v>429</v>
      </c>
    </row>
    <row r="569" spans="2:9" x14ac:dyDescent="0.25">
      <c r="C569" t="s">
        <v>1109</v>
      </c>
      <c r="D569" t="s">
        <v>1175</v>
      </c>
      <c r="G569" t="s">
        <v>1111</v>
      </c>
      <c r="I569" t="s">
        <v>429</v>
      </c>
    </row>
    <row r="570" spans="2:9" x14ac:dyDescent="0.25">
      <c r="C570" t="s">
        <v>1112</v>
      </c>
      <c r="D570" t="s">
        <v>1176</v>
      </c>
      <c r="G570" t="s">
        <v>1114</v>
      </c>
      <c r="I570" t="s">
        <v>429</v>
      </c>
    </row>
    <row r="571" spans="2:9" x14ac:dyDescent="0.25">
      <c r="C571" t="s">
        <v>1115</v>
      </c>
      <c r="D571" t="s">
        <v>1177</v>
      </c>
      <c r="G571" t="s">
        <v>1117</v>
      </c>
      <c r="I571" t="s">
        <v>429</v>
      </c>
    </row>
    <row r="572" spans="2:9" x14ac:dyDescent="0.25">
      <c r="B572" t="s">
        <v>364</v>
      </c>
      <c r="D572" t="s">
        <v>1178</v>
      </c>
      <c r="I572" t="s">
        <v>429</v>
      </c>
    </row>
    <row r="573" spans="2:9" x14ac:dyDescent="0.25">
      <c r="C573" t="s">
        <v>1085</v>
      </c>
      <c r="D573" t="s">
        <v>1179</v>
      </c>
      <c r="G573" t="s">
        <v>1087</v>
      </c>
      <c r="I573" t="s">
        <v>429</v>
      </c>
    </row>
    <row r="574" spans="2:9" x14ac:dyDescent="0.25">
      <c r="C574" t="s">
        <v>1088</v>
      </c>
      <c r="D574" t="s">
        <v>1180</v>
      </c>
      <c r="G574" t="s">
        <v>1090</v>
      </c>
      <c r="I574" t="s">
        <v>429</v>
      </c>
    </row>
    <row r="575" spans="2:9" x14ac:dyDescent="0.25">
      <c r="C575" t="s">
        <v>1091</v>
      </c>
      <c r="D575" t="s">
        <v>1181</v>
      </c>
      <c r="G575" t="s">
        <v>1093</v>
      </c>
      <c r="I575" t="s">
        <v>429</v>
      </c>
    </row>
    <row r="576" spans="2:9" x14ac:dyDescent="0.25">
      <c r="C576" t="s">
        <v>1094</v>
      </c>
      <c r="D576" t="s">
        <v>1182</v>
      </c>
      <c r="G576" t="s">
        <v>1096</v>
      </c>
      <c r="I576" t="s">
        <v>429</v>
      </c>
    </row>
    <row r="577" spans="2:9" x14ac:dyDescent="0.25">
      <c r="C577" t="s">
        <v>1097</v>
      </c>
      <c r="D577" t="s">
        <v>1183</v>
      </c>
      <c r="G577" t="s">
        <v>1099</v>
      </c>
      <c r="I577" t="s">
        <v>429</v>
      </c>
    </row>
    <row r="578" spans="2:9" x14ac:dyDescent="0.25">
      <c r="C578" t="s">
        <v>1100</v>
      </c>
      <c r="D578" t="s">
        <v>1184</v>
      </c>
      <c r="G578" t="s">
        <v>1102</v>
      </c>
      <c r="I578" t="s">
        <v>429</v>
      </c>
    </row>
    <row r="579" spans="2:9" x14ac:dyDescent="0.25">
      <c r="C579" t="s">
        <v>1103</v>
      </c>
      <c r="D579" t="s">
        <v>1185</v>
      </c>
      <c r="G579" t="s">
        <v>1105</v>
      </c>
      <c r="I579" t="s">
        <v>429</v>
      </c>
    </row>
    <row r="580" spans="2:9" x14ac:dyDescent="0.25">
      <c r="C580" t="s">
        <v>1106</v>
      </c>
      <c r="D580" t="s">
        <v>1186</v>
      </c>
      <c r="G580" t="s">
        <v>1108</v>
      </c>
      <c r="I580" t="s">
        <v>429</v>
      </c>
    </row>
    <row r="581" spans="2:9" x14ac:dyDescent="0.25">
      <c r="C581" t="s">
        <v>1109</v>
      </c>
      <c r="D581" t="s">
        <v>1187</v>
      </c>
      <c r="G581" t="s">
        <v>1111</v>
      </c>
      <c r="I581" t="s">
        <v>429</v>
      </c>
    </row>
    <row r="582" spans="2:9" x14ac:dyDescent="0.25">
      <c r="C582" t="s">
        <v>1112</v>
      </c>
      <c r="D582" t="s">
        <v>1188</v>
      </c>
      <c r="G582" t="s">
        <v>1114</v>
      </c>
      <c r="I582" t="s">
        <v>429</v>
      </c>
    </row>
    <row r="583" spans="2:9" x14ac:dyDescent="0.25">
      <c r="C583" t="s">
        <v>1115</v>
      </c>
      <c r="D583" t="s">
        <v>1189</v>
      </c>
      <c r="G583" t="s">
        <v>1117</v>
      </c>
      <c r="I583" t="s">
        <v>429</v>
      </c>
    </row>
    <row r="584" spans="2:9" x14ac:dyDescent="0.25">
      <c r="B584" t="s">
        <v>280</v>
      </c>
      <c r="D584" t="s">
        <v>1190</v>
      </c>
      <c r="I584" t="s">
        <v>429</v>
      </c>
    </row>
    <row r="585" spans="2:9" x14ac:dyDescent="0.25">
      <c r="C585" t="s">
        <v>1085</v>
      </c>
      <c r="D585" t="s">
        <v>1191</v>
      </c>
      <c r="G585" t="s">
        <v>1087</v>
      </c>
      <c r="I585" t="s">
        <v>429</v>
      </c>
    </row>
    <row r="586" spans="2:9" x14ac:dyDescent="0.25">
      <c r="C586" t="s">
        <v>1088</v>
      </c>
      <c r="D586" t="s">
        <v>1192</v>
      </c>
      <c r="G586" t="s">
        <v>1090</v>
      </c>
      <c r="I586" t="s">
        <v>429</v>
      </c>
    </row>
    <row r="587" spans="2:9" x14ac:dyDescent="0.25">
      <c r="C587" t="s">
        <v>1091</v>
      </c>
      <c r="D587" t="s">
        <v>1193</v>
      </c>
      <c r="G587" t="s">
        <v>1093</v>
      </c>
      <c r="I587" t="s">
        <v>429</v>
      </c>
    </row>
    <row r="588" spans="2:9" x14ac:dyDescent="0.25">
      <c r="C588" t="s">
        <v>1094</v>
      </c>
      <c r="D588" t="s">
        <v>1194</v>
      </c>
      <c r="G588" t="s">
        <v>1096</v>
      </c>
      <c r="I588" t="s">
        <v>429</v>
      </c>
    </row>
    <row r="589" spans="2:9" x14ac:dyDescent="0.25">
      <c r="C589" t="s">
        <v>1097</v>
      </c>
      <c r="D589" t="s">
        <v>1195</v>
      </c>
      <c r="G589" t="s">
        <v>1099</v>
      </c>
      <c r="I589" t="s">
        <v>429</v>
      </c>
    </row>
    <row r="590" spans="2:9" x14ac:dyDescent="0.25">
      <c r="C590" t="s">
        <v>1100</v>
      </c>
      <c r="D590" t="s">
        <v>1196</v>
      </c>
      <c r="G590" t="s">
        <v>1102</v>
      </c>
      <c r="I590" t="s">
        <v>429</v>
      </c>
    </row>
    <row r="591" spans="2:9" x14ac:dyDescent="0.25">
      <c r="C591" t="s">
        <v>1103</v>
      </c>
      <c r="D591" t="s">
        <v>1197</v>
      </c>
      <c r="G591" t="s">
        <v>1105</v>
      </c>
      <c r="I591" t="s">
        <v>429</v>
      </c>
    </row>
    <row r="592" spans="2:9" x14ac:dyDescent="0.25">
      <c r="C592" t="s">
        <v>1106</v>
      </c>
      <c r="D592" t="s">
        <v>1198</v>
      </c>
      <c r="G592" t="s">
        <v>1108</v>
      </c>
      <c r="I592" t="s">
        <v>429</v>
      </c>
    </row>
    <row r="593" spans="1:9" x14ac:dyDescent="0.25">
      <c r="C593" t="s">
        <v>1109</v>
      </c>
      <c r="D593" t="s">
        <v>1199</v>
      </c>
      <c r="G593" t="s">
        <v>1111</v>
      </c>
      <c r="I593" t="s">
        <v>429</v>
      </c>
    </row>
    <row r="594" spans="1:9" x14ac:dyDescent="0.25">
      <c r="C594" t="s">
        <v>1112</v>
      </c>
      <c r="D594" t="s">
        <v>1200</v>
      </c>
      <c r="G594" t="s">
        <v>1114</v>
      </c>
      <c r="I594" t="s">
        <v>429</v>
      </c>
    </row>
    <row r="595" spans="1:9" x14ac:dyDescent="0.25">
      <c r="C595" t="s">
        <v>1115</v>
      </c>
      <c r="D595" t="s">
        <v>1201</v>
      </c>
      <c r="G595" t="s">
        <v>1117</v>
      </c>
      <c r="I595" t="s">
        <v>429</v>
      </c>
    </row>
    <row r="596" spans="1:9" x14ac:dyDescent="0.25">
      <c r="D596" t="s">
        <v>1202</v>
      </c>
      <c r="I596" t="s">
        <v>429</v>
      </c>
    </row>
    <row r="597" spans="1:9" x14ac:dyDescent="0.25">
      <c r="A597" t="s">
        <v>29</v>
      </c>
      <c r="D597" t="s">
        <v>1203</v>
      </c>
      <c r="I597" t="s">
        <v>429</v>
      </c>
    </row>
    <row r="598" spans="1:9" x14ac:dyDescent="0.25">
      <c r="B598" t="s">
        <v>366</v>
      </c>
      <c r="D598" t="s">
        <v>1204</v>
      </c>
      <c r="I598" t="s">
        <v>429</v>
      </c>
    </row>
    <row r="599" spans="1:9" x14ac:dyDescent="0.25">
      <c r="C599" t="s">
        <v>1205</v>
      </c>
      <c r="D599" t="s">
        <v>1206</v>
      </c>
      <c r="G599" t="s">
        <v>1207</v>
      </c>
      <c r="I599" t="s">
        <v>429</v>
      </c>
    </row>
    <row r="600" spans="1:9" x14ac:dyDescent="0.25">
      <c r="C600" t="s">
        <v>1208</v>
      </c>
      <c r="D600" t="s">
        <v>1209</v>
      </c>
      <c r="G600" t="s">
        <v>1207</v>
      </c>
      <c r="I600" t="s">
        <v>429</v>
      </c>
    </row>
    <row r="601" spans="1:9" x14ac:dyDescent="0.25">
      <c r="C601" t="s">
        <v>1210</v>
      </c>
      <c r="D601" t="s">
        <v>1211</v>
      </c>
      <c r="G601" t="s">
        <v>1207</v>
      </c>
      <c r="I601" t="s">
        <v>429</v>
      </c>
    </row>
    <row r="602" spans="1:9" x14ac:dyDescent="0.25">
      <c r="C602" t="s">
        <v>1212</v>
      </c>
      <c r="D602" t="s">
        <v>1213</v>
      </c>
      <c r="G602" t="s">
        <v>1207</v>
      </c>
      <c r="I602" t="s">
        <v>429</v>
      </c>
    </row>
    <row r="603" spans="1:9" x14ac:dyDescent="0.25">
      <c r="C603" t="s">
        <v>1214</v>
      </c>
      <c r="D603" t="s">
        <v>1215</v>
      </c>
      <c r="G603" t="s">
        <v>1207</v>
      </c>
      <c r="I603" t="s">
        <v>429</v>
      </c>
    </row>
    <row r="604" spans="1:9" x14ac:dyDescent="0.25">
      <c r="C604" t="s">
        <v>1216</v>
      </c>
      <c r="D604" t="s">
        <v>1217</v>
      </c>
      <c r="G604" t="s">
        <v>1207</v>
      </c>
      <c r="I604" t="s">
        <v>429</v>
      </c>
    </row>
    <row r="605" spans="1:9" x14ac:dyDescent="0.25">
      <c r="C605" t="s">
        <v>1218</v>
      </c>
      <c r="D605" t="s">
        <v>1219</v>
      </c>
      <c r="G605" t="s">
        <v>1207</v>
      </c>
      <c r="I605" t="s">
        <v>429</v>
      </c>
    </row>
    <row r="606" spans="1:9" x14ac:dyDescent="0.25">
      <c r="C606" t="s">
        <v>1220</v>
      </c>
      <c r="D606" t="s">
        <v>1221</v>
      </c>
      <c r="G606" t="s">
        <v>1207</v>
      </c>
      <c r="I606" t="s">
        <v>429</v>
      </c>
    </row>
    <row r="607" spans="1:9" x14ac:dyDescent="0.25">
      <c r="C607" t="s">
        <v>1222</v>
      </c>
      <c r="D607" t="s">
        <v>1223</v>
      </c>
      <c r="G607" t="s">
        <v>1207</v>
      </c>
      <c r="I607" t="s">
        <v>429</v>
      </c>
    </row>
    <row r="608" spans="1:9" x14ac:dyDescent="0.25">
      <c r="C608" t="s">
        <v>1224</v>
      </c>
      <c r="D608" t="s">
        <v>1225</v>
      </c>
      <c r="G608" t="s">
        <v>1207</v>
      </c>
      <c r="I608" t="s">
        <v>429</v>
      </c>
    </row>
    <row r="609" spans="2:9" x14ac:dyDescent="0.25">
      <c r="C609" t="s">
        <v>1226</v>
      </c>
      <c r="D609" t="s">
        <v>1227</v>
      </c>
      <c r="G609" t="s">
        <v>1207</v>
      </c>
      <c r="I609" t="s">
        <v>429</v>
      </c>
    </row>
    <row r="610" spans="2:9" x14ac:dyDescent="0.25">
      <c r="C610" t="s">
        <v>1228</v>
      </c>
      <c r="D610" t="s">
        <v>1229</v>
      </c>
      <c r="G610" t="s">
        <v>1207</v>
      </c>
      <c r="I610" t="s">
        <v>429</v>
      </c>
    </row>
    <row r="611" spans="2:9" x14ac:dyDescent="0.25">
      <c r="B611" t="s">
        <v>378</v>
      </c>
      <c r="D611" t="s">
        <v>1230</v>
      </c>
      <c r="I611" t="s">
        <v>429</v>
      </c>
    </row>
    <row r="612" spans="2:9" x14ac:dyDescent="0.25">
      <c r="C612" t="s">
        <v>1220</v>
      </c>
      <c r="D612" t="s">
        <v>1231</v>
      </c>
      <c r="G612" t="s">
        <v>1207</v>
      </c>
      <c r="I612" t="s">
        <v>429</v>
      </c>
    </row>
    <row r="613" spans="2:9" x14ac:dyDescent="0.25">
      <c r="C613" t="s">
        <v>1226</v>
      </c>
      <c r="D613" t="s">
        <v>1232</v>
      </c>
      <c r="G613" t="s">
        <v>1207</v>
      </c>
      <c r="I613" t="s">
        <v>429</v>
      </c>
    </row>
    <row r="614" spans="2:9" x14ac:dyDescent="0.25">
      <c r="B614" t="s">
        <v>380</v>
      </c>
      <c r="D614" t="s">
        <v>1233</v>
      </c>
      <c r="I614" t="s">
        <v>429</v>
      </c>
    </row>
    <row r="615" spans="2:9" x14ac:dyDescent="0.25">
      <c r="C615" t="s">
        <v>1234</v>
      </c>
      <c r="D615" t="s">
        <v>1235</v>
      </c>
      <c r="G615" t="s">
        <v>1207</v>
      </c>
      <c r="I615" t="s">
        <v>429</v>
      </c>
    </row>
    <row r="616" spans="2:9" x14ac:dyDescent="0.25">
      <c r="C616" t="s">
        <v>1236</v>
      </c>
      <c r="D616" t="s">
        <v>1237</v>
      </c>
      <c r="G616" t="s">
        <v>1207</v>
      </c>
      <c r="I616" t="s">
        <v>429</v>
      </c>
    </row>
    <row r="617" spans="2:9" x14ac:dyDescent="0.25">
      <c r="C617" t="s">
        <v>1238</v>
      </c>
      <c r="D617" t="s">
        <v>1239</v>
      </c>
      <c r="G617" t="s">
        <v>1207</v>
      </c>
      <c r="I617" t="s">
        <v>429</v>
      </c>
    </row>
    <row r="618" spans="2:9" x14ac:dyDescent="0.25">
      <c r="C618" t="s">
        <v>1240</v>
      </c>
      <c r="D618" t="s">
        <v>1241</v>
      </c>
      <c r="G618" t="s">
        <v>1207</v>
      </c>
      <c r="I618" t="s">
        <v>429</v>
      </c>
    </row>
    <row r="619" spans="2:9" x14ac:dyDescent="0.25">
      <c r="C619" t="s">
        <v>1242</v>
      </c>
      <c r="D619" t="s">
        <v>1243</v>
      </c>
      <c r="G619" t="s">
        <v>1207</v>
      </c>
      <c r="I619" t="s">
        <v>429</v>
      </c>
    </row>
    <row r="620" spans="2:9" x14ac:dyDescent="0.25">
      <c r="C620" t="s">
        <v>1220</v>
      </c>
      <c r="D620" t="s">
        <v>1244</v>
      </c>
      <c r="G620" t="s">
        <v>1207</v>
      </c>
      <c r="I620" t="s">
        <v>429</v>
      </c>
    </row>
    <row r="621" spans="2:9" x14ac:dyDescent="0.25">
      <c r="C621" t="s">
        <v>1245</v>
      </c>
      <c r="D621" t="s">
        <v>1246</v>
      </c>
      <c r="G621" t="s">
        <v>1207</v>
      </c>
      <c r="I621" t="s">
        <v>429</v>
      </c>
    </row>
    <row r="622" spans="2:9" x14ac:dyDescent="0.25">
      <c r="C622" t="s">
        <v>1247</v>
      </c>
      <c r="D622" t="s">
        <v>1248</v>
      </c>
      <c r="G622" t="s">
        <v>1207</v>
      </c>
      <c r="I622" t="s">
        <v>429</v>
      </c>
    </row>
    <row r="623" spans="2:9" x14ac:dyDescent="0.25">
      <c r="C623" t="s">
        <v>1249</v>
      </c>
      <c r="D623" t="s">
        <v>1250</v>
      </c>
      <c r="G623" t="s">
        <v>1207</v>
      </c>
      <c r="I623" t="s">
        <v>429</v>
      </c>
    </row>
    <row r="624" spans="2:9" x14ac:dyDescent="0.25">
      <c r="C624" t="s">
        <v>1251</v>
      </c>
      <c r="D624" t="s">
        <v>1252</v>
      </c>
      <c r="G624" t="s">
        <v>1207</v>
      </c>
      <c r="I624" t="s">
        <v>429</v>
      </c>
    </row>
    <row r="625" spans="2:9" x14ac:dyDescent="0.25">
      <c r="C625" t="s">
        <v>1226</v>
      </c>
      <c r="D625" t="s">
        <v>1253</v>
      </c>
      <c r="G625" t="s">
        <v>1207</v>
      </c>
      <c r="I625" t="s">
        <v>429</v>
      </c>
    </row>
    <row r="626" spans="2:9" x14ac:dyDescent="0.25">
      <c r="C626" t="s">
        <v>1254</v>
      </c>
      <c r="D626" t="s">
        <v>1255</v>
      </c>
      <c r="G626" t="s">
        <v>1207</v>
      </c>
      <c r="I626" t="s">
        <v>429</v>
      </c>
    </row>
    <row r="627" spans="2:9" x14ac:dyDescent="0.25">
      <c r="C627" t="s">
        <v>1256</v>
      </c>
      <c r="D627" t="s">
        <v>1257</v>
      </c>
      <c r="G627" t="s">
        <v>1207</v>
      </c>
      <c r="I627" t="s">
        <v>429</v>
      </c>
    </row>
    <row r="628" spans="2:9" x14ac:dyDescent="0.25">
      <c r="B628" t="s">
        <v>392</v>
      </c>
      <c r="D628" t="s">
        <v>1258</v>
      </c>
      <c r="I628" t="s">
        <v>429</v>
      </c>
    </row>
    <row r="629" spans="2:9" x14ac:dyDescent="0.25">
      <c r="C629" t="s">
        <v>1220</v>
      </c>
      <c r="D629" t="s">
        <v>1259</v>
      </c>
      <c r="G629" t="s">
        <v>1207</v>
      </c>
      <c r="I629" t="s">
        <v>429</v>
      </c>
    </row>
    <row r="630" spans="2:9" x14ac:dyDescent="0.25">
      <c r="C630" t="s">
        <v>1226</v>
      </c>
      <c r="D630" t="s">
        <v>1260</v>
      </c>
      <c r="G630" t="s">
        <v>1207</v>
      </c>
      <c r="I630" t="s">
        <v>429</v>
      </c>
    </row>
    <row r="631" spans="2:9" x14ac:dyDescent="0.25">
      <c r="B631" t="s">
        <v>394</v>
      </c>
      <c r="D631" t="s">
        <v>1261</v>
      </c>
      <c r="I631" t="s">
        <v>429</v>
      </c>
    </row>
    <row r="632" spans="2:9" x14ac:dyDescent="0.25">
      <c r="C632" t="s">
        <v>1262</v>
      </c>
      <c r="D632" t="s">
        <v>1263</v>
      </c>
      <c r="G632" t="s">
        <v>1207</v>
      </c>
      <c r="I632" t="s">
        <v>429</v>
      </c>
    </row>
    <row r="633" spans="2:9" x14ac:dyDescent="0.25">
      <c r="C633" t="s">
        <v>1264</v>
      </c>
      <c r="D633" t="s">
        <v>1265</v>
      </c>
      <c r="G633" t="s">
        <v>1266</v>
      </c>
      <c r="I633" t="s">
        <v>429</v>
      </c>
    </row>
    <row r="634" spans="2:9" x14ac:dyDescent="0.25">
      <c r="B634" t="s">
        <v>391</v>
      </c>
      <c r="D634" t="s">
        <v>1267</v>
      </c>
      <c r="I634" t="s">
        <v>429</v>
      </c>
    </row>
    <row r="635" spans="2:9" x14ac:dyDescent="0.25">
      <c r="C635" t="s">
        <v>1220</v>
      </c>
      <c r="D635" t="s">
        <v>1268</v>
      </c>
      <c r="G635" t="s">
        <v>1207</v>
      </c>
      <c r="I635" t="s">
        <v>429</v>
      </c>
    </row>
    <row r="636" spans="2:9" x14ac:dyDescent="0.25">
      <c r="C636" t="s">
        <v>1226</v>
      </c>
      <c r="D636" t="s">
        <v>1269</v>
      </c>
      <c r="G636" t="s">
        <v>1207</v>
      </c>
      <c r="I636" t="s">
        <v>429</v>
      </c>
    </row>
    <row r="637" spans="2:9" x14ac:dyDescent="0.25">
      <c r="C637" t="s">
        <v>1220</v>
      </c>
      <c r="D637" t="s">
        <v>1270</v>
      </c>
      <c r="G637" t="s">
        <v>1207</v>
      </c>
      <c r="I637" t="s">
        <v>429</v>
      </c>
    </row>
    <row r="638" spans="2:9" x14ac:dyDescent="0.25">
      <c r="C638" t="s">
        <v>1226</v>
      </c>
      <c r="D638" t="s">
        <v>1271</v>
      </c>
      <c r="G638" t="s">
        <v>1207</v>
      </c>
      <c r="I638" t="s">
        <v>429</v>
      </c>
    </row>
    <row r="639" spans="2:9" x14ac:dyDescent="0.25">
      <c r="B639" t="s">
        <v>397</v>
      </c>
      <c r="D639" t="s">
        <v>1272</v>
      </c>
      <c r="I639" t="s">
        <v>429</v>
      </c>
    </row>
    <row r="640" spans="2:9" x14ac:dyDescent="0.25">
      <c r="C640" t="s">
        <v>1273</v>
      </c>
      <c r="D640" t="s">
        <v>1274</v>
      </c>
      <c r="G640" t="s">
        <v>1275</v>
      </c>
      <c r="I640" t="s">
        <v>429</v>
      </c>
    </row>
    <row r="641" spans="3:9" x14ac:dyDescent="0.25">
      <c r="C641" t="s">
        <v>1276</v>
      </c>
      <c r="D641" t="s">
        <v>1277</v>
      </c>
      <c r="G641" t="s">
        <v>1278</v>
      </c>
      <c r="I641" t="s">
        <v>429</v>
      </c>
    </row>
    <row r="642" spans="3:9" x14ac:dyDescent="0.25">
      <c r="C642" t="s">
        <v>1279</v>
      </c>
      <c r="D642" t="s">
        <v>1280</v>
      </c>
      <c r="G642" t="s">
        <v>1281</v>
      </c>
      <c r="I642" t="s">
        <v>429</v>
      </c>
    </row>
    <row r="643" spans="3:9" x14ac:dyDescent="0.25">
      <c r="C643" t="s">
        <v>1282</v>
      </c>
      <c r="D643" t="s">
        <v>1283</v>
      </c>
      <c r="G643" t="s">
        <v>1284</v>
      </c>
      <c r="I643" t="s">
        <v>429</v>
      </c>
    </row>
    <row r="644" spans="3:9" x14ac:dyDescent="0.25">
      <c r="C644" t="s">
        <v>1285</v>
      </c>
      <c r="D644" t="s">
        <v>1286</v>
      </c>
      <c r="G644" t="s">
        <v>1287</v>
      </c>
      <c r="I644" t="s">
        <v>429</v>
      </c>
    </row>
    <row r="645" spans="3:9" x14ac:dyDescent="0.25">
      <c r="C645" t="s">
        <v>1288</v>
      </c>
      <c r="D645" t="s">
        <v>1289</v>
      </c>
      <c r="G645" t="s">
        <v>1290</v>
      </c>
      <c r="I645" t="s">
        <v>429</v>
      </c>
    </row>
    <row r="646" spans="3:9" x14ac:dyDescent="0.25">
      <c r="C646" t="s">
        <v>1291</v>
      </c>
      <c r="D646" t="s">
        <v>1292</v>
      </c>
      <c r="G646" t="s">
        <v>1293</v>
      </c>
      <c r="I646" t="s">
        <v>429</v>
      </c>
    </row>
    <row r="647" spans="3:9" x14ac:dyDescent="0.25">
      <c r="C647" t="s">
        <v>1294</v>
      </c>
      <c r="D647" t="s">
        <v>1295</v>
      </c>
      <c r="G647" t="s">
        <v>1296</v>
      </c>
      <c r="I647" t="s">
        <v>429</v>
      </c>
    </row>
    <row r="648" spans="3:9" x14ac:dyDescent="0.25">
      <c r="C648" t="s">
        <v>1297</v>
      </c>
      <c r="D648" t="s">
        <v>1298</v>
      </c>
      <c r="G648" t="s">
        <v>1299</v>
      </c>
      <c r="I648" t="s">
        <v>429</v>
      </c>
    </row>
    <row r="649" spans="3:9" x14ac:dyDescent="0.25">
      <c r="C649" t="s">
        <v>1300</v>
      </c>
      <c r="D649" t="s">
        <v>1301</v>
      </c>
      <c r="G649" t="s">
        <v>1302</v>
      </c>
      <c r="I649" t="s">
        <v>429</v>
      </c>
    </row>
    <row r="650" spans="3:9" x14ac:dyDescent="0.25">
      <c r="C650" t="s">
        <v>1303</v>
      </c>
      <c r="D650" t="s">
        <v>1304</v>
      </c>
      <c r="G650" t="s">
        <v>1305</v>
      </c>
      <c r="I650" t="s">
        <v>429</v>
      </c>
    </row>
    <row r="651" spans="3:9" x14ac:dyDescent="0.25">
      <c r="C651" t="s">
        <v>1306</v>
      </c>
      <c r="D651" t="s">
        <v>1307</v>
      </c>
      <c r="G651" t="s">
        <v>1308</v>
      </c>
      <c r="I651" t="s">
        <v>429</v>
      </c>
    </row>
    <row r="652" spans="3:9" x14ac:dyDescent="0.25">
      <c r="C652" t="s">
        <v>1309</v>
      </c>
      <c r="D652" t="s">
        <v>1310</v>
      </c>
      <c r="G652" t="s">
        <v>1311</v>
      </c>
      <c r="I652" t="s">
        <v>429</v>
      </c>
    </row>
    <row r="653" spans="3:9" x14ac:dyDescent="0.25">
      <c r="C653" t="s">
        <v>1312</v>
      </c>
      <c r="D653" t="s">
        <v>1313</v>
      </c>
      <c r="G653" t="s">
        <v>1314</v>
      </c>
      <c r="I653" t="s">
        <v>429</v>
      </c>
    </row>
    <row r="654" spans="3:9" x14ac:dyDescent="0.25">
      <c r="C654" t="s">
        <v>1315</v>
      </c>
      <c r="D654" t="s">
        <v>1316</v>
      </c>
      <c r="G654" t="s">
        <v>1317</v>
      </c>
      <c r="I654" t="s">
        <v>429</v>
      </c>
    </row>
    <row r="655" spans="3:9" x14ac:dyDescent="0.25">
      <c r="C655" t="s">
        <v>1318</v>
      </c>
      <c r="D655" t="s">
        <v>1319</v>
      </c>
      <c r="G655" t="s">
        <v>1320</v>
      </c>
      <c r="I655" t="s">
        <v>429</v>
      </c>
    </row>
    <row r="656" spans="3:9" x14ac:dyDescent="0.25">
      <c r="C656" t="s">
        <v>1321</v>
      </c>
      <c r="D656" t="s">
        <v>1322</v>
      </c>
      <c r="G656" t="s">
        <v>1323</v>
      </c>
      <c r="I656" t="s">
        <v>429</v>
      </c>
    </row>
    <row r="657" spans="1:9" x14ac:dyDescent="0.25">
      <c r="C657" t="s">
        <v>1324</v>
      </c>
      <c r="D657" t="s">
        <v>1325</v>
      </c>
      <c r="G657" t="s">
        <v>1326</v>
      </c>
      <c r="I657" t="s">
        <v>429</v>
      </c>
    </row>
    <row r="658" spans="1:9" x14ac:dyDescent="0.25">
      <c r="C658" t="s">
        <v>1327</v>
      </c>
      <c r="D658" t="s">
        <v>1328</v>
      </c>
      <c r="G658" t="s">
        <v>1329</v>
      </c>
      <c r="I658" t="s">
        <v>429</v>
      </c>
    </row>
    <row r="659" spans="1:9" x14ac:dyDescent="0.25">
      <c r="C659" t="s">
        <v>1330</v>
      </c>
      <c r="D659" t="s">
        <v>1331</v>
      </c>
      <c r="G659" t="s">
        <v>1332</v>
      </c>
      <c r="I659" t="s">
        <v>429</v>
      </c>
    </row>
    <row r="660" spans="1:9" x14ac:dyDescent="0.25">
      <c r="B660" t="s">
        <v>280</v>
      </c>
      <c r="D660" t="s">
        <v>1333</v>
      </c>
      <c r="I660" t="s">
        <v>429</v>
      </c>
    </row>
    <row r="661" spans="1:9" x14ac:dyDescent="0.25">
      <c r="D661" t="s">
        <v>1334</v>
      </c>
      <c r="I661" t="s">
        <v>429</v>
      </c>
    </row>
    <row r="662" spans="1:9" x14ac:dyDescent="0.25">
      <c r="A662" t="s">
        <v>25</v>
      </c>
      <c r="D662" t="s">
        <v>1335</v>
      </c>
      <c r="I662" t="s">
        <v>429</v>
      </c>
    </row>
    <row r="663" spans="1:9" x14ac:dyDescent="0.25">
      <c r="B663" t="s">
        <v>255</v>
      </c>
      <c r="D663" t="s">
        <v>1336</v>
      </c>
      <c r="I663" t="s">
        <v>429</v>
      </c>
    </row>
    <row r="664" spans="1:9" x14ac:dyDescent="0.25">
      <c r="C664" t="s">
        <v>1337</v>
      </c>
      <c r="D664" t="s">
        <v>1338</v>
      </c>
      <c r="G664" t="s">
        <v>1339</v>
      </c>
      <c r="I664" t="s">
        <v>429</v>
      </c>
    </row>
    <row r="665" spans="1:9" x14ac:dyDescent="0.25">
      <c r="C665" t="s">
        <v>1340</v>
      </c>
      <c r="D665" t="s">
        <v>1341</v>
      </c>
      <c r="G665" t="s">
        <v>1342</v>
      </c>
      <c r="I665" t="s">
        <v>429</v>
      </c>
    </row>
    <row r="666" spans="1:9" x14ac:dyDescent="0.25">
      <c r="C666" t="s">
        <v>1343</v>
      </c>
      <c r="D666" t="s">
        <v>1344</v>
      </c>
      <c r="G666" t="s">
        <v>1345</v>
      </c>
      <c r="I666" t="s">
        <v>429</v>
      </c>
    </row>
    <row r="667" spans="1:9" x14ac:dyDescent="0.25">
      <c r="C667" t="s">
        <v>1346</v>
      </c>
      <c r="D667" t="s">
        <v>1347</v>
      </c>
      <c r="G667" t="s">
        <v>1348</v>
      </c>
      <c r="I667" t="s">
        <v>429</v>
      </c>
    </row>
    <row r="668" spans="1:9" x14ac:dyDescent="0.25">
      <c r="C668" t="s">
        <v>1349</v>
      </c>
      <c r="D668" t="s">
        <v>1350</v>
      </c>
      <c r="G668" t="s">
        <v>1351</v>
      </c>
      <c r="I668" t="s">
        <v>429</v>
      </c>
    </row>
    <row r="669" spans="1:9" x14ac:dyDescent="0.25">
      <c r="C669" t="s">
        <v>1352</v>
      </c>
      <c r="D669" t="s">
        <v>1353</v>
      </c>
      <c r="G669" t="s">
        <v>1354</v>
      </c>
      <c r="I669" t="s">
        <v>429</v>
      </c>
    </row>
    <row r="670" spans="1:9" x14ac:dyDescent="0.25">
      <c r="C670" t="s">
        <v>1355</v>
      </c>
      <c r="D670" t="s">
        <v>1356</v>
      </c>
      <c r="G670" t="s">
        <v>1357</v>
      </c>
      <c r="I670" t="s">
        <v>429</v>
      </c>
    </row>
    <row r="671" spans="1:9" x14ac:dyDescent="0.25">
      <c r="C671" t="s">
        <v>1358</v>
      </c>
      <c r="D671" t="s">
        <v>1359</v>
      </c>
      <c r="G671" t="s">
        <v>1360</v>
      </c>
      <c r="I671" t="s">
        <v>429</v>
      </c>
    </row>
    <row r="672" spans="1:9" x14ac:dyDescent="0.25">
      <c r="B672" t="s">
        <v>274</v>
      </c>
      <c r="D672" t="s">
        <v>1361</v>
      </c>
      <c r="I672" t="s">
        <v>429</v>
      </c>
    </row>
    <row r="673" spans="2:9" x14ac:dyDescent="0.25">
      <c r="C673" t="s">
        <v>1337</v>
      </c>
      <c r="D673" t="s">
        <v>1362</v>
      </c>
      <c r="G673" t="s">
        <v>1339</v>
      </c>
      <c r="I673" t="s">
        <v>429</v>
      </c>
    </row>
    <row r="674" spans="2:9" x14ac:dyDescent="0.25">
      <c r="C674" t="s">
        <v>1340</v>
      </c>
      <c r="D674" t="s">
        <v>1363</v>
      </c>
      <c r="G674" t="s">
        <v>1342</v>
      </c>
      <c r="I674" t="s">
        <v>429</v>
      </c>
    </row>
    <row r="675" spans="2:9" x14ac:dyDescent="0.25">
      <c r="C675" t="s">
        <v>1343</v>
      </c>
      <c r="D675" t="s">
        <v>1364</v>
      </c>
      <c r="G675" t="s">
        <v>1345</v>
      </c>
      <c r="I675" t="s">
        <v>429</v>
      </c>
    </row>
    <row r="676" spans="2:9" x14ac:dyDescent="0.25">
      <c r="C676" t="s">
        <v>1346</v>
      </c>
      <c r="D676" t="s">
        <v>1365</v>
      </c>
      <c r="G676" t="s">
        <v>1348</v>
      </c>
      <c r="I676" t="s">
        <v>429</v>
      </c>
    </row>
    <row r="677" spans="2:9" x14ac:dyDescent="0.25">
      <c r="C677" t="s">
        <v>1349</v>
      </c>
      <c r="D677" t="s">
        <v>1366</v>
      </c>
      <c r="G677" t="s">
        <v>1351</v>
      </c>
      <c r="I677" t="s">
        <v>429</v>
      </c>
    </row>
    <row r="678" spans="2:9" x14ac:dyDescent="0.25">
      <c r="C678" t="s">
        <v>1352</v>
      </c>
      <c r="D678" t="s">
        <v>1367</v>
      </c>
      <c r="G678" t="s">
        <v>1354</v>
      </c>
      <c r="I678" t="s">
        <v>429</v>
      </c>
    </row>
    <row r="679" spans="2:9" x14ac:dyDescent="0.25">
      <c r="C679" t="s">
        <v>1355</v>
      </c>
      <c r="D679" t="s">
        <v>1368</v>
      </c>
      <c r="G679" t="s">
        <v>1357</v>
      </c>
      <c r="I679" t="s">
        <v>429</v>
      </c>
    </row>
    <row r="680" spans="2:9" x14ac:dyDescent="0.25">
      <c r="C680" t="s">
        <v>1358</v>
      </c>
      <c r="D680" t="s">
        <v>1369</v>
      </c>
      <c r="G680" t="s">
        <v>1360</v>
      </c>
      <c r="I680" t="s">
        <v>429</v>
      </c>
    </row>
    <row r="681" spans="2:9" x14ac:dyDescent="0.25">
      <c r="B681" t="s">
        <v>275</v>
      </c>
      <c r="D681" t="s">
        <v>1370</v>
      </c>
      <c r="I681" t="s">
        <v>429</v>
      </c>
    </row>
    <row r="682" spans="2:9" x14ac:dyDescent="0.25">
      <c r="C682" t="s">
        <v>1337</v>
      </c>
      <c r="D682" t="s">
        <v>1371</v>
      </c>
      <c r="G682" t="s">
        <v>1339</v>
      </c>
      <c r="I682" t="s">
        <v>429</v>
      </c>
    </row>
    <row r="683" spans="2:9" x14ac:dyDescent="0.25">
      <c r="C683" t="s">
        <v>1340</v>
      </c>
      <c r="D683" t="s">
        <v>1372</v>
      </c>
      <c r="G683" t="s">
        <v>1342</v>
      </c>
      <c r="I683" t="s">
        <v>429</v>
      </c>
    </row>
    <row r="684" spans="2:9" x14ac:dyDescent="0.25">
      <c r="C684" t="s">
        <v>1343</v>
      </c>
      <c r="D684" t="s">
        <v>1373</v>
      </c>
      <c r="G684" t="s">
        <v>1345</v>
      </c>
      <c r="I684" t="s">
        <v>429</v>
      </c>
    </row>
    <row r="685" spans="2:9" x14ac:dyDescent="0.25">
      <c r="C685" t="s">
        <v>1346</v>
      </c>
      <c r="D685" t="s">
        <v>1374</v>
      </c>
      <c r="G685" t="s">
        <v>1348</v>
      </c>
      <c r="I685" t="s">
        <v>429</v>
      </c>
    </row>
    <row r="686" spans="2:9" x14ac:dyDescent="0.25">
      <c r="C686" t="s">
        <v>1349</v>
      </c>
      <c r="D686" t="s">
        <v>1375</v>
      </c>
      <c r="G686" t="s">
        <v>1351</v>
      </c>
      <c r="I686" t="s">
        <v>429</v>
      </c>
    </row>
    <row r="687" spans="2:9" x14ac:dyDescent="0.25">
      <c r="C687" t="s">
        <v>1352</v>
      </c>
      <c r="D687" t="s">
        <v>1376</v>
      </c>
      <c r="G687" t="s">
        <v>1354</v>
      </c>
      <c r="I687" t="s">
        <v>429</v>
      </c>
    </row>
    <row r="688" spans="2:9" x14ac:dyDescent="0.25">
      <c r="C688" t="s">
        <v>1355</v>
      </c>
      <c r="D688" t="s">
        <v>1377</v>
      </c>
      <c r="G688" t="s">
        <v>1357</v>
      </c>
      <c r="I688" t="s">
        <v>429</v>
      </c>
    </row>
    <row r="689" spans="2:9" x14ac:dyDescent="0.25">
      <c r="C689" t="s">
        <v>1358</v>
      </c>
      <c r="D689" t="s">
        <v>1378</v>
      </c>
      <c r="G689" t="s">
        <v>1360</v>
      </c>
      <c r="I689" t="s">
        <v>429</v>
      </c>
    </row>
    <row r="690" spans="2:9" x14ac:dyDescent="0.25">
      <c r="B690" t="s">
        <v>276</v>
      </c>
      <c r="D690" t="s">
        <v>1379</v>
      </c>
      <c r="I690" t="s">
        <v>429</v>
      </c>
    </row>
    <row r="691" spans="2:9" x14ac:dyDescent="0.25">
      <c r="C691" t="s">
        <v>1337</v>
      </c>
      <c r="D691" t="s">
        <v>1380</v>
      </c>
      <c r="G691" t="s">
        <v>1339</v>
      </c>
      <c r="I691" t="s">
        <v>429</v>
      </c>
    </row>
    <row r="692" spans="2:9" x14ac:dyDescent="0.25">
      <c r="C692" t="s">
        <v>1340</v>
      </c>
      <c r="D692" t="s">
        <v>1381</v>
      </c>
      <c r="G692" t="s">
        <v>1342</v>
      </c>
      <c r="I692" t="s">
        <v>429</v>
      </c>
    </row>
    <row r="693" spans="2:9" x14ac:dyDescent="0.25">
      <c r="C693" t="s">
        <v>1343</v>
      </c>
      <c r="D693" t="s">
        <v>1382</v>
      </c>
      <c r="G693" t="s">
        <v>1345</v>
      </c>
      <c r="I693" t="s">
        <v>429</v>
      </c>
    </row>
    <row r="694" spans="2:9" x14ac:dyDescent="0.25">
      <c r="C694" t="s">
        <v>1346</v>
      </c>
      <c r="D694" t="s">
        <v>1383</v>
      </c>
      <c r="G694" t="s">
        <v>1348</v>
      </c>
      <c r="I694" t="s">
        <v>429</v>
      </c>
    </row>
    <row r="695" spans="2:9" x14ac:dyDescent="0.25">
      <c r="C695" t="s">
        <v>1349</v>
      </c>
      <c r="D695" t="s">
        <v>1384</v>
      </c>
      <c r="G695" t="s">
        <v>1351</v>
      </c>
      <c r="I695" t="s">
        <v>429</v>
      </c>
    </row>
    <row r="696" spans="2:9" x14ac:dyDescent="0.25">
      <c r="C696" t="s">
        <v>1352</v>
      </c>
      <c r="D696" t="s">
        <v>1385</v>
      </c>
      <c r="G696" t="s">
        <v>1354</v>
      </c>
      <c r="I696" t="s">
        <v>429</v>
      </c>
    </row>
    <row r="697" spans="2:9" x14ac:dyDescent="0.25">
      <c r="C697" t="s">
        <v>1355</v>
      </c>
      <c r="D697" t="s">
        <v>1386</v>
      </c>
      <c r="G697" t="s">
        <v>1357</v>
      </c>
      <c r="I697" t="s">
        <v>429</v>
      </c>
    </row>
    <row r="698" spans="2:9" x14ac:dyDescent="0.25">
      <c r="C698" t="s">
        <v>1358</v>
      </c>
      <c r="D698" t="s">
        <v>1387</v>
      </c>
      <c r="G698" t="s">
        <v>1360</v>
      </c>
      <c r="I698" t="s">
        <v>429</v>
      </c>
    </row>
    <row r="699" spans="2:9" x14ac:dyDescent="0.25">
      <c r="B699" t="s">
        <v>277</v>
      </c>
      <c r="D699" t="s">
        <v>1388</v>
      </c>
      <c r="I699" t="s">
        <v>429</v>
      </c>
    </row>
    <row r="700" spans="2:9" x14ac:dyDescent="0.25">
      <c r="C700" t="s">
        <v>1337</v>
      </c>
      <c r="D700" t="s">
        <v>1389</v>
      </c>
      <c r="G700" t="s">
        <v>1339</v>
      </c>
      <c r="I700" t="s">
        <v>429</v>
      </c>
    </row>
    <row r="701" spans="2:9" x14ac:dyDescent="0.25">
      <c r="C701" t="s">
        <v>1340</v>
      </c>
      <c r="D701" t="s">
        <v>1390</v>
      </c>
      <c r="G701" t="s">
        <v>1342</v>
      </c>
      <c r="I701" t="s">
        <v>429</v>
      </c>
    </row>
    <row r="702" spans="2:9" x14ac:dyDescent="0.25">
      <c r="C702" t="s">
        <v>1343</v>
      </c>
      <c r="D702" t="s">
        <v>1391</v>
      </c>
      <c r="G702" t="s">
        <v>1345</v>
      </c>
      <c r="I702" t="s">
        <v>429</v>
      </c>
    </row>
    <row r="703" spans="2:9" x14ac:dyDescent="0.25">
      <c r="C703" t="s">
        <v>1346</v>
      </c>
      <c r="D703" t="s">
        <v>1392</v>
      </c>
      <c r="G703" t="s">
        <v>1348</v>
      </c>
      <c r="I703" t="s">
        <v>429</v>
      </c>
    </row>
    <row r="704" spans="2:9" x14ac:dyDescent="0.25">
      <c r="C704" t="s">
        <v>1349</v>
      </c>
      <c r="D704" t="s">
        <v>1393</v>
      </c>
      <c r="G704" t="s">
        <v>1351</v>
      </c>
      <c r="I704" t="s">
        <v>429</v>
      </c>
    </row>
    <row r="705" spans="2:9" x14ac:dyDescent="0.25">
      <c r="C705" t="s">
        <v>1352</v>
      </c>
      <c r="D705" t="s">
        <v>1394</v>
      </c>
      <c r="G705" t="s">
        <v>1354</v>
      </c>
      <c r="I705" t="s">
        <v>429</v>
      </c>
    </row>
    <row r="706" spans="2:9" x14ac:dyDescent="0.25">
      <c r="C706" t="s">
        <v>1355</v>
      </c>
      <c r="D706" t="s">
        <v>1395</v>
      </c>
      <c r="G706" t="s">
        <v>1357</v>
      </c>
      <c r="I706" t="s">
        <v>429</v>
      </c>
    </row>
    <row r="707" spans="2:9" x14ac:dyDescent="0.25">
      <c r="C707" t="s">
        <v>1358</v>
      </c>
      <c r="D707" t="s">
        <v>1396</v>
      </c>
      <c r="G707" t="s">
        <v>1360</v>
      </c>
      <c r="I707" t="s">
        <v>429</v>
      </c>
    </row>
    <row r="708" spans="2:9" x14ac:dyDescent="0.25">
      <c r="B708" t="s">
        <v>278</v>
      </c>
      <c r="D708" t="s">
        <v>1397</v>
      </c>
      <c r="I708" t="s">
        <v>429</v>
      </c>
    </row>
    <row r="709" spans="2:9" x14ac:dyDescent="0.25">
      <c r="C709" t="s">
        <v>1337</v>
      </c>
      <c r="D709" t="s">
        <v>1398</v>
      </c>
      <c r="G709" t="s">
        <v>1339</v>
      </c>
      <c r="I709" t="s">
        <v>429</v>
      </c>
    </row>
    <row r="710" spans="2:9" x14ac:dyDescent="0.25">
      <c r="C710" t="s">
        <v>1340</v>
      </c>
      <c r="D710" t="s">
        <v>1399</v>
      </c>
      <c r="G710" t="s">
        <v>1342</v>
      </c>
      <c r="I710" t="s">
        <v>429</v>
      </c>
    </row>
    <row r="711" spans="2:9" x14ac:dyDescent="0.25">
      <c r="C711" t="s">
        <v>1343</v>
      </c>
      <c r="D711" t="s">
        <v>1400</v>
      </c>
      <c r="G711" t="s">
        <v>1345</v>
      </c>
      <c r="I711" t="s">
        <v>429</v>
      </c>
    </row>
    <row r="712" spans="2:9" x14ac:dyDescent="0.25">
      <c r="C712" t="s">
        <v>1346</v>
      </c>
      <c r="D712" t="s">
        <v>1401</v>
      </c>
      <c r="G712" t="s">
        <v>1348</v>
      </c>
      <c r="I712" t="s">
        <v>429</v>
      </c>
    </row>
    <row r="713" spans="2:9" x14ac:dyDescent="0.25">
      <c r="C713" t="s">
        <v>1349</v>
      </c>
      <c r="D713" t="s">
        <v>1402</v>
      </c>
      <c r="G713" t="s">
        <v>1351</v>
      </c>
      <c r="I713" t="s">
        <v>429</v>
      </c>
    </row>
    <row r="714" spans="2:9" x14ac:dyDescent="0.25">
      <c r="C714" t="s">
        <v>1352</v>
      </c>
      <c r="D714" t="s">
        <v>1403</v>
      </c>
      <c r="G714" t="s">
        <v>1354</v>
      </c>
      <c r="I714" t="s">
        <v>429</v>
      </c>
    </row>
    <row r="715" spans="2:9" x14ac:dyDescent="0.25">
      <c r="C715" t="s">
        <v>1355</v>
      </c>
      <c r="D715" t="s">
        <v>1404</v>
      </c>
      <c r="G715" t="s">
        <v>1357</v>
      </c>
      <c r="I715" t="s">
        <v>429</v>
      </c>
    </row>
    <row r="716" spans="2:9" x14ac:dyDescent="0.25">
      <c r="C716" t="s">
        <v>1358</v>
      </c>
      <c r="D716" t="s">
        <v>1405</v>
      </c>
      <c r="G716" t="s">
        <v>1360</v>
      </c>
      <c r="I716" t="s">
        <v>429</v>
      </c>
    </row>
    <row r="717" spans="2:9" x14ac:dyDescent="0.25">
      <c r="B717" t="s">
        <v>279</v>
      </c>
      <c r="D717" t="s">
        <v>1406</v>
      </c>
      <c r="I717" t="s">
        <v>429</v>
      </c>
    </row>
    <row r="718" spans="2:9" x14ac:dyDescent="0.25">
      <c r="C718" t="s">
        <v>1337</v>
      </c>
      <c r="D718" t="s">
        <v>1407</v>
      </c>
      <c r="G718" t="s">
        <v>1339</v>
      </c>
      <c r="I718" t="s">
        <v>429</v>
      </c>
    </row>
    <row r="719" spans="2:9" x14ac:dyDescent="0.25">
      <c r="C719" t="s">
        <v>1340</v>
      </c>
      <c r="D719" t="s">
        <v>1408</v>
      </c>
      <c r="G719" t="s">
        <v>1342</v>
      </c>
      <c r="I719" t="s">
        <v>429</v>
      </c>
    </row>
    <row r="720" spans="2:9" x14ac:dyDescent="0.25">
      <c r="C720" t="s">
        <v>1343</v>
      </c>
      <c r="D720" t="s">
        <v>1409</v>
      </c>
      <c r="G720" t="s">
        <v>1345</v>
      </c>
      <c r="I720" t="s">
        <v>429</v>
      </c>
    </row>
    <row r="721" spans="1:9" x14ac:dyDescent="0.25">
      <c r="C721" t="s">
        <v>1346</v>
      </c>
      <c r="D721" t="s">
        <v>1410</v>
      </c>
      <c r="G721" t="s">
        <v>1348</v>
      </c>
      <c r="I721" t="s">
        <v>429</v>
      </c>
    </row>
    <row r="722" spans="1:9" x14ac:dyDescent="0.25">
      <c r="C722" t="s">
        <v>1349</v>
      </c>
      <c r="D722" t="s">
        <v>1411</v>
      </c>
      <c r="G722" t="s">
        <v>1351</v>
      </c>
      <c r="I722" t="s">
        <v>429</v>
      </c>
    </row>
    <row r="723" spans="1:9" x14ac:dyDescent="0.25">
      <c r="C723" t="s">
        <v>1352</v>
      </c>
      <c r="D723" t="s">
        <v>1412</v>
      </c>
      <c r="G723" t="s">
        <v>1354</v>
      </c>
      <c r="I723" t="s">
        <v>429</v>
      </c>
    </row>
    <row r="724" spans="1:9" x14ac:dyDescent="0.25">
      <c r="C724" t="s">
        <v>1355</v>
      </c>
      <c r="D724" t="s">
        <v>1413</v>
      </c>
      <c r="G724" t="s">
        <v>1357</v>
      </c>
      <c r="I724" t="s">
        <v>429</v>
      </c>
    </row>
    <row r="725" spans="1:9" x14ac:dyDescent="0.25">
      <c r="C725" t="s">
        <v>1358</v>
      </c>
      <c r="D725" t="s">
        <v>1414</v>
      </c>
      <c r="G725" t="s">
        <v>1360</v>
      </c>
      <c r="I725" t="s">
        <v>429</v>
      </c>
    </row>
    <row r="726" spans="1:9" x14ac:dyDescent="0.25">
      <c r="B726" t="s">
        <v>280</v>
      </c>
      <c r="D726" t="s">
        <v>1415</v>
      </c>
      <c r="I726" t="s">
        <v>429</v>
      </c>
    </row>
    <row r="727" spans="1:9" x14ac:dyDescent="0.25">
      <c r="C727" t="s">
        <v>1337</v>
      </c>
      <c r="D727" t="s">
        <v>1416</v>
      </c>
      <c r="G727" t="s">
        <v>1339</v>
      </c>
      <c r="I727" t="s">
        <v>429</v>
      </c>
    </row>
    <row r="728" spans="1:9" x14ac:dyDescent="0.25">
      <c r="C728" t="s">
        <v>1340</v>
      </c>
      <c r="D728" t="s">
        <v>1417</v>
      </c>
      <c r="G728" t="s">
        <v>1342</v>
      </c>
      <c r="I728" t="s">
        <v>429</v>
      </c>
    </row>
    <row r="729" spans="1:9" x14ac:dyDescent="0.25">
      <c r="C729" t="s">
        <v>1343</v>
      </c>
      <c r="D729" t="s">
        <v>1418</v>
      </c>
      <c r="G729" t="s">
        <v>1345</v>
      </c>
      <c r="I729" t="s">
        <v>429</v>
      </c>
    </row>
    <row r="730" spans="1:9" x14ac:dyDescent="0.25">
      <c r="C730" t="s">
        <v>1346</v>
      </c>
      <c r="D730" t="s">
        <v>1419</v>
      </c>
      <c r="G730" t="s">
        <v>1348</v>
      </c>
      <c r="I730" t="s">
        <v>429</v>
      </c>
    </row>
    <row r="731" spans="1:9" x14ac:dyDescent="0.25">
      <c r="C731" t="s">
        <v>1349</v>
      </c>
      <c r="D731" t="s">
        <v>1420</v>
      </c>
      <c r="G731" t="s">
        <v>1351</v>
      </c>
      <c r="I731" t="s">
        <v>429</v>
      </c>
    </row>
    <row r="732" spans="1:9" x14ac:dyDescent="0.25">
      <c r="C732" t="s">
        <v>1352</v>
      </c>
      <c r="D732" t="s">
        <v>1421</v>
      </c>
      <c r="G732" t="s">
        <v>1354</v>
      </c>
      <c r="I732" t="s">
        <v>429</v>
      </c>
    </row>
    <row r="733" spans="1:9" x14ac:dyDescent="0.25">
      <c r="C733" t="s">
        <v>1355</v>
      </c>
      <c r="D733" t="s">
        <v>1422</v>
      </c>
      <c r="G733" t="s">
        <v>1357</v>
      </c>
      <c r="I733" t="s">
        <v>429</v>
      </c>
    </row>
    <row r="734" spans="1:9" x14ac:dyDescent="0.25">
      <c r="C734" t="s">
        <v>1358</v>
      </c>
      <c r="D734" t="s">
        <v>1423</v>
      </c>
      <c r="G734" t="s">
        <v>1360</v>
      </c>
      <c r="I734" t="s">
        <v>429</v>
      </c>
    </row>
    <row r="735" spans="1:9" x14ac:dyDescent="0.25">
      <c r="D735" t="s">
        <v>1424</v>
      </c>
      <c r="I735" t="s">
        <v>429</v>
      </c>
    </row>
    <row r="736" spans="1:9" x14ac:dyDescent="0.25">
      <c r="A736" t="s">
        <v>50</v>
      </c>
      <c r="D736" t="s">
        <v>1425</v>
      </c>
      <c r="I736" t="s">
        <v>429</v>
      </c>
    </row>
    <row r="737" spans="1:9" x14ac:dyDescent="0.25">
      <c r="B737" t="s">
        <v>255</v>
      </c>
      <c r="D737" t="s">
        <v>1426</v>
      </c>
      <c r="I737" t="s">
        <v>429</v>
      </c>
    </row>
    <row r="738" spans="1:9" x14ac:dyDescent="0.25">
      <c r="C738" t="s">
        <v>1427</v>
      </c>
      <c r="D738" t="s">
        <v>1428</v>
      </c>
      <c r="G738" t="s">
        <v>1429</v>
      </c>
      <c r="I738" t="s">
        <v>429</v>
      </c>
    </row>
    <row r="739" spans="1:9" x14ac:dyDescent="0.25">
      <c r="B739" t="s">
        <v>426</v>
      </c>
      <c r="D739" t="s">
        <v>1430</v>
      </c>
      <c r="I739" t="s">
        <v>429</v>
      </c>
    </row>
    <row r="740" spans="1:9" x14ac:dyDescent="0.25">
      <c r="C740" t="s">
        <v>1427</v>
      </c>
      <c r="D740" t="s">
        <v>1431</v>
      </c>
      <c r="G740" t="s">
        <v>1429</v>
      </c>
      <c r="I740" t="s">
        <v>429</v>
      </c>
    </row>
    <row r="741" spans="1:9" x14ac:dyDescent="0.25">
      <c r="B741" t="s">
        <v>427</v>
      </c>
      <c r="D741" t="s">
        <v>1432</v>
      </c>
      <c r="I741" t="s">
        <v>429</v>
      </c>
    </row>
    <row r="742" spans="1:9" x14ac:dyDescent="0.25">
      <c r="C742" t="s">
        <v>1427</v>
      </c>
      <c r="D742" t="s">
        <v>1433</v>
      </c>
      <c r="G742" t="s">
        <v>1429</v>
      </c>
      <c r="I742" t="s">
        <v>429</v>
      </c>
    </row>
    <row r="743" spans="1:9" x14ac:dyDescent="0.25">
      <c r="D743" t="s">
        <v>1434</v>
      </c>
      <c r="I743" t="s">
        <v>429</v>
      </c>
    </row>
    <row r="744" spans="1:9" x14ac:dyDescent="0.25">
      <c r="D744" t="s">
        <v>1435</v>
      </c>
      <c r="I744" t="s">
        <v>429</v>
      </c>
    </row>
    <row r="745" spans="1:9" x14ac:dyDescent="0.25">
      <c r="B745" t="s">
        <v>278</v>
      </c>
      <c r="D745" t="s">
        <v>1436</v>
      </c>
      <c r="I745" t="s">
        <v>429</v>
      </c>
    </row>
    <row r="746" spans="1:9" x14ac:dyDescent="0.25">
      <c r="C746" t="s">
        <v>1427</v>
      </c>
      <c r="D746" t="s">
        <v>1437</v>
      </c>
      <c r="G746" t="s">
        <v>1429</v>
      </c>
      <c r="I746" t="s">
        <v>429</v>
      </c>
    </row>
    <row r="747" spans="1:9" x14ac:dyDescent="0.25">
      <c r="B747" t="s">
        <v>279</v>
      </c>
      <c r="D747" t="s">
        <v>1438</v>
      </c>
      <c r="I747" t="s">
        <v>429</v>
      </c>
    </row>
    <row r="748" spans="1:9" x14ac:dyDescent="0.25">
      <c r="C748" t="s">
        <v>1427</v>
      </c>
      <c r="D748" t="s">
        <v>1439</v>
      </c>
      <c r="G748" t="s">
        <v>1429</v>
      </c>
      <c r="I748" t="s">
        <v>429</v>
      </c>
    </row>
    <row r="749" spans="1:9" x14ac:dyDescent="0.25">
      <c r="B749" t="s">
        <v>280</v>
      </c>
      <c r="D749" t="s">
        <v>1440</v>
      </c>
      <c r="I749" t="s">
        <v>429</v>
      </c>
    </row>
    <row r="750" spans="1:9" x14ac:dyDescent="0.25">
      <c r="C750" t="s">
        <v>1427</v>
      </c>
      <c r="D750" t="s">
        <v>1441</v>
      </c>
      <c r="G750" t="s">
        <v>1429</v>
      </c>
      <c r="I750" t="s">
        <v>429</v>
      </c>
    </row>
    <row r="751" spans="1:9" x14ac:dyDescent="0.25">
      <c r="D751" t="s">
        <v>1442</v>
      </c>
      <c r="I751" t="s">
        <v>429</v>
      </c>
    </row>
    <row r="752" spans="1:9" x14ac:dyDescent="0.25">
      <c r="A752" t="s">
        <v>1443</v>
      </c>
      <c r="D752" t="s">
        <v>1444</v>
      </c>
      <c r="I752" t="s">
        <v>429</v>
      </c>
    </row>
    <row r="753" spans="2:9" x14ac:dyDescent="0.25">
      <c r="B753" t="s">
        <v>255</v>
      </c>
      <c r="D753" t="s">
        <v>1445</v>
      </c>
      <c r="I753" t="s">
        <v>429</v>
      </c>
    </row>
    <row r="754" spans="2:9" x14ac:dyDescent="0.25">
      <c r="B754" t="s">
        <v>1446</v>
      </c>
      <c r="D754" t="s">
        <v>1447</v>
      </c>
      <c r="I754" t="s">
        <v>429</v>
      </c>
    </row>
    <row r="755" spans="2:9" x14ac:dyDescent="0.25">
      <c r="B755" t="s">
        <v>1448</v>
      </c>
      <c r="D755" t="s">
        <v>1449</v>
      </c>
      <c r="I755" t="s">
        <v>429</v>
      </c>
    </row>
    <row r="756" spans="2:9" x14ac:dyDescent="0.25">
      <c r="B756" t="s">
        <v>1450</v>
      </c>
      <c r="D756" t="s">
        <v>1451</v>
      </c>
      <c r="I756" t="s">
        <v>429</v>
      </c>
    </row>
    <row r="757" spans="2:9" x14ac:dyDescent="0.25">
      <c r="D757" t="s">
        <v>1452</v>
      </c>
      <c r="I757" t="s">
        <v>429</v>
      </c>
    </row>
    <row r="758" spans="2:9" x14ac:dyDescent="0.25">
      <c r="D758" t="s">
        <v>1453</v>
      </c>
      <c r="I758" t="s">
        <v>429</v>
      </c>
    </row>
    <row r="759" spans="2:9" x14ac:dyDescent="0.25">
      <c r="B759" t="s">
        <v>279</v>
      </c>
      <c r="D759" t="s">
        <v>1454</v>
      </c>
      <c r="I759" t="s">
        <v>429</v>
      </c>
    </row>
    <row r="760" spans="2:9" x14ac:dyDescent="0.25">
      <c r="B760" t="s">
        <v>280</v>
      </c>
      <c r="D760" t="s">
        <v>1455</v>
      </c>
      <c r="I760" t="s">
        <v>429</v>
      </c>
    </row>
    <row r="761" spans="2:9" x14ac:dyDescent="0.25">
      <c r="D761" t="s">
        <v>1456</v>
      </c>
      <c r="I761" t="s">
        <v>429</v>
      </c>
    </row>
  </sheetData>
  <phoneticPr fontId="3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7">
    <tabColor theme="4" tint="-0.249977111117893"/>
    <pageSetUpPr fitToPage="1"/>
  </sheetPr>
  <dimension ref="A1:G97"/>
  <sheetViews>
    <sheetView zoomScale="85" zoomScaleNormal="85" workbookViewId="0">
      <selection activeCell="B7" sqref="B7"/>
    </sheetView>
  </sheetViews>
  <sheetFormatPr baseColWidth="10" defaultColWidth="10.875" defaultRowHeight="15.75" x14ac:dyDescent="0.25"/>
  <cols>
    <col min="1" max="1" width="26.5" style="31" bestFit="1" customWidth="1"/>
    <col min="2" max="2" width="76.875" style="31" bestFit="1" customWidth="1"/>
    <col min="3" max="3" width="14.5" style="31" bestFit="1" customWidth="1"/>
    <col min="4" max="4" width="26.625" style="31" bestFit="1" customWidth="1"/>
    <col min="5" max="5" width="6.875" style="32" bestFit="1" customWidth="1"/>
    <col min="6" max="6" width="11.5" style="76" bestFit="1" customWidth="1"/>
    <col min="7" max="7" width="13.125" style="76" bestFit="1" customWidth="1"/>
    <col min="8" max="16384" width="10.875" style="31"/>
  </cols>
  <sheetData>
    <row r="1" spans="1:7" ht="16.5" thickBot="1" x14ac:dyDescent="0.3">
      <c r="A1" s="30" t="s">
        <v>1551</v>
      </c>
    </row>
    <row r="2" spans="1:7" x14ac:dyDescent="0.25">
      <c r="A2" s="30" t="s">
        <v>248</v>
      </c>
      <c r="B2" s="30" t="s">
        <v>64</v>
      </c>
      <c r="C2" s="33" t="s">
        <v>1870</v>
      </c>
      <c r="D2" s="33" t="s">
        <v>1873</v>
      </c>
      <c r="E2" s="34" t="s">
        <v>1552</v>
      </c>
      <c r="F2" s="77" t="s">
        <v>1871</v>
      </c>
      <c r="G2" s="77" t="s">
        <v>1872</v>
      </c>
    </row>
    <row r="3" spans="1:7" x14ac:dyDescent="0.25">
      <c r="A3" s="31" t="s">
        <v>35</v>
      </c>
      <c r="B3" s="31" t="s">
        <v>1875</v>
      </c>
      <c r="C3" s="31" t="s">
        <v>1874</v>
      </c>
      <c r="D3" s="31" t="s">
        <v>1876</v>
      </c>
      <c r="E3" s="32">
        <v>16</v>
      </c>
      <c r="F3" s="76">
        <v>157.31</v>
      </c>
      <c r="G3" s="76">
        <f>E3*F3</f>
        <v>2516.96</v>
      </c>
    </row>
    <row r="4" spans="1:7" x14ac:dyDescent="0.25">
      <c r="A4" s="31" t="s">
        <v>1523</v>
      </c>
      <c r="B4" s="31" t="s">
        <v>1877</v>
      </c>
      <c r="C4" s="31" t="s">
        <v>1878</v>
      </c>
      <c r="D4" s="75" t="s">
        <v>1879</v>
      </c>
      <c r="E4" s="32">
        <v>1</v>
      </c>
      <c r="F4" s="76">
        <v>83.68</v>
      </c>
      <c r="G4" s="76">
        <f t="shared" ref="G4:G20" si="0">E4*F4</f>
        <v>83.68</v>
      </c>
    </row>
    <row r="5" spans="1:7" x14ac:dyDescent="0.25">
      <c r="A5" s="31" t="s">
        <v>1880</v>
      </c>
      <c r="B5" s="31" t="s">
        <v>1881</v>
      </c>
      <c r="C5" s="78">
        <v>5242</v>
      </c>
      <c r="D5" s="31" t="s">
        <v>1882</v>
      </c>
      <c r="E5" s="32">
        <v>1</v>
      </c>
      <c r="F5" s="76">
        <v>145.82</v>
      </c>
      <c r="G5" s="76">
        <f t="shared" si="0"/>
        <v>145.82</v>
      </c>
    </row>
    <row r="6" spans="1:7" x14ac:dyDescent="0.25">
      <c r="A6" s="31" t="s">
        <v>1553</v>
      </c>
      <c r="B6" s="31" t="s">
        <v>1554</v>
      </c>
      <c r="C6" s="31" t="s">
        <v>1883</v>
      </c>
      <c r="D6" s="31" t="s">
        <v>1882</v>
      </c>
      <c r="E6" s="32">
        <v>1</v>
      </c>
      <c r="F6" s="76">
        <v>140</v>
      </c>
      <c r="G6" s="76">
        <f t="shared" si="0"/>
        <v>140</v>
      </c>
    </row>
    <row r="7" spans="1:7" x14ac:dyDescent="0.25">
      <c r="A7" s="31" t="s">
        <v>54</v>
      </c>
      <c r="B7" s="31" t="s">
        <v>1885</v>
      </c>
      <c r="C7" s="31" t="s">
        <v>1886</v>
      </c>
      <c r="E7" s="32">
        <v>2</v>
      </c>
      <c r="F7" s="76">
        <v>285.8</v>
      </c>
      <c r="G7" s="76">
        <f t="shared" si="0"/>
        <v>571.6</v>
      </c>
    </row>
    <row r="8" spans="1:7" x14ac:dyDescent="0.25">
      <c r="A8" s="31" t="s">
        <v>54</v>
      </c>
      <c r="B8" s="31" t="s">
        <v>1884</v>
      </c>
      <c r="C8" s="31" t="s">
        <v>1887</v>
      </c>
      <c r="E8" s="32">
        <v>1</v>
      </c>
      <c r="F8" s="76">
        <v>183.13</v>
      </c>
      <c r="G8" s="76">
        <f t="shared" si="0"/>
        <v>183.13</v>
      </c>
    </row>
    <row r="9" spans="1:7" x14ac:dyDescent="0.25">
      <c r="A9" s="31" t="s">
        <v>53</v>
      </c>
      <c r="B9" s="31" t="s">
        <v>1888</v>
      </c>
      <c r="C9" s="31" t="s">
        <v>1889</v>
      </c>
      <c r="D9" s="31" t="s">
        <v>1882</v>
      </c>
      <c r="E9" s="32">
        <v>1</v>
      </c>
      <c r="F9" s="76">
        <v>220</v>
      </c>
      <c r="G9" s="76">
        <f t="shared" si="0"/>
        <v>220</v>
      </c>
    </row>
    <row r="10" spans="1:7" x14ac:dyDescent="0.25">
      <c r="A10" s="31" t="s">
        <v>53</v>
      </c>
      <c r="B10" s="31" t="s">
        <v>1890</v>
      </c>
      <c r="C10" s="31" t="s">
        <v>1891</v>
      </c>
      <c r="D10" s="35"/>
      <c r="E10" s="32">
        <v>1</v>
      </c>
      <c r="F10" s="76">
        <v>413.7</v>
      </c>
      <c r="G10" s="76">
        <f t="shared" si="0"/>
        <v>413.7</v>
      </c>
    </row>
    <row r="11" spans="1:7" x14ac:dyDescent="0.25">
      <c r="A11" s="31" t="s">
        <v>53</v>
      </c>
      <c r="B11" s="31" t="s">
        <v>1892</v>
      </c>
      <c r="C11" s="31" t="s">
        <v>1893</v>
      </c>
      <c r="E11" s="32">
        <v>1</v>
      </c>
      <c r="F11" s="76">
        <v>206.55</v>
      </c>
      <c r="G11" s="76">
        <f t="shared" si="0"/>
        <v>206.55</v>
      </c>
    </row>
    <row r="12" spans="1:7" x14ac:dyDescent="0.25">
      <c r="A12" s="31" t="s">
        <v>1514</v>
      </c>
      <c r="B12" s="31" t="s">
        <v>1894</v>
      </c>
      <c r="C12" s="31" t="s">
        <v>1895</v>
      </c>
      <c r="D12" s="35"/>
      <c r="E12" s="32">
        <v>1</v>
      </c>
      <c r="F12" s="76">
        <v>344.65</v>
      </c>
      <c r="G12" s="76">
        <f t="shared" si="0"/>
        <v>344.65</v>
      </c>
    </row>
    <row r="13" spans="1:7" x14ac:dyDescent="0.25">
      <c r="A13" s="31" t="s">
        <v>40</v>
      </c>
      <c r="B13" s="31" t="s">
        <v>1896</v>
      </c>
      <c r="C13" s="31" t="s">
        <v>1897</v>
      </c>
      <c r="D13" s="35"/>
      <c r="E13" s="32">
        <v>6</v>
      </c>
      <c r="F13" s="76">
        <v>113.48</v>
      </c>
      <c r="G13" s="76">
        <f t="shared" si="0"/>
        <v>680.88</v>
      </c>
    </row>
    <row r="14" spans="1:7" x14ac:dyDescent="0.25">
      <c r="A14" s="31" t="s">
        <v>40</v>
      </c>
      <c r="B14" s="31" t="s">
        <v>1898</v>
      </c>
      <c r="C14" s="31" t="s">
        <v>1899</v>
      </c>
      <c r="E14" s="32">
        <v>9</v>
      </c>
      <c r="F14" s="76">
        <v>93.67</v>
      </c>
      <c r="G14" s="76">
        <f t="shared" si="0"/>
        <v>843.03</v>
      </c>
    </row>
    <row r="15" spans="1:7" x14ac:dyDescent="0.25">
      <c r="A15" s="31" t="s">
        <v>33</v>
      </c>
      <c r="B15" s="31" t="s">
        <v>1906</v>
      </c>
      <c r="C15" s="31" t="s">
        <v>1907</v>
      </c>
      <c r="E15" s="32">
        <v>4</v>
      </c>
      <c r="F15" s="76">
        <v>91.27</v>
      </c>
      <c r="G15" s="76">
        <f t="shared" si="0"/>
        <v>365.08</v>
      </c>
    </row>
    <row r="16" spans="1:7" x14ac:dyDescent="0.25">
      <c r="A16" s="31" t="s">
        <v>33</v>
      </c>
      <c r="B16" s="31" t="s">
        <v>1900</v>
      </c>
      <c r="C16" s="78">
        <v>1019610</v>
      </c>
      <c r="D16" s="31" t="s">
        <v>1901</v>
      </c>
      <c r="E16" s="32">
        <v>2</v>
      </c>
      <c r="F16" s="76">
        <v>123.84</v>
      </c>
      <c r="G16" s="76">
        <f t="shared" si="0"/>
        <v>247.68</v>
      </c>
    </row>
    <row r="17" spans="1:7" x14ac:dyDescent="0.25">
      <c r="A17" s="31" t="s">
        <v>45</v>
      </c>
      <c r="B17" s="31" t="s">
        <v>1902</v>
      </c>
      <c r="C17" s="31" t="s">
        <v>1903</v>
      </c>
      <c r="E17" s="32">
        <v>1</v>
      </c>
      <c r="F17" s="76">
        <v>294.18</v>
      </c>
      <c r="G17" s="76">
        <f t="shared" si="0"/>
        <v>294.18</v>
      </c>
    </row>
    <row r="18" spans="1:7" x14ac:dyDescent="0.25">
      <c r="A18" s="31" t="s">
        <v>45</v>
      </c>
      <c r="B18" s="31" t="s">
        <v>1904</v>
      </c>
      <c r="C18" s="31" t="s">
        <v>1905</v>
      </c>
      <c r="D18" s="35"/>
      <c r="E18" s="32">
        <v>1</v>
      </c>
      <c r="F18" s="76">
        <v>121.65</v>
      </c>
      <c r="G18" s="76">
        <f t="shared" si="0"/>
        <v>121.65</v>
      </c>
    </row>
    <row r="19" spans="1:7" x14ac:dyDescent="0.25">
      <c r="A19" s="31" t="s">
        <v>1909</v>
      </c>
      <c r="B19" s="31" t="s">
        <v>1910</v>
      </c>
      <c r="C19" s="31" t="s">
        <v>1908</v>
      </c>
      <c r="D19" s="31" t="s">
        <v>1882</v>
      </c>
      <c r="E19" s="32">
        <v>1</v>
      </c>
      <c r="F19" s="76">
        <v>181.37</v>
      </c>
      <c r="G19" s="76">
        <f t="shared" si="0"/>
        <v>181.37</v>
      </c>
    </row>
    <row r="20" spans="1:7" x14ac:dyDescent="0.25">
      <c r="A20" s="31" t="s">
        <v>1913</v>
      </c>
      <c r="B20" s="31" t="s">
        <v>1914</v>
      </c>
      <c r="C20" s="31">
        <v>5451</v>
      </c>
      <c r="E20" s="32">
        <v>1</v>
      </c>
      <c r="F20" s="76">
        <v>178.38</v>
      </c>
      <c r="G20" s="76">
        <f t="shared" si="0"/>
        <v>178.38</v>
      </c>
    </row>
    <row r="21" spans="1:7" x14ac:dyDescent="0.25">
      <c r="A21" s="31" t="s">
        <v>1936</v>
      </c>
      <c r="B21" s="31" t="s">
        <v>1937</v>
      </c>
    </row>
    <row r="23" spans="1:7" x14ac:dyDescent="0.25">
      <c r="F23" s="79" t="s">
        <v>1911</v>
      </c>
      <c r="G23" s="79">
        <f>SUM(G3:G22)</f>
        <v>7738.34</v>
      </c>
    </row>
    <row r="24" spans="1:7" ht="16.5" thickBot="1" x14ac:dyDescent="0.3"/>
    <row r="25" spans="1:7" ht="16.5" thickBot="1" x14ac:dyDescent="0.3">
      <c r="A25" s="30" t="s">
        <v>17</v>
      </c>
    </row>
    <row r="26" spans="1:7" x14ac:dyDescent="0.25">
      <c r="A26" s="30" t="s">
        <v>248</v>
      </c>
      <c r="B26" s="30" t="s">
        <v>64</v>
      </c>
      <c r="C26" s="33" t="s">
        <v>1870</v>
      </c>
      <c r="D26" s="33" t="s">
        <v>1873</v>
      </c>
      <c r="E26" s="34" t="s">
        <v>1552</v>
      </c>
      <c r="F26" s="77" t="s">
        <v>1871</v>
      </c>
      <c r="G26" s="77" t="s">
        <v>1872</v>
      </c>
    </row>
    <row r="27" spans="1:7" x14ac:dyDescent="0.25">
      <c r="A27" s="31" t="s">
        <v>1555</v>
      </c>
      <c r="B27" s="31" t="s">
        <v>1916</v>
      </c>
      <c r="C27" s="31">
        <v>89453849</v>
      </c>
      <c r="E27" s="32">
        <v>17</v>
      </c>
      <c r="F27" s="76">
        <v>61.89</v>
      </c>
      <c r="G27" s="76">
        <f>E27*F27</f>
        <v>1052.1300000000001</v>
      </c>
    </row>
    <row r="28" spans="1:7" x14ac:dyDescent="0.25">
      <c r="A28" s="31" t="s">
        <v>1555</v>
      </c>
      <c r="B28" s="31" t="s">
        <v>1917</v>
      </c>
      <c r="C28" s="31">
        <v>89453849</v>
      </c>
      <c r="E28" s="32">
        <v>14</v>
      </c>
      <c r="F28" s="76">
        <v>41.9</v>
      </c>
      <c r="G28" s="76">
        <f>E28*F28</f>
        <v>586.6</v>
      </c>
    </row>
    <row r="29" spans="1:7" x14ac:dyDescent="0.25">
      <c r="A29" s="31" t="s">
        <v>1556</v>
      </c>
      <c r="B29" s="31" t="s">
        <v>1919</v>
      </c>
      <c r="E29" s="32">
        <v>56</v>
      </c>
      <c r="F29" s="76">
        <v>28.34</v>
      </c>
      <c r="G29" s="76">
        <f t="shared" ref="G29:G31" si="1">E29*F29</f>
        <v>1587.04</v>
      </c>
    </row>
    <row r="30" spans="1:7" x14ac:dyDescent="0.25">
      <c r="A30" s="31" t="s">
        <v>1557</v>
      </c>
      <c r="B30" s="35" t="s">
        <v>1915</v>
      </c>
      <c r="C30" s="35"/>
      <c r="D30" s="35"/>
      <c r="E30" s="32">
        <v>56</v>
      </c>
      <c r="F30" s="76">
        <v>5.2</v>
      </c>
      <c r="G30" s="76">
        <f t="shared" si="1"/>
        <v>291.2</v>
      </c>
    </row>
    <row r="31" spans="1:7" x14ac:dyDescent="0.25">
      <c r="A31" s="31" t="s">
        <v>1918</v>
      </c>
      <c r="B31" s="35" t="s">
        <v>1920</v>
      </c>
      <c r="C31" s="35"/>
      <c r="D31" s="35"/>
      <c r="E31" s="32">
        <v>20</v>
      </c>
      <c r="F31" s="76">
        <v>55.25</v>
      </c>
      <c r="G31" s="76">
        <f t="shared" si="1"/>
        <v>1105</v>
      </c>
    </row>
    <row r="32" spans="1:7" x14ac:dyDescent="0.25">
      <c r="B32" s="35"/>
      <c r="C32" s="35"/>
      <c r="D32" s="35"/>
    </row>
    <row r="33" spans="1:7" x14ac:dyDescent="0.25">
      <c r="F33" s="79" t="s">
        <v>1911</v>
      </c>
      <c r="G33" s="79">
        <f>SUM(G27:G31)</f>
        <v>4621.9699999999993</v>
      </c>
    </row>
    <row r="34" spans="1:7" ht="16.5" thickBot="1" x14ac:dyDescent="0.3"/>
    <row r="35" spans="1:7" ht="16.5" thickBot="1" x14ac:dyDescent="0.3">
      <c r="A35" s="30" t="s">
        <v>128</v>
      </c>
    </row>
    <row r="36" spans="1:7" x14ac:dyDescent="0.25">
      <c r="A36" s="30" t="s">
        <v>248</v>
      </c>
      <c r="B36" s="30" t="s">
        <v>64</v>
      </c>
      <c r="C36" s="33" t="s">
        <v>1870</v>
      </c>
      <c r="D36" s="33" t="s">
        <v>1873</v>
      </c>
      <c r="E36" s="34" t="s">
        <v>1552</v>
      </c>
      <c r="F36" s="77" t="s">
        <v>1871</v>
      </c>
      <c r="G36" s="77" t="s">
        <v>1872</v>
      </c>
    </row>
    <row r="37" spans="1:7" x14ac:dyDescent="0.25">
      <c r="A37" s="80" t="s">
        <v>1558</v>
      </c>
      <c r="B37" s="80" t="s">
        <v>1559</v>
      </c>
      <c r="C37" s="80"/>
      <c r="D37" s="80"/>
      <c r="E37" s="81">
        <f>Verteilerschrankplan!C11</f>
        <v>4</v>
      </c>
      <c r="F37" s="82"/>
      <c r="G37" s="82"/>
    </row>
    <row r="38" spans="1:7" x14ac:dyDescent="0.25">
      <c r="A38" s="80" t="s">
        <v>1558</v>
      </c>
      <c r="B38" s="80" t="s">
        <v>1560</v>
      </c>
      <c r="C38" s="80"/>
      <c r="D38" s="80"/>
      <c r="E38" s="81">
        <f>Verteilerschrankplan!C12</f>
        <v>3</v>
      </c>
      <c r="F38" s="82"/>
      <c r="G38" s="82"/>
    </row>
    <row r="39" spans="1:7" x14ac:dyDescent="0.25">
      <c r="A39" s="80" t="s">
        <v>1561</v>
      </c>
      <c r="B39" s="80" t="s">
        <v>1562</v>
      </c>
      <c r="C39" s="80"/>
      <c r="D39" s="80"/>
      <c r="E39" s="81">
        <f>Verteilerschrankplan!C14</f>
        <v>68</v>
      </c>
      <c r="F39" s="82"/>
      <c r="G39" s="82"/>
    </row>
    <row r="40" spans="1:7" x14ac:dyDescent="0.25">
      <c r="A40" s="80" t="s">
        <v>135</v>
      </c>
      <c r="B40" s="80" t="s">
        <v>1563</v>
      </c>
      <c r="C40" s="80"/>
      <c r="D40" s="80"/>
      <c r="E40" s="81">
        <f>Verteilerschrankplan!C11</f>
        <v>4</v>
      </c>
      <c r="F40" s="82"/>
      <c r="G40" s="82"/>
    </row>
    <row r="41" spans="1:7" x14ac:dyDescent="0.25">
      <c r="A41" s="80" t="s">
        <v>1564</v>
      </c>
      <c r="B41" s="80" t="s">
        <v>1565</v>
      </c>
      <c r="C41" s="80"/>
      <c r="D41" s="80"/>
      <c r="E41" s="81">
        <v>1</v>
      </c>
      <c r="F41" s="82"/>
      <c r="G41" s="82"/>
    </row>
    <row r="42" spans="1:7" x14ac:dyDescent="0.25">
      <c r="A42" s="80" t="s">
        <v>1566</v>
      </c>
      <c r="B42" s="80" t="s">
        <v>1567</v>
      </c>
      <c r="C42" s="80"/>
      <c r="D42" s="80"/>
      <c r="E42" s="81">
        <v>120</v>
      </c>
      <c r="F42" s="82"/>
      <c r="G42" s="82"/>
    </row>
    <row r="43" spans="1:7" x14ac:dyDescent="0.25">
      <c r="A43" s="80" t="s">
        <v>1566</v>
      </c>
      <c r="B43" s="80" t="s">
        <v>1568</v>
      </c>
      <c r="C43" s="80"/>
      <c r="D43" s="80"/>
      <c r="E43" s="81">
        <v>120</v>
      </c>
      <c r="F43" s="82"/>
      <c r="G43" s="82"/>
    </row>
    <row r="44" spans="1:7" x14ac:dyDescent="0.25">
      <c r="A44" s="80" t="s">
        <v>1566</v>
      </c>
      <c r="B44" s="80" t="s">
        <v>1569</v>
      </c>
      <c r="C44" s="80"/>
      <c r="D44" s="80"/>
      <c r="E44" s="81">
        <f>Verteilerschrankplan!C15</f>
        <v>4</v>
      </c>
      <c r="F44" s="82"/>
      <c r="G44" s="82"/>
    </row>
    <row r="45" spans="1:7" x14ac:dyDescent="0.25">
      <c r="A45" s="80" t="s">
        <v>1566</v>
      </c>
      <c r="B45" s="80" t="s">
        <v>1570</v>
      </c>
      <c r="C45" s="80"/>
      <c r="D45" s="80"/>
      <c r="E45" s="81">
        <f>Verteilerschrankplan!C15</f>
        <v>4</v>
      </c>
      <c r="F45" s="82"/>
      <c r="G45" s="82"/>
    </row>
    <row r="46" spans="1:7" x14ac:dyDescent="0.25">
      <c r="A46" s="80" t="s">
        <v>1566</v>
      </c>
      <c r="B46" s="80" t="s">
        <v>1571</v>
      </c>
      <c r="C46" s="80"/>
      <c r="D46" s="80"/>
      <c r="E46" s="81">
        <v>8</v>
      </c>
      <c r="F46" s="82"/>
      <c r="G46" s="82"/>
    </row>
    <row r="47" spans="1:7" x14ac:dyDescent="0.25">
      <c r="A47" s="80" t="s">
        <v>1566</v>
      </c>
      <c r="B47" s="80" t="s">
        <v>1572</v>
      </c>
      <c r="C47" s="80"/>
      <c r="D47" s="80"/>
      <c r="E47" s="81">
        <v>2</v>
      </c>
      <c r="F47" s="82"/>
      <c r="G47" s="82"/>
    </row>
    <row r="48" spans="1:7" x14ac:dyDescent="0.25">
      <c r="A48" s="80" t="s">
        <v>1573</v>
      </c>
      <c r="B48" s="80" t="s">
        <v>1574</v>
      </c>
      <c r="C48" s="80"/>
      <c r="D48" s="80"/>
      <c r="E48" s="81">
        <v>1</v>
      </c>
      <c r="F48" s="82"/>
      <c r="G48" s="82"/>
    </row>
    <row r="49" spans="1:7" x14ac:dyDescent="0.25">
      <c r="A49" s="80" t="s">
        <v>1575</v>
      </c>
      <c r="B49" s="80" t="s">
        <v>1576</v>
      </c>
      <c r="C49" s="80"/>
      <c r="D49" s="80"/>
      <c r="E49" s="81">
        <v>1</v>
      </c>
      <c r="F49" s="82"/>
      <c r="G49" s="82"/>
    </row>
    <row r="50" spans="1:7" x14ac:dyDescent="0.25">
      <c r="A50" s="80" t="s">
        <v>1578</v>
      </c>
      <c r="B50" s="80" t="s">
        <v>1579</v>
      </c>
      <c r="C50" s="80"/>
      <c r="D50" s="80"/>
      <c r="E50" s="81">
        <v>1</v>
      </c>
      <c r="F50" s="82"/>
      <c r="G50" s="82"/>
    </row>
    <row r="51" spans="1:7" x14ac:dyDescent="0.25">
      <c r="A51" s="80" t="s">
        <v>78</v>
      </c>
      <c r="B51" s="80" t="s">
        <v>1580</v>
      </c>
      <c r="C51" s="80"/>
      <c r="D51" s="80"/>
      <c r="E51" s="81">
        <v>4</v>
      </c>
      <c r="F51" s="82"/>
      <c r="G51" s="82"/>
    </row>
    <row r="52" spans="1:7" x14ac:dyDescent="0.25">
      <c r="A52" s="80" t="s">
        <v>128</v>
      </c>
      <c r="B52" s="80" t="s">
        <v>1581</v>
      </c>
      <c r="C52" s="80"/>
      <c r="D52" s="80"/>
      <c r="E52" s="81">
        <v>3</v>
      </c>
      <c r="F52" s="82"/>
      <c r="G52" s="82"/>
    </row>
    <row r="53" spans="1:7" x14ac:dyDescent="0.25">
      <c r="A53" s="80" t="s">
        <v>128</v>
      </c>
      <c r="B53" s="80" t="s">
        <v>1582</v>
      </c>
      <c r="C53" s="80"/>
      <c r="D53" s="80"/>
      <c r="E53" s="81">
        <v>8</v>
      </c>
      <c r="F53" s="82"/>
      <c r="G53" s="82"/>
    </row>
    <row r="54" spans="1:7" x14ac:dyDescent="0.25">
      <c r="A54" s="80" t="s">
        <v>128</v>
      </c>
      <c r="B54" s="80" t="s">
        <v>1583</v>
      </c>
      <c r="C54" s="80"/>
      <c r="D54" s="80"/>
      <c r="E54" s="81">
        <v>16</v>
      </c>
      <c r="F54" s="82"/>
      <c r="G54" s="82"/>
    </row>
    <row r="55" spans="1:7" x14ac:dyDescent="0.25">
      <c r="A55" s="80" t="s">
        <v>128</v>
      </c>
      <c r="B55" s="80" t="s">
        <v>1584</v>
      </c>
      <c r="C55" s="80"/>
      <c r="D55" s="80"/>
      <c r="E55" s="81">
        <v>1</v>
      </c>
      <c r="F55" s="82"/>
      <c r="G55" s="82"/>
    </row>
    <row r="56" spans="1:7" x14ac:dyDescent="0.25">
      <c r="A56" s="80"/>
      <c r="B56" s="80"/>
      <c r="C56" s="80"/>
      <c r="D56" s="80"/>
      <c r="E56" s="81"/>
      <c r="F56" s="82"/>
      <c r="G56" s="82"/>
    </row>
    <row r="57" spans="1:7" ht="16.5" thickBot="1" x14ac:dyDescent="0.3">
      <c r="A57" s="80"/>
      <c r="B57" s="80"/>
      <c r="C57" s="80"/>
      <c r="D57" s="80"/>
      <c r="E57" s="81"/>
      <c r="F57" s="82"/>
      <c r="G57" s="82"/>
    </row>
    <row r="58" spans="1:7" ht="16.5" thickBot="1" x14ac:dyDescent="0.3">
      <c r="A58" s="30" t="s">
        <v>1577</v>
      </c>
    </row>
    <row r="59" spans="1:7" x14ac:dyDescent="0.25">
      <c r="A59" s="30" t="s">
        <v>248</v>
      </c>
      <c r="B59" s="30" t="s">
        <v>64</v>
      </c>
      <c r="C59" s="33" t="s">
        <v>1870</v>
      </c>
      <c r="D59" s="33" t="s">
        <v>1873</v>
      </c>
      <c r="E59" s="34" t="s">
        <v>1552</v>
      </c>
      <c r="F59" s="77" t="s">
        <v>1871</v>
      </c>
      <c r="G59" s="77" t="s">
        <v>1872</v>
      </c>
    </row>
    <row r="60" spans="1:7" x14ac:dyDescent="0.25">
      <c r="A60" s="31" t="s">
        <v>10</v>
      </c>
      <c r="B60" s="31" t="s">
        <v>1938</v>
      </c>
      <c r="C60" s="31">
        <v>20000456</v>
      </c>
      <c r="F60" s="83">
        <v>55</v>
      </c>
      <c r="G60" s="83"/>
    </row>
    <row r="61" spans="1:7" x14ac:dyDescent="0.25">
      <c r="A61" s="31" t="s">
        <v>1947</v>
      </c>
      <c r="B61" t="s">
        <v>1940</v>
      </c>
      <c r="F61" s="83">
        <v>720</v>
      </c>
      <c r="G61" s="83"/>
    </row>
    <row r="62" spans="1:7" x14ac:dyDescent="0.25">
      <c r="A62" s="31" t="s">
        <v>1947</v>
      </c>
      <c r="B62" t="s">
        <v>1942</v>
      </c>
      <c r="F62" s="83">
        <v>470</v>
      </c>
      <c r="G62" s="83"/>
    </row>
    <row r="63" spans="1:7" x14ac:dyDescent="0.25">
      <c r="A63" s="31" t="s">
        <v>55</v>
      </c>
      <c r="B63" t="s">
        <v>1941</v>
      </c>
      <c r="F63" s="83">
        <v>300</v>
      </c>
      <c r="G63" s="83"/>
    </row>
    <row r="64" spans="1:7" x14ac:dyDescent="0.25">
      <c r="A64" s="31" t="s">
        <v>1947</v>
      </c>
      <c r="B64" t="s">
        <v>1943</v>
      </c>
      <c r="F64" s="83">
        <v>237</v>
      </c>
      <c r="G64" s="83"/>
    </row>
    <row r="65" spans="1:7" x14ac:dyDescent="0.25">
      <c r="A65" s="31" t="s">
        <v>1946</v>
      </c>
      <c r="B65" t="s">
        <v>1944</v>
      </c>
      <c r="F65" s="83">
        <v>133</v>
      </c>
      <c r="G65" s="83"/>
    </row>
    <row r="66" spans="1:7" x14ac:dyDescent="0.25">
      <c r="A66" s="31" t="s">
        <v>1591</v>
      </c>
      <c r="B66" t="s">
        <v>1939</v>
      </c>
      <c r="F66" s="83">
        <v>134</v>
      </c>
      <c r="G66" s="83"/>
    </row>
    <row r="67" spans="1:7" x14ac:dyDescent="0.25">
      <c r="A67" s="31" t="s">
        <v>1676</v>
      </c>
      <c r="B67" t="s">
        <v>1945</v>
      </c>
      <c r="F67" s="83">
        <v>90</v>
      </c>
      <c r="G67" s="83"/>
    </row>
    <row r="68" spans="1:7" x14ac:dyDescent="0.25">
      <c r="B68"/>
      <c r="F68" s="83"/>
      <c r="G68" s="83"/>
    </row>
    <row r="69" spans="1:7" ht="16.5" thickBot="1" x14ac:dyDescent="0.3">
      <c r="F69" s="79" t="s">
        <v>1911</v>
      </c>
      <c r="G69" s="79"/>
    </row>
    <row r="70" spans="1:7" ht="16.5" thickBot="1" x14ac:dyDescent="0.3">
      <c r="A70" s="30" t="s">
        <v>46</v>
      </c>
    </row>
    <row r="71" spans="1:7" x14ac:dyDescent="0.25">
      <c r="A71" s="30" t="s">
        <v>248</v>
      </c>
      <c r="B71" s="30" t="s">
        <v>64</v>
      </c>
      <c r="C71" s="33" t="s">
        <v>1870</v>
      </c>
      <c r="D71" s="33" t="s">
        <v>1873</v>
      </c>
      <c r="E71" s="34" t="s">
        <v>1552</v>
      </c>
      <c r="F71" s="77" t="s">
        <v>1871</v>
      </c>
      <c r="G71" s="77" t="s">
        <v>1872</v>
      </c>
    </row>
    <row r="72" spans="1:7" x14ac:dyDescent="0.25">
      <c r="A72" s="31" t="s">
        <v>1585</v>
      </c>
      <c r="B72" s="31" t="s">
        <v>1912</v>
      </c>
      <c r="C72" s="31">
        <v>418803</v>
      </c>
      <c r="E72" s="32">
        <v>194</v>
      </c>
      <c r="F72" s="76">
        <v>3.64</v>
      </c>
      <c r="G72" s="76">
        <f>E72*F72</f>
        <v>706.16</v>
      </c>
    </row>
    <row r="73" spans="1:7" x14ac:dyDescent="0.25">
      <c r="A73" s="31" t="s">
        <v>1586</v>
      </c>
      <c r="B73" s="31" t="s">
        <v>1921</v>
      </c>
      <c r="C73" s="31">
        <v>21129</v>
      </c>
      <c r="E73" s="32">
        <v>82</v>
      </c>
      <c r="F73" s="76">
        <v>4.37</v>
      </c>
      <c r="G73" s="76">
        <f t="shared" ref="G73:G78" si="2">E73*F73</f>
        <v>358.34000000000003</v>
      </c>
    </row>
    <row r="74" spans="1:7" x14ac:dyDescent="0.25">
      <c r="A74" s="31" t="s">
        <v>1587</v>
      </c>
      <c r="B74" s="31" t="s">
        <v>1922</v>
      </c>
      <c r="C74" s="31">
        <v>21229</v>
      </c>
      <c r="E74" s="32">
        <v>43</v>
      </c>
      <c r="F74" s="76">
        <v>6.01</v>
      </c>
      <c r="G74" s="76">
        <f t="shared" si="2"/>
        <v>258.43</v>
      </c>
    </row>
    <row r="75" spans="1:7" x14ac:dyDescent="0.25">
      <c r="A75" s="31" t="s">
        <v>1588</v>
      </c>
      <c r="B75" s="31" t="s">
        <v>1923</v>
      </c>
      <c r="C75" s="31">
        <v>21329</v>
      </c>
      <c r="E75" s="32">
        <v>15</v>
      </c>
      <c r="F75" s="76">
        <v>10.95</v>
      </c>
      <c r="G75" s="76">
        <f t="shared" si="2"/>
        <v>164.25</v>
      </c>
    </row>
    <row r="76" spans="1:7" x14ac:dyDescent="0.25">
      <c r="A76" s="31" t="s">
        <v>1926</v>
      </c>
      <c r="B76" s="31" t="s">
        <v>1924</v>
      </c>
      <c r="C76" s="31">
        <v>245200</v>
      </c>
      <c r="E76" s="32">
        <v>12</v>
      </c>
      <c r="F76" s="76">
        <v>24.59</v>
      </c>
      <c r="G76" s="76">
        <f t="shared" si="2"/>
        <v>295.08</v>
      </c>
    </row>
    <row r="77" spans="1:7" x14ac:dyDescent="0.25">
      <c r="A77" s="31" t="s">
        <v>1927</v>
      </c>
      <c r="B77" s="31" t="s">
        <v>1925</v>
      </c>
      <c r="C77" s="31">
        <v>245100</v>
      </c>
      <c r="E77" s="32">
        <v>5</v>
      </c>
      <c r="F77" s="76">
        <v>18.22</v>
      </c>
      <c r="G77" s="76">
        <f t="shared" si="2"/>
        <v>91.1</v>
      </c>
    </row>
    <row r="78" spans="1:7" x14ac:dyDescent="0.25">
      <c r="A78" s="31" t="s">
        <v>1589</v>
      </c>
      <c r="B78" s="31" t="s">
        <v>1928</v>
      </c>
      <c r="C78" s="31">
        <v>27003</v>
      </c>
      <c r="E78" s="32">
        <v>17</v>
      </c>
      <c r="F78" s="76">
        <v>2.52</v>
      </c>
      <c r="G78" s="76">
        <f t="shared" si="2"/>
        <v>42.84</v>
      </c>
    </row>
    <row r="82" spans="1:7" x14ac:dyDescent="0.25">
      <c r="F82" s="79" t="s">
        <v>1911</v>
      </c>
      <c r="G82" s="79">
        <f>SUM(G72:G81)</f>
        <v>1916.1999999999998</v>
      </c>
    </row>
    <row r="83" spans="1:7" ht="16.5" thickBot="1" x14ac:dyDescent="0.3"/>
    <row r="84" spans="1:7" ht="16.5" thickBot="1" x14ac:dyDescent="0.3">
      <c r="A84" s="30" t="s">
        <v>1590</v>
      </c>
    </row>
    <row r="85" spans="1:7" x14ac:dyDescent="0.25">
      <c r="A85" s="30" t="s">
        <v>248</v>
      </c>
      <c r="B85" s="30" t="s">
        <v>64</v>
      </c>
      <c r="C85" s="33" t="s">
        <v>1870</v>
      </c>
      <c r="D85" s="33" t="s">
        <v>1873</v>
      </c>
      <c r="E85" s="34" t="s">
        <v>1552</v>
      </c>
      <c r="F85" s="77" t="s">
        <v>1871</v>
      </c>
      <c r="G85" s="77" t="s">
        <v>1872</v>
      </c>
    </row>
    <row r="86" spans="1:7" x14ac:dyDescent="0.25">
      <c r="A86" s="31" t="s">
        <v>1590</v>
      </c>
      <c r="B86" s="31" t="s">
        <v>1929</v>
      </c>
      <c r="C86" s="31">
        <v>233702</v>
      </c>
      <c r="D86" s="31" t="s">
        <v>1930</v>
      </c>
      <c r="E86" s="32">
        <v>1</v>
      </c>
      <c r="F86" s="76">
        <v>83.68</v>
      </c>
      <c r="G86" s="76">
        <f>E86*F86</f>
        <v>83.68</v>
      </c>
    </row>
    <row r="87" spans="1:7" x14ac:dyDescent="0.25">
      <c r="A87" s="31" t="s">
        <v>1932</v>
      </c>
      <c r="B87" s="31" t="s">
        <v>1931</v>
      </c>
      <c r="C87" s="31">
        <v>234300</v>
      </c>
      <c r="D87" s="31" t="s">
        <v>1933</v>
      </c>
      <c r="E87" s="32">
        <v>1</v>
      </c>
      <c r="F87" s="76">
        <v>96.15</v>
      </c>
      <c r="G87" s="76">
        <f t="shared" ref="G87:G88" si="3">E87*F87</f>
        <v>96.15</v>
      </c>
    </row>
    <row r="88" spans="1:7" x14ac:dyDescent="0.25">
      <c r="A88" s="31" t="s">
        <v>1590</v>
      </c>
      <c r="B88" s="31" t="s">
        <v>1934</v>
      </c>
      <c r="C88" s="31">
        <v>233602</v>
      </c>
      <c r="E88" s="32">
        <v>5</v>
      </c>
      <c r="F88" s="76">
        <v>45.45</v>
      </c>
      <c r="G88" s="76">
        <f t="shared" si="3"/>
        <v>227.25</v>
      </c>
    </row>
    <row r="89" spans="1:7" x14ac:dyDescent="0.25">
      <c r="F89" s="79" t="s">
        <v>1911</v>
      </c>
      <c r="G89" s="79">
        <f>SUM(G86:G88)</f>
        <v>407.08000000000004</v>
      </c>
    </row>
    <row r="90" spans="1:7" ht="16.5" thickBot="1" x14ac:dyDescent="0.3"/>
    <row r="91" spans="1:7" ht="16.5" thickBot="1" x14ac:dyDescent="0.3">
      <c r="A91" s="30" t="s">
        <v>1591</v>
      </c>
    </row>
    <row r="92" spans="1:7" x14ac:dyDescent="0.25">
      <c r="A92" s="30" t="s">
        <v>248</v>
      </c>
      <c r="B92" s="30" t="s">
        <v>64</v>
      </c>
      <c r="C92" s="33" t="s">
        <v>1870</v>
      </c>
      <c r="D92" s="33" t="s">
        <v>1873</v>
      </c>
      <c r="E92" s="34" t="s">
        <v>1552</v>
      </c>
      <c r="F92" s="77" t="s">
        <v>1871</v>
      </c>
      <c r="G92" s="77" t="s">
        <v>1872</v>
      </c>
    </row>
    <row r="93" spans="1:7" x14ac:dyDescent="0.25">
      <c r="B93" s="31" t="s">
        <v>1633</v>
      </c>
    </row>
    <row r="94" spans="1:7" x14ac:dyDescent="0.25">
      <c r="B94" s="31" t="s">
        <v>1948</v>
      </c>
    </row>
    <row r="96" spans="1:7" x14ac:dyDescent="0.25">
      <c r="F96" s="79" t="s">
        <v>1911</v>
      </c>
    </row>
    <row r="97" spans="6:7" x14ac:dyDescent="0.25">
      <c r="F97" s="79" t="s">
        <v>1935</v>
      </c>
      <c r="G97" s="79">
        <f>SUM(G23+G33+G69+G82+G89)</f>
        <v>14683.589999999998</v>
      </c>
    </row>
  </sheetData>
  <phoneticPr fontId="3" type="noConversion"/>
  <pageMargins left="3.937007874015748E-2" right="3.937007874015748E-2" top="0.19685039370078741" bottom="0.19685039370078741" header="0.11811023622047245" footer="0.11811023622047245"/>
  <pageSetup paperSize="9" scale="53" fitToHeight="0" orientation="portrait" horizont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tabColor rgb="FF002060"/>
  </sheetPr>
  <dimension ref="A1:G37"/>
  <sheetViews>
    <sheetView topLeftCell="A6" zoomScale="70" zoomScaleNormal="70" workbookViewId="0">
      <selection activeCell="C39" sqref="C39"/>
    </sheetView>
  </sheetViews>
  <sheetFormatPr baseColWidth="10" defaultColWidth="32.25" defaultRowHeight="15.75" x14ac:dyDescent="0.25"/>
  <cols>
    <col min="1" max="3" width="33.875" style="5" customWidth="1"/>
    <col min="4" max="4" width="34.25" style="5" bestFit="1" customWidth="1"/>
    <col min="5" max="5" width="33.875" style="5" customWidth="1"/>
    <col min="6" max="16384" width="32.25" style="5"/>
  </cols>
  <sheetData>
    <row r="1" spans="1:5" s="20" customFormat="1" x14ac:dyDescent="0.25">
      <c r="A1" s="20" t="s">
        <v>1457</v>
      </c>
      <c r="B1" s="20" t="s">
        <v>1457</v>
      </c>
      <c r="C1" s="20" t="s">
        <v>1457</v>
      </c>
      <c r="D1" s="20" t="s">
        <v>1457</v>
      </c>
      <c r="E1" s="20" t="s">
        <v>1457</v>
      </c>
    </row>
    <row r="2" spans="1:5" ht="94.5" customHeight="1" x14ac:dyDescent="0.25">
      <c r="A2" s="16"/>
      <c r="B2" s="99" t="s">
        <v>1458</v>
      </c>
      <c r="C2" s="100"/>
      <c r="D2" s="99" t="s">
        <v>1459</v>
      </c>
      <c r="E2" s="100"/>
    </row>
    <row r="3" spans="1:5" ht="94.5" customHeight="1" x14ac:dyDescent="0.25">
      <c r="A3" s="16"/>
      <c r="B3" s="99" t="s">
        <v>1460</v>
      </c>
      <c r="C3" s="100"/>
      <c r="D3" s="99" t="s">
        <v>1461</v>
      </c>
      <c r="E3" s="100"/>
    </row>
    <row r="4" spans="1:5" ht="94.5" customHeight="1" x14ac:dyDescent="0.25">
      <c r="A4" s="17" t="s">
        <v>1462</v>
      </c>
      <c r="B4" s="17" t="s">
        <v>1463</v>
      </c>
      <c r="C4" s="17" t="s">
        <v>1463</v>
      </c>
      <c r="D4" s="17" t="s">
        <v>1463</v>
      </c>
      <c r="E4" s="17" t="s">
        <v>1463</v>
      </c>
    </row>
    <row r="5" spans="1:5" ht="94.5" customHeight="1" x14ac:dyDescent="0.25">
      <c r="A5" s="21" t="s">
        <v>46</v>
      </c>
      <c r="B5" s="17" t="s">
        <v>1464</v>
      </c>
      <c r="C5" s="17" t="s">
        <v>1465</v>
      </c>
      <c r="D5" s="17" t="s">
        <v>1465</v>
      </c>
      <c r="E5" s="17" t="s">
        <v>1466</v>
      </c>
    </row>
    <row r="6" spans="1:5" ht="94.5" customHeight="1" x14ac:dyDescent="0.25">
      <c r="A6" s="16"/>
      <c r="B6" s="17" t="s">
        <v>1467</v>
      </c>
      <c r="E6" s="16"/>
    </row>
    <row r="7" spans="1:5" ht="94.5" customHeight="1" x14ac:dyDescent="0.25">
      <c r="A7" s="16"/>
      <c r="B7" s="22" t="s">
        <v>1468</v>
      </c>
      <c r="C7" s="23" t="s">
        <v>1469</v>
      </c>
      <c r="D7" s="16"/>
      <c r="E7" s="16"/>
    </row>
    <row r="8" spans="1:5" ht="94.5" customHeight="1" x14ac:dyDescent="0.25">
      <c r="A8" s="25" t="s">
        <v>1470</v>
      </c>
      <c r="B8" s="18" t="s">
        <v>1471</v>
      </c>
      <c r="C8" s="18" t="s">
        <v>1472</v>
      </c>
      <c r="D8" s="18" t="s">
        <v>1473</v>
      </c>
      <c r="E8" s="18" t="s">
        <v>1474</v>
      </c>
    </row>
    <row r="9" spans="1:5" ht="94.5" customHeight="1" x14ac:dyDescent="0.25">
      <c r="A9" s="25" t="s">
        <v>1470</v>
      </c>
      <c r="B9" s="18" t="s">
        <v>1475</v>
      </c>
      <c r="C9" s="18" t="s">
        <v>1476</v>
      </c>
      <c r="D9" s="18" t="s">
        <v>1477</v>
      </c>
    </row>
    <row r="11" spans="1:5" x14ac:dyDescent="0.25">
      <c r="B11" s="19" t="s">
        <v>1478</v>
      </c>
      <c r="C11" s="5">
        <v>4</v>
      </c>
      <c r="D11" s="19" t="s">
        <v>1479</v>
      </c>
    </row>
    <row r="12" spans="1:5" x14ac:dyDescent="0.25">
      <c r="B12" s="19" t="s">
        <v>1480</v>
      </c>
      <c r="C12" s="5">
        <v>3</v>
      </c>
      <c r="D12" s="5" t="s">
        <v>1481</v>
      </c>
      <c r="E12" s="70" t="s">
        <v>1482</v>
      </c>
    </row>
    <row r="13" spans="1:5" x14ac:dyDescent="0.25">
      <c r="B13" s="19" t="s">
        <v>1483</v>
      </c>
      <c r="C13" s="5">
        <f>C11</f>
        <v>4</v>
      </c>
      <c r="D13" s="5" t="s">
        <v>29</v>
      </c>
      <c r="E13" s="71">
        <v>11150</v>
      </c>
    </row>
    <row r="14" spans="1:5" x14ac:dyDescent="0.25">
      <c r="B14" s="19" t="s">
        <v>1484</v>
      </c>
      <c r="C14" s="5">
        <f>C11*8+C12*12</f>
        <v>68</v>
      </c>
      <c r="D14" s="12" t="s">
        <v>1485</v>
      </c>
      <c r="E14" s="70" t="s">
        <v>1486</v>
      </c>
    </row>
    <row r="15" spans="1:5" x14ac:dyDescent="0.25">
      <c r="B15" s="19" t="s">
        <v>1487</v>
      </c>
      <c r="C15" s="5">
        <v>4</v>
      </c>
    </row>
    <row r="17" spans="1:7" x14ac:dyDescent="0.25">
      <c r="A17" s="98" t="s">
        <v>1488</v>
      </c>
      <c r="B17" s="98"/>
      <c r="C17" s="98"/>
      <c r="D17" s="98"/>
      <c r="E17" s="98"/>
      <c r="F17" s="98"/>
      <c r="G17" s="31"/>
    </row>
    <row r="18" spans="1:7" x14ac:dyDescent="0.25">
      <c r="A18" s="57" t="s">
        <v>248</v>
      </c>
      <c r="B18" s="57" t="s">
        <v>64</v>
      </c>
      <c r="C18" s="57" t="s">
        <v>73</v>
      </c>
      <c r="D18" s="58" t="s">
        <v>1489</v>
      </c>
      <c r="E18" s="58" t="s">
        <v>1490</v>
      </c>
      <c r="F18" s="57" t="s">
        <v>1491</v>
      </c>
    </row>
    <row r="19" spans="1:7" x14ac:dyDescent="0.25">
      <c r="A19" s="59" t="s">
        <v>1492</v>
      </c>
      <c r="B19" s="60" t="s">
        <v>1493</v>
      </c>
      <c r="C19" s="61" t="s">
        <v>1494</v>
      </c>
      <c r="D19" s="61"/>
      <c r="E19" s="62" t="s">
        <v>138</v>
      </c>
      <c r="F19" s="61" t="s">
        <v>1495</v>
      </c>
    </row>
    <row r="20" spans="1:7" x14ac:dyDescent="0.25">
      <c r="A20" s="59" t="s">
        <v>31</v>
      </c>
      <c r="B20" s="60" t="s">
        <v>1493</v>
      </c>
      <c r="C20" s="61" t="s">
        <v>1496</v>
      </c>
      <c r="D20" s="61"/>
      <c r="E20" s="62" t="s">
        <v>138</v>
      </c>
      <c r="F20" s="61" t="s">
        <v>1495</v>
      </c>
    </row>
    <row r="21" spans="1:7" x14ac:dyDescent="0.25">
      <c r="A21" s="59" t="s">
        <v>1497</v>
      </c>
      <c r="B21" s="60" t="s">
        <v>1498</v>
      </c>
      <c r="C21" s="61" t="s">
        <v>1499</v>
      </c>
      <c r="D21" s="61"/>
      <c r="E21" s="62" t="s">
        <v>138</v>
      </c>
      <c r="F21" s="61" t="s">
        <v>1495</v>
      </c>
    </row>
    <row r="22" spans="1:7" ht="31.5" x14ac:dyDescent="0.25">
      <c r="A22" s="59" t="s">
        <v>53</v>
      </c>
      <c r="B22" s="60" t="s">
        <v>1500</v>
      </c>
      <c r="C22" s="63" t="s">
        <v>140</v>
      </c>
      <c r="D22" s="61" t="s">
        <v>1501</v>
      </c>
      <c r="E22" s="61">
        <v>24</v>
      </c>
      <c r="F22" s="61" t="s">
        <v>1502</v>
      </c>
    </row>
    <row r="23" spans="1:7" ht="31.5" x14ac:dyDescent="0.25">
      <c r="A23" s="59" t="s">
        <v>53</v>
      </c>
      <c r="B23" s="60" t="s">
        <v>1503</v>
      </c>
      <c r="C23" s="61" t="s">
        <v>205</v>
      </c>
      <c r="D23" s="61" t="s">
        <v>1504</v>
      </c>
      <c r="E23" s="61">
        <v>16</v>
      </c>
      <c r="F23" s="61" t="s">
        <v>1502</v>
      </c>
    </row>
    <row r="24" spans="1:7" ht="31.5" x14ac:dyDescent="0.25">
      <c r="A24" s="59" t="s">
        <v>53</v>
      </c>
      <c r="B24" s="60" t="s">
        <v>1500</v>
      </c>
      <c r="C24" s="63" t="s">
        <v>145</v>
      </c>
      <c r="D24" s="61" t="s">
        <v>1505</v>
      </c>
      <c r="E24" s="61">
        <v>24</v>
      </c>
      <c r="F24" s="61" t="s">
        <v>1502</v>
      </c>
    </row>
    <row r="25" spans="1:7" x14ac:dyDescent="0.25">
      <c r="A25" s="59" t="s">
        <v>54</v>
      </c>
      <c r="B25" s="60" t="s">
        <v>1506</v>
      </c>
      <c r="C25" s="63" t="s">
        <v>167</v>
      </c>
      <c r="D25" s="61" t="s">
        <v>1507</v>
      </c>
      <c r="E25" s="61" t="s">
        <v>1508</v>
      </c>
      <c r="F25" s="61" t="s">
        <v>1502</v>
      </c>
    </row>
    <row r="26" spans="1:7" x14ac:dyDescent="0.25">
      <c r="A26" s="59" t="s">
        <v>54</v>
      </c>
      <c r="B26" s="60" t="s">
        <v>1506</v>
      </c>
      <c r="C26" s="63" t="s">
        <v>200</v>
      </c>
      <c r="D26" s="61" t="s">
        <v>1509</v>
      </c>
      <c r="E26" s="61" t="s">
        <v>1508</v>
      </c>
      <c r="F26" s="61" t="s">
        <v>1502</v>
      </c>
    </row>
    <row r="27" spans="1:7" x14ac:dyDescent="0.25">
      <c r="A27" s="59" t="s">
        <v>54</v>
      </c>
      <c r="B27" s="60" t="s">
        <v>1506</v>
      </c>
      <c r="C27" s="63" t="s">
        <v>147</v>
      </c>
      <c r="D27" s="61" t="s">
        <v>1510</v>
      </c>
      <c r="E27" s="61" t="s">
        <v>1508</v>
      </c>
      <c r="F27" s="61" t="s">
        <v>1502</v>
      </c>
    </row>
    <row r="28" spans="1:7" ht="31.5" x14ac:dyDescent="0.25">
      <c r="A28" s="59" t="s">
        <v>52</v>
      </c>
      <c r="B28" s="60" t="s">
        <v>1511</v>
      </c>
      <c r="C28" s="63" t="s">
        <v>85</v>
      </c>
      <c r="D28" s="61" t="s">
        <v>1512</v>
      </c>
      <c r="E28" s="61" t="s">
        <v>1508</v>
      </c>
      <c r="F28" s="61" t="s">
        <v>1502</v>
      </c>
    </row>
    <row r="29" spans="1:7" ht="31.5" x14ac:dyDescent="0.25">
      <c r="A29" s="59" t="s">
        <v>52</v>
      </c>
      <c r="B29" s="60" t="s">
        <v>1511</v>
      </c>
      <c r="C29" s="63" t="s">
        <v>235</v>
      </c>
      <c r="D29" s="61" t="s">
        <v>1513</v>
      </c>
      <c r="E29" s="61" t="s">
        <v>1508</v>
      </c>
      <c r="F29" s="61" t="s">
        <v>1502</v>
      </c>
    </row>
    <row r="30" spans="1:7" ht="31.5" x14ac:dyDescent="0.25">
      <c r="A30" s="59" t="s">
        <v>1514</v>
      </c>
      <c r="B30" s="60" t="s">
        <v>1515</v>
      </c>
      <c r="C30" s="61" t="s">
        <v>161</v>
      </c>
      <c r="D30" s="61" t="s">
        <v>1516</v>
      </c>
      <c r="E30" s="61" t="s">
        <v>1508</v>
      </c>
      <c r="F30" s="61" t="s">
        <v>1502</v>
      </c>
    </row>
    <row r="31" spans="1:7" ht="31.5" x14ac:dyDescent="0.25">
      <c r="A31" s="59" t="s">
        <v>1514</v>
      </c>
      <c r="B31" s="60" t="s">
        <v>1517</v>
      </c>
      <c r="C31" s="61" t="s">
        <v>154</v>
      </c>
      <c r="D31" s="61" t="s">
        <v>1518</v>
      </c>
      <c r="E31" s="61" t="s">
        <v>1519</v>
      </c>
      <c r="F31" s="61" t="s">
        <v>1502</v>
      </c>
    </row>
    <row r="32" spans="1:7" ht="31.5" x14ac:dyDescent="0.25">
      <c r="A32" s="59" t="s">
        <v>1520</v>
      </c>
      <c r="B32" s="60" t="s">
        <v>1521</v>
      </c>
      <c r="C32" s="61" t="s">
        <v>139</v>
      </c>
      <c r="D32" s="61" t="s">
        <v>1522</v>
      </c>
      <c r="E32" s="61">
        <v>1</v>
      </c>
      <c r="F32" s="61" t="s">
        <v>1502</v>
      </c>
    </row>
    <row r="33" spans="1:6" ht="31.5" x14ac:dyDescent="0.25">
      <c r="A33" s="59" t="s">
        <v>1523</v>
      </c>
      <c r="B33" s="60" t="s">
        <v>1524</v>
      </c>
      <c r="C33" s="61" t="s">
        <v>137</v>
      </c>
      <c r="D33" s="61" t="s">
        <v>1525</v>
      </c>
      <c r="E33" s="61">
        <v>1</v>
      </c>
      <c r="F33" s="61" t="s">
        <v>1502</v>
      </c>
    </row>
    <row r="34" spans="1:6" ht="47.25" x14ac:dyDescent="0.25">
      <c r="A34" s="59" t="s">
        <v>1526</v>
      </c>
      <c r="B34" s="60" t="s">
        <v>1527</v>
      </c>
      <c r="C34" s="61" t="s">
        <v>1528</v>
      </c>
      <c r="D34" s="61" t="s">
        <v>1529</v>
      </c>
      <c r="E34" s="61">
        <v>1</v>
      </c>
      <c r="F34" s="61" t="s">
        <v>1502</v>
      </c>
    </row>
    <row r="35" spans="1:6" ht="31.5" x14ac:dyDescent="0.25">
      <c r="A35" s="59" t="s">
        <v>1530</v>
      </c>
      <c r="B35" s="60" t="s">
        <v>1531</v>
      </c>
      <c r="C35" s="62" t="s">
        <v>195</v>
      </c>
      <c r="D35" s="62" t="s">
        <v>1532</v>
      </c>
      <c r="E35" s="62" t="s">
        <v>138</v>
      </c>
      <c r="F35" s="61" t="s">
        <v>1533</v>
      </c>
    </row>
    <row r="36" spans="1:6" ht="31.5" x14ac:dyDescent="0.25">
      <c r="A36" s="59" t="s">
        <v>1530</v>
      </c>
      <c r="B36" s="60" t="s">
        <v>1531</v>
      </c>
      <c r="C36" s="62" t="s">
        <v>220</v>
      </c>
      <c r="D36" s="62" t="s">
        <v>1534</v>
      </c>
      <c r="E36" s="62"/>
      <c r="F36" s="61"/>
    </row>
    <row r="37" spans="1:6" x14ac:dyDescent="0.25">
      <c r="A37" s="59" t="s">
        <v>133</v>
      </c>
      <c r="B37" s="59" t="s">
        <v>133</v>
      </c>
      <c r="C37" s="73" t="s">
        <v>138</v>
      </c>
      <c r="D37" s="73" t="s">
        <v>138</v>
      </c>
      <c r="E37" s="73" t="s">
        <v>138</v>
      </c>
      <c r="F37" s="73" t="s">
        <v>138</v>
      </c>
    </row>
  </sheetData>
  <mergeCells count="5">
    <mergeCell ref="A17:F17"/>
    <mergeCell ref="B2:C2"/>
    <mergeCell ref="B3:C3"/>
    <mergeCell ref="D2:E2"/>
    <mergeCell ref="D3:E3"/>
  </mergeCells>
  <phoneticPr fontId="3" type="noConversion"/>
  <dataValidations count="1">
    <dataValidation type="list" allowBlank="1" showInputMessage="1" showErrorMessage="1" sqref="F19:F35" xr:uid="{00000000-0002-0000-0200-000000000000}">
      <formula1>"ja,nein,nicht notwendig"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D32" twoDigitTextYea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002060"/>
  </sheetPr>
  <dimension ref="B1:S273"/>
  <sheetViews>
    <sheetView zoomScale="70" zoomScaleNormal="70" workbookViewId="0">
      <selection activeCell="K175" sqref="K175"/>
    </sheetView>
  </sheetViews>
  <sheetFormatPr baseColWidth="10" defaultColWidth="11" defaultRowHeight="15.75" x14ac:dyDescent="0.25"/>
  <cols>
    <col min="4" max="4" width="18.25" bestFit="1" customWidth="1"/>
    <col min="5" max="5" width="12.375" bestFit="1" customWidth="1"/>
    <col min="6" max="6" width="27" bestFit="1" customWidth="1"/>
    <col min="7" max="7" width="17.5" bestFit="1" customWidth="1"/>
    <col min="8" max="8" width="25.25" bestFit="1" customWidth="1"/>
    <col min="9" max="9" width="19.75" bestFit="1" customWidth="1"/>
    <col min="12" max="12" width="22" style="11" bestFit="1" customWidth="1"/>
    <col min="13" max="13" width="11.125" style="11" hidden="1" customWidth="1"/>
    <col min="14" max="14" width="8.5" style="14" hidden="1" customWidth="1"/>
    <col min="15" max="15" width="16" bestFit="1" customWidth="1"/>
    <col min="19" max="19" width="12.875" bestFit="1" customWidth="1"/>
    <col min="20" max="20" width="7.125" bestFit="1" customWidth="1"/>
    <col min="21" max="21" width="13.875" bestFit="1" customWidth="1"/>
  </cols>
  <sheetData>
    <row r="1" spans="2:19" ht="16.5" thickBot="1" x14ac:dyDescent="0.3"/>
    <row r="2" spans="2:19" ht="16.5" thickBot="1" x14ac:dyDescent="0.3">
      <c r="B2" s="86" t="s">
        <v>63</v>
      </c>
      <c r="C2" s="87"/>
      <c r="D2" s="87"/>
      <c r="E2" s="88"/>
      <c r="F2" s="84" t="s">
        <v>64</v>
      </c>
      <c r="G2" s="85"/>
      <c r="H2" s="85"/>
      <c r="I2" s="85"/>
      <c r="J2" s="85"/>
      <c r="K2" s="101"/>
      <c r="L2" s="102" t="s">
        <v>128</v>
      </c>
      <c r="M2" s="103"/>
      <c r="N2" s="103"/>
      <c r="O2" s="103"/>
      <c r="P2" s="103"/>
      <c r="Q2" s="103"/>
      <c r="R2" s="103"/>
      <c r="S2" s="103"/>
    </row>
    <row r="3" spans="2:19" ht="16.5" thickBot="1" x14ac:dyDescent="0.3">
      <c r="B3" s="55" t="s">
        <v>65</v>
      </c>
      <c r="C3" s="55" t="s">
        <v>67</v>
      </c>
      <c r="D3" s="55" t="s">
        <v>69</v>
      </c>
      <c r="E3" s="55" t="s">
        <v>70</v>
      </c>
      <c r="F3" s="55" t="s">
        <v>0</v>
      </c>
      <c r="G3" s="55" t="s">
        <v>71</v>
      </c>
      <c r="H3" s="55" t="s">
        <v>72</v>
      </c>
      <c r="I3" s="55" t="s">
        <v>3</v>
      </c>
      <c r="J3" s="55" t="s">
        <v>73</v>
      </c>
      <c r="K3" s="55" t="s">
        <v>74</v>
      </c>
      <c r="L3" s="56" t="s">
        <v>129</v>
      </c>
      <c r="M3" s="56" t="s">
        <v>130</v>
      </c>
      <c r="N3" s="56" t="s">
        <v>131</v>
      </c>
      <c r="O3" s="56" t="s">
        <v>132</v>
      </c>
      <c r="P3" s="56" t="s">
        <v>133</v>
      </c>
      <c r="Q3" s="56" t="s">
        <v>134</v>
      </c>
      <c r="R3" s="56" t="s">
        <v>135</v>
      </c>
      <c r="S3" s="56" t="s">
        <v>136</v>
      </c>
    </row>
    <row r="4" spans="2:19" x14ac:dyDescent="0.25">
      <c r="B4" t="str">
        <f>Raumbuch!B4</f>
        <v>Erdgeschoss</v>
      </c>
      <c r="C4" t="str">
        <f>Raumbuch!D4</f>
        <v>E1</v>
      </c>
      <c r="D4" t="str">
        <f>Raumbuch!F4</f>
        <v>Flur</v>
      </c>
      <c r="E4" t="str">
        <f>Raumbuch!G4</f>
        <v>1.1</v>
      </c>
      <c r="F4" t="str">
        <f>Raumbuch!H4</f>
        <v>Deckenlautsprecher</v>
      </c>
      <c r="G4" t="str">
        <f>Raumbuch!I4</f>
        <v>Audio</v>
      </c>
      <c r="H4">
        <f>Raumbuch!J4</f>
        <v>0</v>
      </c>
      <c r="I4" t="str">
        <f>Raumbuch!K4</f>
        <v>DIGITAL (potentialfrei)</v>
      </c>
      <c r="J4" t="str">
        <f>Raumbuch!N4</f>
        <v>DL1</v>
      </c>
      <c r="K4" t="str">
        <f>Raumbuch!O4</f>
        <v>E1.DL1</v>
      </c>
      <c r="L4" s="11">
        <v>0</v>
      </c>
      <c r="M4" s="11">
        <f>Tabelle6[[#This Row],[Anzahl Reihenklemme]]</f>
        <v>0</v>
      </c>
      <c r="N4" s="14">
        <f t="shared" ref="N4:N67" si="0">ROUNDUP(M4,0)</f>
        <v>0</v>
      </c>
      <c r="O4" s="15" t="str">
        <f t="shared" ref="O4:O67" si="1">IF(L4&gt;0,"RK"&amp;N4,"-")</f>
        <v>-</v>
      </c>
      <c r="P4" t="s">
        <v>137</v>
      </c>
      <c r="Q4" s="13" t="s">
        <v>138</v>
      </c>
      <c r="R4" s="13" t="s">
        <v>138</v>
      </c>
      <c r="S4" s="13" t="s">
        <v>138</v>
      </c>
    </row>
    <row r="5" spans="2:19" x14ac:dyDescent="0.25">
      <c r="B5" t="str">
        <f>Raumbuch!B6</f>
        <v>Erdgeschoss</v>
      </c>
      <c r="C5" t="str">
        <f>Raumbuch!D6</f>
        <v>E1</v>
      </c>
      <c r="D5" t="str">
        <f>Raumbuch!F6</f>
        <v>Flur</v>
      </c>
      <c r="E5" t="str">
        <f>Raumbuch!G6</f>
        <v>1.1</v>
      </c>
      <c r="F5" t="str">
        <f>Raumbuch!H6</f>
        <v>Spot 1</v>
      </c>
      <c r="G5" t="str">
        <f>Raumbuch!I6</f>
        <v>Beleuchtung</v>
      </c>
      <c r="H5" t="str">
        <f>Raumbuch!J6</f>
        <v>tunable white</v>
      </c>
      <c r="I5" t="str">
        <f>Raumbuch!K6</f>
        <v>DALI</v>
      </c>
      <c r="J5" t="str">
        <f>Raumbuch!N6</f>
        <v>BL2</v>
      </c>
      <c r="K5" t="str">
        <f>Raumbuch!O6</f>
        <v>E1.BL2</v>
      </c>
      <c r="L5" s="11">
        <v>0</v>
      </c>
      <c r="M5" s="11">
        <f t="shared" ref="M5:M68" si="2">M4+L5</f>
        <v>0</v>
      </c>
      <c r="N5" s="14">
        <f t="shared" si="0"/>
        <v>0</v>
      </c>
      <c r="O5" s="15" t="str">
        <f t="shared" si="1"/>
        <v>-</v>
      </c>
      <c r="P5" t="s">
        <v>139</v>
      </c>
      <c r="Q5" s="13" t="s">
        <v>138</v>
      </c>
      <c r="R5" s="13" t="s">
        <v>138</v>
      </c>
      <c r="S5" s="13" t="s">
        <v>138</v>
      </c>
    </row>
    <row r="6" spans="2:19" x14ac:dyDescent="0.25">
      <c r="B6" t="str">
        <f>Raumbuch!B7</f>
        <v>Erdgeschoss</v>
      </c>
      <c r="C6" t="str">
        <f>Raumbuch!D7</f>
        <v>E1</v>
      </c>
      <c r="D6" t="str">
        <f>Raumbuch!F7</f>
        <v>Flur</v>
      </c>
      <c r="E6" t="str">
        <f>Raumbuch!G7</f>
        <v>1.1</v>
      </c>
      <c r="F6" t="str">
        <f>Raumbuch!H7</f>
        <v>Spot 2</v>
      </c>
      <c r="G6" t="str">
        <f>Raumbuch!I7</f>
        <v>Beleuchtung</v>
      </c>
      <c r="H6" t="str">
        <f>Raumbuch!J7</f>
        <v>tunable white</v>
      </c>
      <c r="I6" t="str">
        <f>Raumbuch!K7</f>
        <v>DALI</v>
      </c>
      <c r="J6" t="str">
        <f>Raumbuch!N7</f>
        <v>BL3</v>
      </c>
      <c r="K6" t="str">
        <f>Raumbuch!O7</f>
        <v>E1.BL3</v>
      </c>
      <c r="L6" s="11">
        <v>1</v>
      </c>
      <c r="M6" s="11">
        <f t="shared" si="2"/>
        <v>1</v>
      </c>
      <c r="N6" s="14">
        <f t="shared" si="0"/>
        <v>1</v>
      </c>
      <c r="O6" s="15" t="str">
        <f t="shared" si="1"/>
        <v>RK1</v>
      </c>
      <c r="P6" t="s">
        <v>140</v>
      </c>
      <c r="Q6" t="s">
        <v>141</v>
      </c>
      <c r="R6" t="s">
        <v>142</v>
      </c>
      <c r="S6" t="s">
        <v>143</v>
      </c>
    </row>
    <row r="7" spans="2:19" x14ac:dyDescent="0.25">
      <c r="B7" t="str">
        <f>Raumbuch!B8</f>
        <v>Erdgeschoss</v>
      </c>
      <c r="C7" t="str">
        <f>Raumbuch!D8</f>
        <v>E1</v>
      </c>
      <c r="D7" t="str">
        <f>Raumbuch!F8</f>
        <v>Flur</v>
      </c>
      <c r="E7" t="str">
        <f>Raumbuch!G8</f>
        <v>1.1</v>
      </c>
      <c r="F7" t="str">
        <f>Raumbuch!H8</f>
        <v>Spot 3</v>
      </c>
      <c r="G7" t="str">
        <f>Raumbuch!I8</f>
        <v>Beleuchtung</v>
      </c>
      <c r="H7" t="str">
        <f>Raumbuch!J8</f>
        <v>tunable white</v>
      </c>
      <c r="I7" t="str">
        <f>Raumbuch!K8</f>
        <v>DALI</v>
      </c>
      <c r="J7" t="str">
        <f>Raumbuch!N8</f>
        <v>BL4</v>
      </c>
      <c r="K7" t="str">
        <f>Raumbuch!O8</f>
        <v>E1.BL4</v>
      </c>
      <c r="L7" s="11">
        <v>1</v>
      </c>
      <c r="M7" s="11">
        <f t="shared" si="2"/>
        <v>2</v>
      </c>
      <c r="N7" s="14">
        <f t="shared" si="0"/>
        <v>2</v>
      </c>
      <c r="O7" s="15" t="str">
        <f t="shared" si="1"/>
        <v>RK2</v>
      </c>
      <c r="P7" t="s">
        <v>140</v>
      </c>
      <c r="Q7" t="s">
        <v>144</v>
      </c>
      <c r="R7" t="s">
        <v>142</v>
      </c>
      <c r="S7" t="s">
        <v>143</v>
      </c>
    </row>
    <row r="8" spans="2:19" x14ac:dyDescent="0.25">
      <c r="B8" t="str">
        <f>Raumbuch!B9</f>
        <v>Erdgeschoss</v>
      </c>
      <c r="C8" t="str">
        <f>Raumbuch!D9</f>
        <v>E1</v>
      </c>
      <c r="D8" t="str">
        <f>Raumbuch!F9</f>
        <v>Flur</v>
      </c>
      <c r="E8" t="str">
        <f>Raumbuch!G9</f>
        <v>1.1</v>
      </c>
      <c r="F8" t="str">
        <f>Raumbuch!H9</f>
        <v>Spot 4</v>
      </c>
      <c r="G8" t="str">
        <f>Raumbuch!I9</f>
        <v>Beleuchtung</v>
      </c>
      <c r="H8" t="str">
        <f>Raumbuch!J9</f>
        <v>tunable white</v>
      </c>
      <c r="I8" t="str">
        <f>Raumbuch!K9</f>
        <v>DALI</v>
      </c>
      <c r="J8" t="str">
        <f>Raumbuch!N9</f>
        <v>BL5</v>
      </c>
      <c r="K8" t="str">
        <f>Raumbuch!O9</f>
        <v>E1.BL5</v>
      </c>
      <c r="L8" s="11">
        <v>1</v>
      </c>
      <c r="M8" s="11">
        <f t="shared" si="2"/>
        <v>3</v>
      </c>
      <c r="N8" s="14">
        <f t="shared" si="0"/>
        <v>3</v>
      </c>
      <c r="O8" s="15" t="str">
        <f t="shared" si="1"/>
        <v>RK3</v>
      </c>
      <c r="P8" t="s">
        <v>145</v>
      </c>
      <c r="Q8" t="s">
        <v>141</v>
      </c>
      <c r="R8" t="s">
        <v>142</v>
      </c>
      <c r="S8" t="s">
        <v>146</v>
      </c>
    </row>
    <row r="9" spans="2:19" x14ac:dyDescent="0.25">
      <c r="B9" t="str">
        <f>Raumbuch!B10</f>
        <v>Erdgeschoss</v>
      </c>
      <c r="C9" t="str">
        <f>Raumbuch!D10</f>
        <v>E1</v>
      </c>
      <c r="D9" t="str">
        <f>Raumbuch!F10</f>
        <v>Flur</v>
      </c>
      <c r="E9" t="str">
        <f>Raumbuch!G10</f>
        <v>1.1</v>
      </c>
      <c r="F9" t="str">
        <f>Raumbuch!H10</f>
        <v>Spot 5</v>
      </c>
      <c r="G9" t="str">
        <f>Raumbuch!I10</f>
        <v>Beleuchtung</v>
      </c>
      <c r="H9" t="str">
        <f>Raumbuch!J10</f>
        <v>tunable white</v>
      </c>
      <c r="I9" t="str">
        <f>Raumbuch!K10</f>
        <v>DALI</v>
      </c>
      <c r="J9" t="str">
        <f>Raumbuch!N10</f>
        <v>BL6</v>
      </c>
      <c r="K9" t="str">
        <f>Raumbuch!O10</f>
        <v>E1.BL6</v>
      </c>
      <c r="L9" s="11">
        <v>0</v>
      </c>
      <c r="M9" s="11">
        <f t="shared" si="2"/>
        <v>3</v>
      </c>
      <c r="N9" s="14">
        <f t="shared" si="0"/>
        <v>3</v>
      </c>
      <c r="O9" s="15" t="str">
        <f t="shared" si="1"/>
        <v>-</v>
      </c>
      <c r="P9" t="s">
        <v>137</v>
      </c>
      <c r="Q9" s="13" t="s">
        <v>138</v>
      </c>
      <c r="R9" s="13" t="s">
        <v>138</v>
      </c>
      <c r="S9" s="13" t="s">
        <v>138</v>
      </c>
    </row>
    <row r="10" spans="2:19" x14ac:dyDescent="0.25">
      <c r="B10" t="str">
        <f>Raumbuch!B13</f>
        <v>Erdgeschoss</v>
      </c>
      <c r="C10" t="str">
        <f>Raumbuch!D13</f>
        <v>E1</v>
      </c>
      <c r="D10" t="str">
        <f>Raumbuch!F13</f>
        <v>Flur</v>
      </c>
      <c r="E10" t="str">
        <f>Raumbuch!G13</f>
        <v>1.1</v>
      </c>
      <c r="F10" t="str">
        <f>Raumbuch!H13</f>
        <v>Spot 8</v>
      </c>
      <c r="G10" t="str">
        <f>Raumbuch!I13</f>
        <v>Beleuchtung</v>
      </c>
      <c r="H10" t="str">
        <f>Raumbuch!J13</f>
        <v>tunable white</v>
      </c>
      <c r="I10" t="str">
        <f>Raumbuch!K13</f>
        <v>DALI</v>
      </c>
      <c r="J10" t="str">
        <f>Raumbuch!N13</f>
        <v>BL9</v>
      </c>
      <c r="K10" t="str">
        <f>Raumbuch!O13</f>
        <v>E1.BL9</v>
      </c>
      <c r="L10" s="11">
        <v>1</v>
      </c>
      <c r="M10" s="11">
        <f t="shared" si="2"/>
        <v>4</v>
      </c>
      <c r="N10" s="14">
        <f t="shared" si="0"/>
        <v>4</v>
      </c>
      <c r="O10" s="15" t="str">
        <f t="shared" si="1"/>
        <v>RK4</v>
      </c>
      <c r="P10" t="s">
        <v>147</v>
      </c>
      <c r="Q10" t="s">
        <v>148</v>
      </c>
      <c r="R10" t="s">
        <v>142</v>
      </c>
      <c r="S10" t="s">
        <v>149</v>
      </c>
    </row>
    <row r="11" spans="2:19" x14ac:dyDescent="0.25">
      <c r="B11" t="str">
        <f>Raumbuch!B11</f>
        <v>Erdgeschoss</v>
      </c>
      <c r="C11" t="str">
        <f>Raumbuch!D11</f>
        <v>E1</v>
      </c>
      <c r="D11" t="str">
        <f>Raumbuch!F11</f>
        <v>Flur</v>
      </c>
      <c r="E11" t="str">
        <f>Raumbuch!G11</f>
        <v>1.1</v>
      </c>
      <c r="F11" t="str">
        <f>Raumbuch!H11</f>
        <v>Spot 6</v>
      </c>
      <c r="G11" t="str">
        <f>Raumbuch!I11</f>
        <v>Beleuchtung</v>
      </c>
      <c r="H11" t="str">
        <f>Raumbuch!J11</f>
        <v>tunable white</v>
      </c>
      <c r="I11" t="str">
        <f>Raumbuch!K11</f>
        <v>DALI</v>
      </c>
      <c r="J11" t="str">
        <f>Raumbuch!N11</f>
        <v>BL7</v>
      </c>
      <c r="K11" t="str">
        <f>Raumbuch!O11</f>
        <v>E1.BL7</v>
      </c>
      <c r="L11" s="11">
        <v>1</v>
      </c>
      <c r="M11" s="11">
        <f t="shared" si="2"/>
        <v>5</v>
      </c>
      <c r="N11" s="14">
        <f t="shared" si="0"/>
        <v>5</v>
      </c>
      <c r="O11" s="15" t="str">
        <f t="shared" si="1"/>
        <v>RK5</v>
      </c>
      <c r="P11" t="s">
        <v>140</v>
      </c>
      <c r="Q11" t="s">
        <v>150</v>
      </c>
      <c r="R11" t="s">
        <v>142</v>
      </c>
      <c r="S11" t="s">
        <v>143</v>
      </c>
    </row>
    <row r="12" spans="2:19" x14ac:dyDescent="0.25">
      <c r="B12" t="str">
        <f>Raumbuch!B12</f>
        <v>Erdgeschoss</v>
      </c>
      <c r="C12" t="str">
        <f>Raumbuch!D12</f>
        <v>E1</v>
      </c>
      <c r="D12" t="str">
        <f>Raumbuch!F12</f>
        <v>Flur</v>
      </c>
      <c r="E12" t="str">
        <f>Raumbuch!G12</f>
        <v>1.1</v>
      </c>
      <c r="F12" t="str">
        <f>Raumbuch!H12</f>
        <v>Spot 7</v>
      </c>
      <c r="G12" t="str">
        <f>Raumbuch!I12</f>
        <v>Beleuchtung</v>
      </c>
      <c r="H12" t="str">
        <f>Raumbuch!J12</f>
        <v>tunable white</v>
      </c>
      <c r="I12" t="str">
        <f>Raumbuch!K12</f>
        <v>DALI</v>
      </c>
      <c r="J12" t="str">
        <f>Raumbuch!N12</f>
        <v>BL8</v>
      </c>
      <c r="K12" t="str">
        <f>Raumbuch!O12</f>
        <v>E1.BL8</v>
      </c>
      <c r="L12" s="11">
        <v>1</v>
      </c>
      <c r="M12" s="11">
        <f t="shared" si="2"/>
        <v>6</v>
      </c>
      <c r="N12" s="14">
        <f t="shared" si="0"/>
        <v>6</v>
      </c>
      <c r="O12" s="15" t="str">
        <f t="shared" si="1"/>
        <v>RK6</v>
      </c>
      <c r="P12" t="s">
        <v>145</v>
      </c>
      <c r="Q12" t="s">
        <v>144</v>
      </c>
      <c r="R12" t="s">
        <v>142</v>
      </c>
      <c r="S12" t="s">
        <v>146</v>
      </c>
    </row>
    <row r="13" spans="2:19" x14ac:dyDescent="0.25">
      <c r="B13" t="str">
        <f>Raumbuch!B18</f>
        <v>Erdgeschoss</v>
      </c>
      <c r="C13" t="str">
        <f>Raumbuch!D18</f>
        <v>E1</v>
      </c>
      <c r="D13" t="str">
        <f>Raumbuch!F18</f>
        <v>Flur</v>
      </c>
      <c r="E13" t="str">
        <f>Raumbuch!G18</f>
        <v>1.1</v>
      </c>
      <c r="F13" t="str">
        <f>Raumbuch!H18</f>
        <v>Bewegungsmelder</v>
      </c>
      <c r="G13" t="str">
        <f>Raumbuch!I18</f>
        <v>Sensoren</v>
      </c>
      <c r="H13" t="str">
        <f>Raumbuch!J18</f>
        <v>Bewegungsmelder</v>
      </c>
      <c r="I13" t="str">
        <f>Raumbuch!K18</f>
        <v>KNX</v>
      </c>
      <c r="J13" t="str">
        <f>Raumbuch!N18</f>
        <v>BM1</v>
      </c>
      <c r="K13" t="str">
        <f>Raumbuch!O18</f>
        <v>E1.BM1</v>
      </c>
      <c r="L13" s="11">
        <v>1</v>
      </c>
      <c r="M13" s="11">
        <f t="shared" si="2"/>
        <v>7</v>
      </c>
      <c r="N13" s="14">
        <f t="shared" si="0"/>
        <v>7</v>
      </c>
      <c r="O13" s="15" t="str">
        <f t="shared" si="1"/>
        <v>RK7</v>
      </c>
      <c r="P13" t="s">
        <v>147</v>
      </c>
      <c r="Q13" t="s">
        <v>151</v>
      </c>
      <c r="R13" t="s">
        <v>142</v>
      </c>
      <c r="S13" t="s">
        <v>149</v>
      </c>
    </row>
    <row r="14" spans="2:19" x14ac:dyDescent="0.25">
      <c r="B14" t="str">
        <f>Raumbuch!B16</f>
        <v>Erdgeschoss</v>
      </c>
      <c r="C14" t="str">
        <f>Raumbuch!D16</f>
        <v>E1</v>
      </c>
      <c r="D14" t="str">
        <f>Raumbuch!F16</f>
        <v>Flur</v>
      </c>
      <c r="E14" t="str">
        <f>Raumbuch!G16</f>
        <v>1.1</v>
      </c>
      <c r="F14" t="str">
        <f>Raumbuch!H16</f>
        <v>Tastsensor</v>
      </c>
      <c r="G14" t="str">
        <f>Raumbuch!I16</f>
        <v>Sensoren</v>
      </c>
      <c r="H14" t="str">
        <f>Raumbuch!J16</f>
        <v>Taster mit Temperaturmesser</v>
      </c>
      <c r="I14" t="str">
        <f>Raumbuch!K16</f>
        <v>KNX</v>
      </c>
      <c r="J14" t="str">
        <f>Raumbuch!N16</f>
        <v>TS1</v>
      </c>
      <c r="K14" t="str">
        <f>Raumbuch!O16</f>
        <v>E1.TS1</v>
      </c>
      <c r="L14" s="11">
        <v>1</v>
      </c>
      <c r="M14" s="11">
        <f t="shared" si="2"/>
        <v>8</v>
      </c>
      <c r="N14" s="14">
        <f t="shared" si="0"/>
        <v>8</v>
      </c>
      <c r="O14" s="15" t="str">
        <f t="shared" si="1"/>
        <v>RK8</v>
      </c>
      <c r="P14" t="s">
        <v>140</v>
      </c>
      <c r="Q14" t="s">
        <v>152</v>
      </c>
      <c r="R14" t="s">
        <v>142</v>
      </c>
      <c r="S14" t="s">
        <v>143</v>
      </c>
    </row>
    <row r="15" spans="2:19" x14ac:dyDescent="0.25">
      <c r="B15" t="str">
        <f>Raumbuch!B17</f>
        <v>Erdgeschoss</v>
      </c>
      <c r="C15" t="str">
        <f>Raumbuch!D17</f>
        <v>E1</v>
      </c>
      <c r="D15" t="str">
        <f>Raumbuch!F17</f>
        <v>Flur</v>
      </c>
      <c r="E15" t="str">
        <f>Raumbuch!G17</f>
        <v>1.1</v>
      </c>
      <c r="F15" t="str">
        <f>Raumbuch!H17</f>
        <v>Tastsensor</v>
      </c>
      <c r="G15" t="str">
        <f>Raumbuch!I17</f>
        <v>Sensoren</v>
      </c>
      <c r="H15" t="str">
        <f>Raumbuch!J17</f>
        <v>Taster mit Temperaturmesser</v>
      </c>
      <c r="I15" t="str">
        <f>Raumbuch!K17</f>
        <v>KNX</v>
      </c>
      <c r="J15" t="str">
        <f>Raumbuch!N17</f>
        <v>TS2</v>
      </c>
      <c r="K15" t="str">
        <f>Raumbuch!O17</f>
        <v>E1.TS2</v>
      </c>
      <c r="L15" s="11">
        <v>1</v>
      </c>
      <c r="M15" s="11">
        <f t="shared" si="2"/>
        <v>9</v>
      </c>
      <c r="N15" s="14">
        <f t="shared" si="0"/>
        <v>9</v>
      </c>
      <c r="O15" s="15" t="str">
        <f t="shared" si="1"/>
        <v>RK9</v>
      </c>
      <c r="P15" t="s">
        <v>145</v>
      </c>
      <c r="Q15" t="s">
        <v>150</v>
      </c>
      <c r="R15" t="s">
        <v>142</v>
      </c>
      <c r="S15" t="s">
        <v>146</v>
      </c>
    </row>
    <row r="16" spans="2:19" x14ac:dyDescent="0.25">
      <c r="B16" t="str">
        <f>Raumbuch!B19</f>
        <v>Erdgeschoss</v>
      </c>
      <c r="C16" t="str">
        <f>Raumbuch!D19</f>
        <v>E1</v>
      </c>
      <c r="D16" t="str">
        <f>Raumbuch!F19</f>
        <v>Flur</v>
      </c>
      <c r="E16" t="str">
        <f>Raumbuch!G19</f>
        <v>1.1</v>
      </c>
      <c r="F16" t="str">
        <f>Raumbuch!H19</f>
        <v>Steckdose 1</v>
      </c>
      <c r="G16" t="str">
        <f>Raumbuch!I19</f>
        <v>Steckdosen</v>
      </c>
      <c r="H16" t="str">
        <f>Raumbuch!J19</f>
        <v>ohne Schaltaktor</v>
      </c>
      <c r="I16" t="str">
        <f>Raumbuch!K19</f>
        <v>230 V AC</v>
      </c>
      <c r="J16" t="str">
        <f>Raumbuch!N19</f>
        <v>SD1</v>
      </c>
      <c r="K16" t="str">
        <f>Raumbuch!O19</f>
        <v>E1.SD1</v>
      </c>
      <c r="L16" s="11">
        <v>1</v>
      </c>
      <c r="M16" s="11">
        <f t="shared" si="2"/>
        <v>10</v>
      </c>
      <c r="N16" s="14">
        <f t="shared" si="0"/>
        <v>10</v>
      </c>
      <c r="O16" s="15" t="str">
        <f t="shared" si="1"/>
        <v>RK10</v>
      </c>
      <c r="P16" t="s">
        <v>138</v>
      </c>
      <c r="Q16" s="13" t="s">
        <v>138</v>
      </c>
      <c r="R16" t="s">
        <v>142</v>
      </c>
      <c r="S16" t="s">
        <v>146</v>
      </c>
    </row>
    <row r="17" spans="2:19" x14ac:dyDescent="0.25">
      <c r="B17" t="str">
        <f>Raumbuch!B20</f>
        <v>Erdgeschoss</v>
      </c>
      <c r="C17" t="str">
        <f>Raumbuch!D20</f>
        <v>E1</v>
      </c>
      <c r="D17" t="str">
        <f>Raumbuch!F20</f>
        <v>Flur</v>
      </c>
      <c r="E17" t="str">
        <f>Raumbuch!G20</f>
        <v>1.1</v>
      </c>
      <c r="F17" t="str">
        <f>Raumbuch!H20</f>
        <v>Steckdose 2</v>
      </c>
      <c r="G17" t="str">
        <f>Raumbuch!I20</f>
        <v>Steckdosen</v>
      </c>
      <c r="H17" t="str">
        <f>Raumbuch!J20</f>
        <v>ohne Schaltaktor</v>
      </c>
      <c r="I17" t="str">
        <f>Raumbuch!K20</f>
        <v>230 V AC</v>
      </c>
      <c r="J17" t="str">
        <f>Raumbuch!N20</f>
        <v>SD2</v>
      </c>
      <c r="K17" t="str">
        <f>Raumbuch!O20</f>
        <v>E1.SD2</v>
      </c>
      <c r="L17" s="11">
        <v>0.5</v>
      </c>
      <c r="M17" s="11">
        <f t="shared" si="2"/>
        <v>10.5</v>
      </c>
      <c r="N17" s="14">
        <f t="shared" si="0"/>
        <v>11</v>
      </c>
      <c r="O17" s="15" t="str">
        <f t="shared" si="1"/>
        <v>RK11</v>
      </c>
      <c r="P17" t="s">
        <v>145</v>
      </c>
      <c r="Q17" t="s">
        <v>152</v>
      </c>
      <c r="R17" t="s">
        <v>142</v>
      </c>
      <c r="S17" t="s">
        <v>153</v>
      </c>
    </row>
    <row r="18" spans="2:19" x14ac:dyDescent="0.25">
      <c r="B18" t="str">
        <f>Raumbuch!B21</f>
        <v>Erdgeschoss</v>
      </c>
      <c r="C18" t="str">
        <f>Raumbuch!D21</f>
        <v>E1</v>
      </c>
      <c r="D18" t="str">
        <f>Raumbuch!F21</f>
        <v>Flur</v>
      </c>
      <c r="E18" t="str">
        <f>Raumbuch!G21</f>
        <v>1.1</v>
      </c>
      <c r="F18" t="str">
        <f>Raumbuch!H21</f>
        <v>Steckdose 3</v>
      </c>
      <c r="G18" t="str">
        <f>Raumbuch!I21</f>
        <v>Steckdosen</v>
      </c>
      <c r="H18" t="str">
        <f>Raumbuch!J21</f>
        <v>ohne Schaltaktor</v>
      </c>
      <c r="I18" t="str">
        <f>Raumbuch!K21</f>
        <v>230 V AC</v>
      </c>
      <c r="J18" t="str">
        <f>Raumbuch!N21</f>
        <v>SD3</v>
      </c>
      <c r="K18" t="str">
        <f>Raumbuch!O21</f>
        <v>E1.SD3</v>
      </c>
      <c r="L18" s="11">
        <v>0.5</v>
      </c>
      <c r="M18" s="11">
        <f t="shared" si="2"/>
        <v>11</v>
      </c>
      <c r="N18" s="14">
        <f t="shared" si="0"/>
        <v>11</v>
      </c>
      <c r="O18" s="15" t="str">
        <f t="shared" si="1"/>
        <v>RK11</v>
      </c>
      <c r="P18" t="s">
        <v>145</v>
      </c>
      <c r="Q18" t="s">
        <v>152</v>
      </c>
      <c r="R18" t="s">
        <v>142</v>
      </c>
      <c r="S18" t="s">
        <v>153</v>
      </c>
    </row>
    <row r="19" spans="2:19" x14ac:dyDescent="0.25">
      <c r="B19" t="str">
        <f>Raumbuch!B24</f>
        <v>Erdgeschoss</v>
      </c>
      <c r="C19" t="str">
        <f>Raumbuch!D24</f>
        <v>E1</v>
      </c>
      <c r="D19" t="str">
        <f>Raumbuch!F24</f>
        <v>Flur</v>
      </c>
      <c r="E19" t="str">
        <f>Raumbuch!G24</f>
        <v>1.1</v>
      </c>
      <c r="F19" t="str">
        <f>Raumbuch!H24</f>
        <v>Steckdose 6</v>
      </c>
      <c r="G19" t="str">
        <f>Raumbuch!I24</f>
        <v>Steckdosen</v>
      </c>
      <c r="H19" t="str">
        <f>Raumbuch!J24</f>
        <v>ohne Schaltaktor</v>
      </c>
      <c r="I19" t="str">
        <f>Raumbuch!K24</f>
        <v>230 V AC</v>
      </c>
      <c r="J19" t="str">
        <f>Raumbuch!N24</f>
        <v>SD6</v>
      </c>
      <c r="K19" t="str">
        <f>Raumbuch!O24</f>
        <v>E1.SD6</v>
      </c>
      <c r="L19" s="11">
        <v>1</v>
      </c>
      <c r="M19" s="11">
        <f t="shared" si="2"/>
        <v>12</v>
      </c>
      <c r="N19" s="14">
        <f t="shared" si="0"/>
        <v>12</v>
      </c>
      <c r="O19" s="15" t="str">
        <f t="shared" si="1"/>
        <v>RK12</v>
      </c>
      <c r="P19" t="s">
        <v>154</v>
      </c>
      <c r="Q19" s="13" t="s">
        <v>155</v>
      </c>
      <c r="R19" t="s">
        <v>142</v>
      </c>
    </row>
    <row r="20" spans="2:19" x14ac:dyDescent="0.25">
      <c r="B20" t="str">
        <f>Raumbuch!B22</f>
        <v>Erdgeschoss</v>
      </c>
      <c r="C20" t="str">
        <f>Raumbuch!D22</f>
        <v>E1</v>
      </c>
      <c r="D20" t="str">
        <f>Raumbuch!F22</f>
        <v>Flur</v>
      </c>
      <c r="E20" t="str">
        <f>Raumbuch!G22</f>
        <v>1.1</v>
      </c>
      <c r="F20" t="str">
        <f>Raumbuch!H22</f>
        <v>Steckdose 4</v>
      </c>
      <c r="G20" t="str">
        <f>Raumbuch!I22</f>
        <v>Steckdosen</v>
      </c>
      <c r="H20" t="str">
        <f>Raumbuch!J22</f>
        <v>ohne Schaltaktor</v>
      </c>
      <c r="I20" t="str">
        <f>Raumbuch!K22</f>
        <v>230 V AC</v>
      </c>
      <c r="J20" t="str">
        <f>Raumbuch!N22</f>
        <v>SD4</v>
      </c>
      <c r="K20" t="str">
        <f>Raumbuch!O22</f>
        <v>E1.SD4</v>
      </c>
      <c r="L20" s="11">
        <v>0.5</v>
      </c>
      <c r="M20" s="11">
        <f t="shared" si="2"/>
        <v>12.5</v>
      </c>
      <c r="N20" s="14">
        <f t="shared" si="0"/>
        <v>13</v>
      </c>
      <c r="O20" s="15" t="str">
        <f t="shared" si="1"/>
        <v>RK13</v>
      </c>
      <c r="P20" t="s">
        <v>145</v>
      </c>
      <c r="Q20" t="s">
        <v>156</v>
      </c>
      <c r="R20" t="s">
        <v>142</v>
      </c>
      <c r="S20" t="s">
        <v>157</v>
      </c>
    </row>
    <row r="21" spans="2:19" x14ac:dyDescent="0.25">
      <c r="B21" t="str">
        <f>Raumbuch!B23</f>
        <v>Erdgeschoss</v>
      </c>
      <c r="C21" t="str">
        <f>Raumbuch!D23</f>
        <v>E1</v>
      </c>
      <c r="D21" t="str">
        <f>Raumbuch!F23</f>
        <v>Flur</v>
      </c>
      <c r="E21" t="str">
        <f>Raumbuch!G23</f>
        <v>1.1</v>
      </c>
      <c r="F21" t="str">
        <f>Raumbuch!H23</f>
        <v>Steckdose 5</v>
      </c>
      <c r="G21" t="str">
        <f>Raumbuch!I23</f>
        <v>Steckdosen</v>
      </c>
      <c r="H21" t="str">
        <f>Raumbuch!J23</f>
        <v>ohne Schaltaktor</v>
      </c>
      <c r="I21" t="str">
        <f>Raumbuch!K23</f>
        <v>230 V AC</v>
      </c>
      <c r="J21" t="str">
        <f>Raumbuch!N23</f>
        <v>SD5</v>
      </c>
      <c r="K21" t="str">
        <f>Raumbuch!O23</f>
        <v>E1.SD5</v>
      </c>
      <c r="L21" s="11">
        <v>0.5</v>
      </c>
      <c r="M21" s="11">
        <f t="shared" si="2"/>
        <v>13</v>
      </c>
      <c r="N21" s="14">
        <f t="shared" si="0"/>
        <v>13</v>
      </c>
      <c r="O21" s="15" t="str">
        <f t="shared" si="1"/>
        <v>RK13</v>
      </c>
      <c r="P21" t="s">
        <v>145</v>
      </c>
      <c r="Q21" t="s">
        <v>156</v>
      </c>
      <c r="R21" t="s">
        <v>142</v>
      </c>
      <c r="S21" t="s">
        <v>157</v>
      </c>
    </row>
    <row r="22" spans="2:19" x14ac:dyDescent="0.25">
      <c r="B22" t="str">
        <f>Raumbuch!B25</f>
        <v>Erdgeschoss</v>
      </c>
      <c r="C22" t="str">
        <f>Raumbuch!D25</f>
        <v>E1</v>
      </c>
      <c r="D22" t="str">
        <f>Raumbuch!F25</f>
        <v>Flur</v>
      </c>
      <c r="E22" t="str">
        <f>Raumbuch!G25</f>
        <v>1.1</v>
      </c>
      <c r="F22" t="str">
        <f>Raumbuch!H25</f>
        <v>Anschluss Wallscreen</v>
      </c>
      <c r="G22" t="str">
        <f>Raumbuch!I25</f>
        <v>Steckdosen</v>
      </c>
      <c r="H22" t="str">
        <f>Raumbuch!J25</f>
        <v>Anschluss ohne Steckdose</v>
      </c>
      <c r="I22" t="str">
        <f>Raumbuch!K25</f>
        <v>230 V AC</v>
      </c>
      <c r="J22" t="str">
        <f>Raumbuch!N25</f>
        <v>SD7</v>
      </c>
      <c r="K22" t="str">
        <f>Raumbuch!O25</f>
        <v>E1.SD7</v>
      </c>
      <c r="L22" s="11">
        <v>0</v>
      </c>
      <c r="M22" s="11">
        <f t="shared" si="2"/>
        <v>13</v>
      </c>
      <c r="N22" s="14">
        <f t="shared" si="0"/>
        <v>13</v>
      </c>
      <c r="O22" s="15" t="str">
        <f t="shared" si="1"/>
        <v>-</v>
      </c>
      <c r="P22" t="s">
        <v>138</v>
      </c>
      <c r="Q22" s="13" t="s">
        <v>138</v>
      </c>
      <c r="R22" s="13" t="s">
        <v>138</v>
      </c>
      <c r="S22" s="13" t="s">
        <v>138</v>
      </c>
    </row>
    <row r="23" spans="2:19" x14ac:dyDescent="0.25">
      <c r="B23" t="str">
        <f>Raumbuch!B27</f>
        <v>Erdgeschoss</v>
      </c>
      <c r="C23" t="str">
        <f>Raumbuch!D27</f>
        <v>E1</v>
      </c>
      <c r="D23" t="str">
        <f>Raumbuch!F27</f>
        <v>Flur</v>
      </c>
      <c r="E23" t="str">
        <f>Raumbuch!G27</f>
        <v>1.1</v>
      </c>
      <c r="F23" t="str">
        <f>Raumbuch!H27</f>
        <v>Netzwerkdose</v>
      </c>
      <c r="G23" t="str">
        <f>Raumbuch!I27</f>
        <v>Steckdosen</v>
      </c>
      <c r="H23" t="str">
        <f>Raumbuch!J27</f>
        <v>Anschluss ohne Steckdose</v>
      </c>
      <c r="I23" t="str">
        <f>Raumbuch!K27</f>
        <v>Ethernet</v>
      </c>
      <c r="J23" t="str">
        <f>Raumbuch!N27</f>
        <v>ND1</v>
      </c>
      <c r="K23" t="str">
        <f>Raumbuch!O27</f>
        <v>E1.ND1</v>
      </c>
      <c r="L23" s="11">
        <v>1</v>
      </c>
      <c r="M23" s="11">
        <f t="shared" si="2"/>
        <v>14</v>
      </c>
      <c r="N23" s="14">
        <f t="shared" si="0"/>
        <v>14</v>
      </c>
      <c r="O23" s="15" t="str">
        <f t="shared" si="1"/>
        <v>RK14</v>
      </c>
      <c r="P23" t="s">
        <v>138</v>
      </c>
      <c r="Q23" s="13" t="s">
        <v>138</v>
      </c>
      <c r="R23" t="s">
        <v>142</v>
      </c>
      <c r="S23" t="s">
        <v>157</v>
      </c>
    </row>
    <row r="24" spans="2:19" x14ac:dyDescent="0.25">
      <c r="B24" t="str">
        <f>Raumbuch!B26</f>
        <v>Erdgeschoss</v>
      </c>
      <c r="C24" t="str">
        <f>Raumbuch!D26</f>
        <v>E1</v>
      </c>
      <c r="D24" t="str">
        <f>Raumbuch!F26</f>
        <v>Flur</v>
      </c>
      <c r="E24" t="str">
        <f>Raumbuch!G26</f>
        <v>1.1</v>
      </c>
      <c r="F24" t="str">
        <f>Raumbuch!H26</f>
        <v>HDMI</v>
      </c>
      <c r="G24" t="str">
        <f>Raumbuch!I26</f>
        <v>Steckdosen</v>
      </c>
      <c r="H24" t="str">
        <f>Raumbuch!J26</f>
        <v>Anschluss ohne Steckdose</v>
      </c>
      <c r="I24" t="str">
        <f>Raumbuch!K26</f>
        <v>HDMI</v>
      </c>
      <c r="J24" t="str">
        <f>Raumbuch!N26</f>
        <v>HD1</v>
      </c>
      <c r="K24" t="str">
        <f>Raumbuch!O26</f>
        <v>E1.HD1</v>
      </c>
      <c r="L24" s="11">
        <v>1</v>
      </c>
      <c r="M24" s="11">
        <f t="shared" si="2"/>
        <v>15</v>
      </c>
      <c r="N24" s="14">
        <f t="shared" si="0"/>
        <v>15</v>
      </c>
      <c r="O24" s="15" t="str">
        <f t="shared" si="1"/>
        <v>RK15</v>
      </c>
      <c r="P24" t="s">
        <v>140</v>
      </c>
      <c r="Q24" t="s">
        <v>156</v>
      </c>
      <c r="R24" t="s">
        <v>142</v>
      </c>
      <c r="S24" t="s">
        <v>143</v>
      </c>
    </row>
    <row r="25" spans="2:19" x14ac:dyDescent="0.25">
      <c r="B25" t="str">
        <f>Raumbuch!B29</f>
        <v>Erdgeschoss</v>
      </c>
      <c r="C25" t="str">
        <f>Raumbuch!D29</f>
        <v>E1</v>
      </c>
      <c r="D25" t="str">
        <f>Raumbuch!F29</f>
        <v>Flur</v>
      </c>
      <c r="E25" t="str">
        <f>Raumbuch!G29</f>
        <v>1.1</v>
      </c>
      <c r="F25" t="str">
        <f>Raumbuch!H29</f>
        <v>DALI EVG Nische</v>
      </c>
      <c r="G25" t="str">
        <f>Raumbuch!I29</f>
        <v>Zentral</v>
      </c>
      <c r="H25" t="str">
        <f>Raumbuch!J29</f>
        <v>DALI DT6 EVG</v>
      </c>
      <c r="I25" t="str">
        <f>Raumbuch!K29</f>
        <v>24 V DC</v>
      </c>
      <c r="J25" t="str">
        <f>Raumbuch!N29</f>
        <v>DA2</v>
      </c>
      <c r="K25" t="str">
        <f>Raumbuch!O29</f>
        <v>E1.DA2</v>
      </c>
      <c r="L25" s="11">
        <v>0</v>
      </c>
      <c r="M25" s="11">
        <f t="shared" si="2"/>
        <v>15</v>
      </c>
      <c r="N25" s="14">
        <f t="shared" si="0"/>
        <v>15</v>
      </c>
      <c r="O25" s="15" t="str">
        <f t="shared" si="1"/>
        <v>-</v>
      </c>
      <c r="P25" t="s">
        <v>137</v>
      </c>
      <c r="Q25" s="13" t="s">
        <v>138</v>
      </c>
      <c r="R25" t="s">
        <v>158</v>
      </c>
      <c r="S25" t="s">
        <v>159</v>
      </c>
    </row>
    <row r="26" spans="2:19" x14ac:dyDescent="0.25">
      <c r="B26" t="str">
        <f>Raumbuch!B30</f>
        <v>Erdgeschoss</v>
      </c>
      <c r="C26" t="str">
        <f>Raumbuch!D30</f>
        <v>E1</v>
      </c>
      <c r="D26" t="str">
        <f>Raumbuch!F30</f>
        <v>Flur</v>
      </c>
      <c r="E26" t="str">
        <f>Raumbuch!G30</f>
        <v>1.1</v>
      </c>
      <c r="F26" t="str">
        <f>Raumbuch!H30</f>
        <v>DALI EVG Spiegel</v>
      </c>
      <c r="G26" t="str">
        <f>Raumbuch!I30</f>
        <v>Zentral</v>
      </c>
      <c r="H26" t="str">
        <f>Raumbuch!J30</f>
        <v>DALI DT6 EVG</v>
      </c>
      <c r="I26" t="str">
        <f>Raumbuch!K30</f>
        <v>24 V DC</v>
      </c>
      <c r="J26" t="str">
        <f>Raumbuch!N30</f>
        <v>DA3</v>
      </c>
      <c r="K26" t="str">
        <f>Raumbuch!O30</f>
        <v>E1.DA3</v>
      </c>
      <c r="L26" s="11">
        <v>1</v>
      </c>
      <c r="M26" s="11">
        <f t="shared" si="2"/>
        <v>16</v>
      </c>
      <c r="N26" s="14">
        <f t="shared" si="0"/>
        <v>16</v>
      </c>
      <c r="O26" s="15" t="str">
        <f t="shared" si="1"/>
        <v>RK16</v>
      </c>
      <c r="P26" t="s">
        <v>138</v>
      </c>
      <c r="Q26" s="13" t="s">
        <v>138</v>
      </c>
      <c r="R26" t="s">
        <v>158</v>
      </c>
      <c r="S26" t="s">
        <v>160</v>
      </c>
    </row>
    <row r="27" spans="2:19" x14ac:dyDescent="0.25">
      <c r="B27" t="str">
        <f>Raumbuch!B31</f>
        <v>Erdgeschoss</v>
      </c>
      <c r="C27" t="str">
        <f>Raumbuch!D31</f>
        <v>E1</v>
      </c>
      <c r="D27" t="str">
        <f>Raumbuch!F31</f>
        <v>Flur</v>
      </c>
      <c r="E27" t="str">
        <f>Raumbuch!G31</f>
        <v>1.1</v>
      </c>
      <c r="F27" t="str">
        <f>Raumbuch!H31</f>
        <v>DALI EVG Garderobe</v>
      </c>
      <c r="G27" t="str">
        <f>Raumbuch!I31</f>
        <v>Zentral</v>
      </c>
      <c r="H27" t="str">
        <f>Raumbuch!J31</f>
        <v>DALI DT6 EVG</v>
      </c>
      <c r="I27" t="str">
        <f>Raumbuch!K31</f>
        <v>24 V DC</v>
      </c>
      <c r="J27" t="str">
        <f>Raumbuch!N31</f>
        <v>DA4</v>
      </c>
      <c r="K27" t="str">
        <f>Raumbuch!O31</f>
        <v>E1.DA4</v>
      </c>
      <c r="L27" s="11">
        <v>0</v>
      </c>
      <c r="M27" s="11">
        <f t="shared" si="2"/>
        <v>16</v>
      </c>
      <c r="N27" s="14">
        <f t="shared" si="0"/>
        <v>16</v>
      </c>
      <c r="O27" s="15" t="str">
        <f t="shared" si="1"/>
        <v>-</v>
      </c>
      <c r="P27" t="s">
        <v>137</v>
      </c>
      <c r="Q27" s="13" t="s">
        <v>138</v>
      </c>
      <c r="R27" s="13" t="s">
        <v>138</v>
      </c>
      <c r="S27" s="13" t="s">
        <v>138</v>
      </c>
    </row>
    <row r="28" spans="2:19" x14ac:dyDescent="0.25">
      <c r="B28" t="str">
        <f>Raumbuch!B32</f>
        <v>Erdgeschoss</v>
      </c>
      <c r="C28" t="str">
        <f>Raumbuch!D32</f>
        <v>E1</v>
      </c>
      <c r="D28" t="str">
        <f>Raumbuch!F32</f>
        <v>Flur</v>
      </c>
      <c r="E28" t="str">
        <f>Raumbuch!G32</f>
        <v>1.1</v>
      </c>
      <c r="F28" t="str">
        <f>Raumbuch!H32</f>
        <v>Türöffner</v>
      </c>
      <c r="G28" t="str">
        <f>Raumbuch!I32</f>
        <v>Zugriffskontrolle</v>
      </c>
      <c r="H28" t="str">
        <f>Raumbuch!J32</f>
        <v>Motorschloss</v>
      </c>
      <c r="I28" t="str">
        <f>Raumbuch!K32</f>
        <v>24 V DC</v>
      </c>
      <c r="J28" t="str">
        <f>Raumbuch!N32</f>
        <v>ZK1</v>
      </c>
      <c r="K28" t="str">
        <f>Raumbuch!O32</f>
        <v>E1.ZK1</v>
      </c>
      <c r="L28" s="11">
        <v>0</v>
      </c>
      <c r="M28" s="11">
        <f t="shared" si="2"/>
        <v>16</v>
      </c>
      <c r="N28" s="14">
        <f t="shared" si="0"/>
        <v>16</v>
      </c>
      <c r="O28" s="15" t="str">
        <f t="shared" si="1"/>
        <v>-</v>
      </c>
      <c r="P28" t="s">
        <v>161</v>
      </c>
      <c r="Q28" t="s">
        <v>162</v>
      </c>
      <c r="R28" s="13" t="s">
        <v>138</v>
      </c>
      <c r="S28" s="13" t="s">
        <v>138</v>
      </c>
    </row>
    <row r="29" spans="2:19" x14ac:dyDescent="0.25">
      <c r="B29" t="str">
        <f>Raumbuch!B33</f>
        <v>Obergeschoss</v>
      </c>
      <c r="C29" t="str">
        <f>Raumbuch!D33</f>
        <v>O1</v>
      </c>
      <c r="D29" t="str">
        <f>Raumbuch!F33</f>
        <v>Kinderzimmer 1</v>
      </c>
      <c r="E29" t="str">
        <f>Raumbuch!G33</f>
        <v>2.1</v>
      </c>
      <c r="F29" t="str">
        <f>Raumbuch!H33</f>
        <v>Deckenlautsprecher 1</v>
      </c>
      <c r="G29" t="str">
        <f>Raumbuch!I33</f>
        <v>Audio</v>
      </c>
      <c r="H29">
        <f>Raumbuch!J33</f>
        <v>0</v>
      </c>
      <c r="I29" t="str">
        <f>Raumbuch!K33</f>
        <v>DIGITAL (potentialfrei)</v>
      </c>
      <c r="J29" t="str">
        <f>Raumbuch!N33</f>
        <v>DL1</v>
      </c>
      <c r="K29" t="str">
        <f>Raumbuch!O33</f>
        <v>O1.DL1</v>
      </c>
      <c r="L29" s="11">
        <v>1</v>
      </c>
      <c r="M29" s="11">
        <f t="shared" si="2"/>
        <v>17</v>
      </c>
      <c r="N29" s="14">
        <f t="shared" si="0"/>
        <v>17</v>
      </c>
      <c r="O29" s="15" t="str">
        <f t="shared" si="1"/>
        <v>RK17</v>
      </c>
      <c r="P29" t="s">
        <v>85</v>
      </c>
      <c r="Q29" t="s">
        <v>162</v>
      </c>
      <c r="R29" s="13" t="s">
        <v>138</v>
      </c>
      <c r="S29" s="13" t="s">
        <v>138</v>
      </c>
    </row>
    <row r="30" spans="2:19" x14ac:dyDescent="0.25">
      <c r="B30" t="str">
        <f>Raumbuch!B34</f>
        <v>Obergeschoss</v>
      </c>
      <c r="C30" t="str">
        <f>Raumbuch!D34</f>
        <v>O1</v>
      </c>
      <c r="D30" t="str">
        <f>Raumbuch!F34</f>
        <v>Kinderzimmer 1</v>
      </c>
      <c r="E30" t="str">
        <f>Raumbuch!G34</f>
        <v>2.1</v>
      </c>
      <c r="F30" t="str">
        <f>Raumbuch!H34</f>
        <v>Deckenlautsprecher 2</v>
      </c>
      <c r="G30" t="str">
        <f>Raumbuch!I34</f>
        <v>Audio</v>
      </c>
      <c r="H30">
        <f>Raumbuch!J34</f>
        <v>0</v>
      </c>
      <c r="I30" t="str">
        <f>Raumbuch!K34</f>
        <v>DIGITAL (potentialfrei)</v>
      </c>
      <c r="J30" t="str">
        <f>Raumbuch!N34</f>
        <v>DL2</v>
      </c>
      <c r="K30" t="str">
        <f>Raumbuch!O34</f>
        <v>O1.DL2</v>
      </c>
      <c r="L30" s="11">
        <v>0.16666666666666666</v>
      </c>
      <c r="M30" s="11">
        <f t="shared" si="2"/>
        <v>17.166666666666668</v>
      </c>
      <c r="N30" s="14">
        <f t="shared" si="0"/>
        <v>18</v>
      </c>
      <c r="O30" s="15" t="str">
        <f t="shared" si="1"/>
        <v>RK18</v>
      </c>
      <c r="P30" t="s">
        <v>138</v>
      </c>
      <c r="Q30" s="13" t="s">
        <v>138</v>
      </c>
      <c r="R30" t="s">
        <v>163</v>
      </c>
      <c r="S30" t="s">
        <v>164</v>
      </c>
    </row>
    <row r="31" spans="2:19" x14ac:dyDescent="0.25">
      <c r="B31" t="str">
        <f>Raumbuch!B35</f>
        <v>Obergeschoss</v>
      </c>
      <c r="C31" t="str">
        <f>Raumbuch!D35</f>
        <v>O1</v>
      </c>
      <c r="D31" t="str">
        <f>Raumbuch!F35</f>
        <v>Kinderzimmer 1</v>
      </c>
      <c r="E31" t="str">
        <f>Raumbuch!G35</f>
        <v>2.1</v>
      </c>
      <c r="F31" t="str">
        <f>Raumbuch!H35</f>
        <v>Spots n</v>
      </c>
      <c r="G31" t="str">
        <f>Raumbuch!I35</f>
        <v>Beleuchtung</v>
      </c>
      <c r="H31" t="str">
        <f>Raumbuch!J35</f>
        <v>tunable white</v>
      </c>
      <c r="I31" t="str">
        <f>Raumbuch!K35</f>
        <v>DALI</v>
      </c>
      <c r="J31" t="str">
        <f>Raumbuch!N35</f>
        <v>BL1</v>
      </c>
      <c r="K31" t="str">
        <f>Raumbuch!O35</f>
        <v>O1.BL1</v>
      </c>
      <c r="L31" s="11">
        <v>0.16666666666666666</v>
      </c>
      <c r="M31" s="11">
        <f t="shared" si="2"/>
        <v>17.333333333333336</v>
      </c>
      <c r="N31" s="14">
        <f t="shared" si="0"/>
        <v>18</v>
      </c>
      <c r="O31" s="15" t="str">
        <f t="shared" si="1"/>
        <v>RK18</v>
      </c>
      <c r="P31" t="s">
        <v>138</v>
      </c>
      <c r="Q31" s="13" t="s">
        <v>138</v>
      </c>
      <c r="R31" t="s">
        <v>163</v>
      </c>
      <c r="S31" t="s">
        <v>165</v>
      </c>
    </row>
    <row r="32" spans="2:19" x14ac:dyDescent="0.25">
      <c r="B32" t="str">
        <f>Raumbuch!B36</f>
        <v>Obergeschoss</v>
      </c>
      <c r="C32" t="str">
        <f>Raumbuch!D36</f>
        <v>O1</v>
      </c>
      <c r="D32" t="str">
        <f>Raumbuch!F36</f>
        <v>Kinderzimmer 1</v>
      </c>
      <c r="E32" t="str">
        <f>Raumbuch!G36</f>
        <v>2.1</v>
      </c>
      <c r="F32" t="str">
        <f>Raumbuch!H36</f>
        <v>Anschluss Rolladen Nord</v>
      </c>
      <c r="G32" t="str">
        <f>Raumbuch!I36</f>
        <v>Beschattung</v>
      </c>
      <c r="H32" t="str">
        <f>Raumbuch!J36</f>
        <v>Rollladen</v>
      </c>
      <c r="I32" t="str">
        <f>Raumbuch!K36</f>
        <v>230 V AC - Beschattung</v>
      </c>
      <c r="J32" t="str">
        <f>Raumbuch!N36</f>
        <v>R1</v>
      </c>
      <c r="K32" t="str">
        <f>Raumbuch!O36</f>
        <v>O1.R1</v>
      </c>
      <c r="L32" s="11">
        <v>0.16666666666666666</v>
      </c>
      <c r="M32" s="11">
        <f t="shared" si="2"/>
        <v>17.500000000000004</v>
      </c>
      <c r="N32" s="14">
        <f t="shared" si="0"/>
        <v>18</v>
      </c>
      <c r="O32" s="15" t="str">
        <f t="shared" si="1"/>
        <v>RK18</v>
      </c>
      <c r="P32" t="s">
        <v>138</v>
      </c>
      <c r="Q32" s="13" t="s">
        <v>138</v>
      </c>
      <c r="R32" t="s">
        <v>163</v>
      </c>
      <c r="S32" t="s">
        <v>165</v>
      </c>
    </row>
    <row r="33" spans="2:19" x14ac:dyDescent="0.25">
      <c r="B33" t="str">
        <f>Raumbuch!B37</f>
        <v>Obergeschoss</v>
      </c>
      <c r="C33" t="str">
        <f>Raumbuch!D37</f>
        <v>O1</v>
      </c>
      <c r="D33" t="str">
        <f>Raumbuch!F37</f>
        <v>Kinderzimmer 1</v>
      </c>
      <c r="E33" t="str">
        <f>Raumbuch!G37</f>
        <v>2.1</v>
      </c>
      <c r="F33" t="str">
        <f>Raumbuch!H37</f>
        <v>Anschluss Rolladen West</v>
      </c>
      <c r="G33" t="str">
        <f>Raumbuch!I37</f>
        <v>Beschattung</v>
      </c>
      <c r="H33" t="str">
        <f>Raumbuch!J37</f>
        <v>Rollladen</v>
      </c>
      <c r="I33" t="str">
        <f>Raumbuch!K37</f>
        <v>230 V AC - Beschattung</v>
      </c>
      <c r="J33" t="str">
        <f>Raumbuch!N37</f>
        <v>R2</v>
      </c>
      <c r="K33" t="str">
        <f>Raumbuch!O37</f>
        <v>O1.R2</v>
      </c>
      <c r="L33" s="11">
        <v>0.16666666666666666</v>
      </c>
      <c r="M33" s="11">
        <f t="shared" si="2"/>
        <v>17.666666666666671</v>
      </c>
      <c r="N33" s="14">
        <f t="shared" si="0"/>
        <v>18</v>
      </c>
      <c r="O33" s="15" t="str">
        <f t="shared" si="1"/>
        <v>RK18</v>
      </c>
      <c r="P33" t="s">
        <v>138</v>
      </c>
      <c r="Q33" s="13" t="s">
        <v>138</v>
      </c>
      <c r="R33" t="s">
        <v>163</v>
      </c>
      <c r="S33" t="s">
        <v>165</v>
      </c>
    </row>
    <row r="34" spans="2:19" x14ac:dyDescent="0.25">
      <c r="B34" t="str">
        <f>Raumbuch!B38</f>
        <v>Obergeschoss</v>
      </c>
      <c r="C34" t="str">
        <f>Raumbuch!D38</f>
        <v>O1</v>
      </c>
      <c r="D34" t="str">
        <f>Raumbuch!F38</f>
        <v>Kinderzimmer 1</v>
      </c>
      <c r="E34" t="str">
        <f>Raumbuch!G38</f>
        <v>2.1</v>
      </c>
      <c r="F34" t="str">
        <f>Raumbuch!H38</f>
        <v>Fensterkontakt Süd</v>
      </c>
      <c r="G34" t="str">
        <f>Raumbuch!I38</f>
        <v>Sensoren</v>
      </c>
      <c r="H34" t="str">
        <f>Raumbuch!J38</f>
        <v>Fensterkontakt Reed</v>
      </c>
      <c r="I34" t="str">
        <f>Raumbuch!K38</f>
        <v>DIGITAL (potentialfrei)</v>
      </c>
      <c r="J34" t="str">
        <f>Raumbuch!N38</f>
        <v>FK1</v>
      </c>
      <c r="K34" t="str">
        <f>Raumbuch!O38</f>
        <v>O1.FK1</v>
      </c>
      <c r="L34" s="11">
        <v>0.16666666666666666</v>
      </c>
      <c r="M34" s="11">
        <f t="shared" si="2"/>
        <v>17.833333333333339</v>
      </c>
      <c r="N34" s="14">
        <f t="shared" si="0"/>
        <v>18</v>
      </c>
      <c r="O34" s="15" t="str">
        <f t="shared" si="1"/>
        <v>RK18</v>
      </c>
      <c r="P34" t="s">
        <v>138</v>
      </c>
      <c r="Q34" s="13" t="s">
        <v>138</v>
      </c>
      <c r="R34" t="s">
        <v>163</v>
      </c>
      <c r="S34" t="s">
        <v>166</v>
      </c>
    </row>
    <row r="35" spans="2:19" x14ac:dyDescent="0.25">
      <c r="B35" t="str">
        <f>Raumbuch!B39</f>
        <v>Obergeschoss</v>
      </c>
      <c r="C35" t="str">
        <f>Raumbuch!D39</f>
        <v>O1</v>
      </c>
      <c r="D35" t="str">
        <f>Raumbuch!F39</f>
        <v>Kinderzimmer 1</v>
      </c>
      <c r="E35" t="str">
        <f>Raumbuch!G39</f>
        <v>2.1</v>
      </c>
      <c r="F35" t="str">
        <f>Raumbuch!H39</f>
        <v>Fensterkontakt West</v>
      </c>
      <c r="G35" t="str">
        <f>Raumbuch!I39</f>
        <v>Sensoren</v>
      </c>
      <c r="H35" t="str">
        <f>Raumbuch!J39</f>
        <v>Fensterkontakt Reed</v>
      </c>
      <c r="I35" t="str">
        <f>Raumbuch!K39</f>
        <v>DIGITAL (potentialfrei)</v>
      </c>
      <c r="J35" t="str">
        <f>Raumbuch!N39</f>
        <v>FK2</v>
      </c>
      <c r="K35" t="str">
        <f>Raumbuch!O39</f>
        <v>O1.FK2</v>
      </c>
      <c r="L35" s="11">
        <v>0.16666666666666666</v>
      </c>
      <c r="M35" s="11">
        <f t="shared" si="2"/>
        <v>18.000000000000007</v>
      </c>
      <c r="N35" s="14">
        <f t="shared" si="0"/>
        <v>18</v>
      </c>
      <c r="O35" s="15" t="str">
        <f t="shared" si="1"/>
        <v>RK18</v>
      </c>
      <c r="P35" t="s">
        <v>138</v>
      </c>
      <c r="Q35" s="13" t="s">
        <v>138</v>
      </c>
      <c r="R35" t="s">
        <v>163</v>
      </c>
      <c r="S35" t="s">
        <v>166</v>
      </c>
    </row>
    <row r="36" spans="2:19" x14ac:dyDescent="0.25">
      <c r="B36" t="str">
        <f>Raumbuch!B40</f>
        <v>Obergeschoss</v>
      </c>
      <c r="C36" t="str">
        <f>Raumbuch!D40</f>
        <v>O1</v>
      </c>
      <c r="D36" t="str">
        <f>Raumbuch!F40</f>
        <v>Kinderzimmer 1</v>
      </c>
      <c r="E36" t="str">
        <f>Raumbuch!G40</f>
        <v>2.1</v>
      </c>
      <c r="F36" t="str">
        <f>Raumbuch!H40</f>
        <v>Tastsensor</v>
      </c>
      <c r="G36" t="str">
        <f>Raumbuch!I40</f>
        <v>Sensoren</v>
      </c>
      <c r="H36" t="str">
        <f>Raumbuch!J40</f>
        <v>Taster mit Temperaturmesser</v>
      </c>
      <c r="I36" t="str">
        <f>Raumbuch!K40</f>
        <v>KNX</v>
      </c>
      <c r="J36" t="str">
        <f>Raumbuch!N40</f>
        <v>TS1</v>
      </c>
      <c r="K36" t="str">
        <f>Raumbuch!O40</f>
        <v>O1.TS1</v>
      </c>
      <c r="L36" s="11">
        <v>1</v>
      </c>
      <c r="M36" s="11">
        <f t="shared" si="2"/>
        <v>19.000000000000007</v>
      </c>
      <c r="N36" s="14">
        <f t="shared" si="0"/>
        <v>19</v>
      </c>
      <c r="O36" s="15" t="str">
        <f t="shared" si="1"/>
        <v>RK19</v>
      </c>
      <c r="P36" t="s">
        <v>167</v>
      </c>
      <c r="Q36" t="s">
        <v>162</v>
      </c>
      <c r="R36" t="s">
        <v>163</v>
      </c>
      <c r="S36" t="s">
        <v>166</v>
      </c>
    </row>
    <row r="37" spans="2:19" x14ac:dyDescent="0.25">
      <c r="B37" t="str">
        <f>Raumbuch!B41</f>
        <v>Obergeschoss</v>
      </c>
      <c r="C37" t="str">
        <f>Raumbuch!D41</f>
        <v>O1</v>
      </c>
      <c r="D37" t="str">
        <f>Raumbuch!F41</f>
        <v>Kinderzimmer 1</v>
      </c>
      <c r="E37" t="str">
        <f>Raumbuch!G41</f>
        <v>2.1</v>
      </c>
      <c r="F37" t="str">
        <f>Raumbuch!H41</f>
        <v>Präsenzmelder</v>
      </c>
      <c r="G37" t="str">
        <f>Raumbuch!I41</f>
        <v>Sensoren</v>
      </c>
      <c r="H37" t="str">
        <f>Raumbuch!J41</f>
        <v>Präsenzmelder mit KLR</v>
      </c>
      <c r="I37" t="str">
        <f>Raumbuch!K41</f>
        <v>KNX</v>
      </c>
      <c r="J37" t="str">
        <f>Raumbuch!N41</f>
        <v>PM1</v>
      </c>
      <c r="K37" t="str">
        <f>Raumbuch!O41</f>
        <v>O1.PM1</v>
      </c>
      <c r="L37" s="11">
        <v>1</v>
      </c>
      <c r="M37" s="11">
        <f t="shared" si="2"/>
        <v>20.000000000000007</v>
      </c>
      <c r="N37" s="14">
        <f t="shared" si="0"/>
        <v>20</v>
      </c>
      <c r="O37" s="15" t="str">
        <f t="shared" si="1"/>
        <v>RK20</v>
      </c>
      <c r="P37" t="s">
        <v>140</v>
      </c>
      <c r="Q37" t="s">
        <v>168</v>
      </c>
      <c r="R37" t="s">
        <v>163</v>
      </c>
      <c r="S37" t="s">
        <v>169</v>
      </c>
    </row>
    <row r="38" spans="2:19" x14ac:dyDescent="0.25">
      <c r="B38" t="str">
        <f>Raumbuch!B42</f>
        <v>Obergeschoss</v>
      </c>
      <c r="C38" t="str">
        <f>Raumbuch!D42</f>
        <v>O1</v>
      </c>
      <c r="D38" t="str">
        <f>Raumbuch!F42</f>
        <v>Kinderzimmer 1</v>
      </c>
      <c r="E38" t="str">
        <f>Raumbuch!G42</f>
        <v>2.1</v>
      </c>
      <c r="F38" t="str">
        <f>Raumbuch!H42</f>
        <v>Steckdose Nord 1</v>
      </c>
      <c r="G38" t="str">
        <f>Raumbuch!I42</f>
        <v>Steckdosen</v>
      </c>
      <c r="H38" t="str">
        <f>Raumbuch!J42</f>
        <v>mit Schaltaktor</v>
      </c>
      <c r="I38" t="str">
        <f>Raumbuch!K42</f>
        <v>230 V AC</v>
      </c>
      <c r="J38" t="str">
        <f>Raumbuch!N42</f>
        <v>SD1</v>
      </c>
      <c r="K38" t="str">
        <f>Raumbuch!O42</f>
        <v>O1.SD1</v>
      </c>
      <c r="L38" s="11">
        <v>0</v>
      </c>
      <c r="M38" s="11">
        <f t="shared" si="2"/>
        <v>20.000000000000007</v>
      </c>
      <c r="N38" s="14">
        <f t="shared" si="0"/>
        <v>20</v>
      </c>
      <c r="O38" s="15" t="str">
        <f t="shared" si="1"/>
        <v>-</v>
      </c>
      <c r="P38" t="s">
        <v>137</v>
      </c>
      <c r="Q38" s="13" t="s">
        <v>138</v>
      </c>
      <c r="R38" t="s">
        <v>163</v>
      </c>
      <c r="S38" t="s">
        <v>170</v>
      </c>
    </row>
    <row r="39" spans="2:19" x14ac:dyDescent="0.25">
      <c r="B39" t="str">
        <f>Raumbuch!B43</f>
        <v>Obergeschoss</v>
      </c>
      <c r="C39" t="str">
        <f>Raumbuch!D43</f>
        <v>O1</v>
      </c>
      <c r="D39" t="str">
        <f>Raumbuch!F43</f>
        <v>Kinderzimmer 1</v>
      </c>
      <c r="E39" t="str">
        <f>Raumbuch!G43</f>
        <v>2.1</v>
      </c>
      <c r="F39" t="str">
        <f>Raumbuch!H43</f>
        <v>Steckdose Nord 2</v>
      </c>
      <c r="G39" t="str">
        <f>Raumbuch!I43</f>
        <v>Steckdosen</v>
      </c>
      <c r="H39" t="str">
        <f>Raumbuch!J43</f>
        <v>ohne Schaltaktor</v>
      </c>
      <c r="I39" t="str">
        <f>Raumbuch!K43</f>
        <v>230 V AC</v>
      </c>
      <c r="J39" t="str">
        <f>Raumbuch!N43</f>
        <v>SD2</v>
      </c>
      <c r="K39" t="str">
        <f>Raumbuch!O43</f>
        <v>O1.SD2</v>
      </c>
      <c r="L39" s="11">
        <v>0</v>
      </c>
      <c r="M39" s="11">
        <f t="shared" si="2"/>
        <v>20.000000000000007</v>
      </c>
      <c r="N39" s="14">
        <f t="shared" si="0"/>
        <v>20</v>
      </c>
      <c r="O39" s="15" t="str">
        <f t="shared" si="1"/>
        <v>-</v>
      </c>
      <c r="P39" t="s">
        <v>137</v>
      </c>
      <c r="Q39" s="13" t="s">
        <v>138</v>
      </c>
      <c r="R39" s="13" t="s">
        <v>138</v>
      </c>
      <c r="S39" s="13" t="s">
        <v>138</v>
      </c>
    </row>
    <row r="40" spans="2:19" x14ac:dyDescent="0.25">
      <c r="B40" t="str">
        <f>Raumbuch!B45</f>
        <v>Obergeschoss</v>
      </c>
      <c r="C40" t="str">
        <f>Raumbuch!D45</f>
        <v>O1</v>
      </c>
      <c r="D40" t="str">
        <f>Raumbuch!F45</f>
        <v>Kinderzimmer 1</v>
      </c>
      <c r="E40" t="str">
        <f>Raumbuch!G45</f>
        <v>2.1</v>
      </c>
      <c r="F40" t="str">
        <f>Raumbuch!H45</f>
        <v>Netzwerkdose Nord</v>
      </c>
      <c r="G40" t="str">
        <f>Raumbuch!I45</f>
        <v>Steckdosen</v>
      </c>
      <c r="H40" t="str">
        <f>Raumbuch!J45</f>
        <v>LAN 2-fach</v>
      </c>
      <c r="I40" t="str">
        <f>Raumbuch!K45</f>
        <v>Ethernet</v>
      </c>
      <c r="J40" t="str">
        <f>Raumbuch!N45</f>
        <v>ND1</v>
      </c>
      <c r="K40" t="str">
        <f>Raumbuch!O45</f>
        <v>O1.ND1</v>
      </c>
      <c r="L40" s="11">
        <v>0</v>
      </c>
      <c r="M40" s="11">
        <f t="shared" si="2"/>
        <v>20.000000000000007</v>
      </c>
      <c r="N40" s="14">
        <f t="shared" si="0"/>
        <v>20</v>
      </c>
      <c r="O40" s="15" t="str">
        <f t="shared" si="1"/>
        <v>-</v>
      </c>
      <c r="P40" t="s">
        <v>161</v>
      </c>
      <c r="Q40" t="s">
        <v>105</v>
      </c>
      <c r="R40" t="s">
        <v>163</v>
      </c>
      <c r="S40" t="s">
        <v>171</v>
      </c>
    </row>
    <row r="41" spans="2:19" x14ac:dyDescent="0.25">
      <c r="B41" t="str">
        <f>Raumbuch!B46</f>
        <v>Obergeschoss</v>
      </c>
      <c r="C41" t="str">
        <f>Raumbuch!D46</f>
        <v>O1</v>
      </c>
      <c r="D41" t="str">
        <f>Raumbuch!F46</f>
        <v>Kinderzimmer 1</v>
      </c>
      <c r="E41" t="str">
        <f>Raumbuch!G46</f>
        <v>2.1</v>
      </c>
      <c r="F41" t="str">
        <f>Raumbuch!H46</f>
        <v>Steckdose Fenster Nord</v>
      </c>
      <c r="G41" t="str">
        <f>Raumbuch!I46</f>
        <v>Steckdosen</v>
      </c>
      <c r="H41" t="str">
        <f>Raumbuch!J46</f>
        <v>mit Schaltaktor</v>
      </c>
      <c r="I41" t="str">
        <f>Raumbuch!K46</f>
        <v>230 V AC</v>
      </c>
      <c r="J41" t="str">
        <f>Raumbuch!N46</f>
        <v>SD4</v>
      </c>
      <c r="K41" t="str">
        <f>Raumbuch!O46</f>
        <v>O1.SD4</v>
      </c>
      <c r="L41" s="11">
        <v>0.33333333333333331</v>
      </c>
      <c r="M41" s="11">
        <f t="shared" si="2"/>
        <v>20.333333333333339</v>
      </c>
      <c r="N41" s="14">
        <f t="shared" si="0"/>
        <v>21</v>
      </c>
      <c r="O41" s="15" t="str">
        <f t="shared" si="1"/>
        <v>RK21</v>
      </c>
      <c r="P41" t="s">
        <v>140</v>
      </c>
      <c r="Q41" t="s">
        <v>172</v>
      </c>
      <c r="R41" t="s">
        <v>163</v>
      </c>
      <c r="S41" t="s">
        <v>169</v>
      </c>
    </row>
    <row r="42" spans="2:19" x14ac:dyDescent="0.25">
      <c r="B42" t="str">
        <f>Raumbuch!B47</f>
        <v>Obergeschoss</v>
      </c>
      <c r="C42" t="str">
        <f>Raumbuch!D47</f>
        <v>O1</v>
      </c>
      <c r="D42" t="str">
        <f>Raumbuch!F47</f>
        <v>Kinderzimmer 1</v>
      </c>
      <c r="E42" t="str">
        <f>Raumbuch!G47</f>
        <v>2.1</v>
      </c>
      <c r="F42" t="str">
        <f>Raumbuch!H47</f>
        <v>Steckdose Ost 1</v>
      </c>
      <c r="G42" t="str">
        <f>Raumbuch!I47</f>
        <v>Steckdosen</v>
      </c>
      <c r="H42" t="str">
        <f>Raumbuch!J47</f>
        <v>mit Schaltaktor</v>
      </c>
      <c r="I42" t="str">
        <f>Raumbuch!K47</f>
        <v>230 V AC</v>
      </c>
      <c r="J42" t="str">
        <f>Raumbuch!N47</f>
        <v>SD5</v>
      </c>
      <c r="K42" t="str">
        <f>Raumbuch!O47</f>
        <v>O1.SD5</v>
      </c>
      <c r="L42" s="11">
        <v>0.33333333333333331</v>
      </c>
      <c r="M42" s="11">
        <f t="shared" si="2"/>
        <v>20.666666666666671</v>
      </c>
      <c r="N42" s="14">
        <f t="shared" si="0"/>
        <v>21</v>
      </c>
      <c r="O42" s="15" t="str">
        <f t="shared" si="1"/>
        <v>RK21</v>
      </c>
      <c r="P42" t="s">
        <v>140</v>
      </c>
      <c r="Q42" t="s">
        <v>172</v>
      </c>
      <c r="R42" t="s">
        <v>163</v>
      </c>
      <c r="S42" t="s">
        <v>170</v>
      </c>
    </row>
    <row r="43" spans="2:19" x14ac:dyDescent="0.25">
      <c r="B43" t="str">
        <f>Raumbuch!B48</f>
        <v>Obergeschoss</v>
      </c>
      <c r="C43" t="str">
        <f>Raumbuch!D48</f>
        <v>O1</v>
      </c>
      <c r="D43" t="str">
        <f>Raumbuch!F48</f>
        <v>Kinderzimmer 1</v>
      </c>
      <c r="E43" t="str">
        <f>Raumbuch!G48</f>
        <v>2.1</v>
      </c>
      <c r="F43" t="str">
        <f>Raumbuch!H48</f>
        <v>Steckdose Ost 2</v>
      </c>
      <c r="G43" t="str">
        <f>Raumbuch!I48</f>
        <v>Steckdosen</v>
      </c>
      <c r="H43" t="str">
        <f>Raumbuch!J48</f>
        <v>ohne Schaltaktor</v>
      </c>
      <c r="I43" t="str">
        <f>Raumbuch!K48</f>
        <v>230 V AC</v>
      </c>
      <c r="J43" t="str">
        <f>Raumbuch!N48</f>
        <v>SD6</v>
      </c>
      <c r="K43" t="str">
        <f>Raumbuch!O48</f>
        <v>O1.SD6</v>
      </c>
      <c r="L43" s="11">
        <v>0.33333333333333331</v>
      </c>
      <c r="M43" s="11">
        <f t="shared" si="2"/>
        <v>21.000000000000004</v>
      </c>
      <c r="N43" s="14">
        <f t="shared" si="0"/>
        <v>21</v>
      </c>
      <c r="O43" s="15" t="str">
        <f t="shared" si="1"/>
        <v>RK21</v>
      </c>
      <c r="P43" t="s">
        <v>140</v>
      </c>
      <c r="Q43" t="s">
        <v>172</v>
      </c>
      <c r="R43" t="s">
        <v>163</v>
      </c>
      <c r="S43" t="s">
        <v>170</v>
      </c>
    </row>
    <row r="44" spans="2:19" x14ac:dyDescent="0.25">
      <c r="B44" t="str">
        <f>Raumbuch!B49</f>
        <v>Obergeschoss</v>
      </c>
      <c r="C44" t="str">
        <f>Raumbuch!D49</f>
        <v>O1</v>
      </c>
      <c r="D44" t="str">
        <f>Raumbuch!F49</f>
        <v>Kinderzimmer 1</v>
      </c>
      <c r="E44" t="str">
        <f>Raumbuch!G49</f>
        <v>2.1</v>
      </c>
      <c r="F44" t="str">
        <f>Raumbuch!H49</f>
        <v>Steckdose Ost 3</v>
      </c>
      <c r="G44" t="str">
        <f>Raumbuch!I49</f>
        <v>Steckdosen</v>
      </c>
      <c r="H44" t="str">
        <f>Raumbuch!J49</f>
        <v>ohne Schaltaktor</v>
      </c>
      <c r="I44" t="str">
        <f>Raumbuch!K49</f>
        <v>230 V AC</v>
      </c>
      <c r="J44" t="str">
        <f>Raumbuch!N49</f>
        <v>SD7</v>
      </c>
      <c r="K44" t="str">
        <f>Raumbuch!O49</f>
        <v>O1.SD7</v>
      </c>
      <c r="L44" s="11">
        <v>0.14285714285714299</v>
      </c>
      <c r="M44" s="11">
        <f t="shared" si="2"/>
        <v>21.142857142857146</v>
      </c>
      <c r="N44" s="14">
        <f t="shared" si="0"/>
        <v>22</v>
      </c>
      <c r="O44" s="15" t="str">
        <f t="shared" si="1"/>
        <v>RK22</v>
      </c>
      <c r="P44" t="s">
        <v>140</v>
      </c>
      <c r="Q44" t="s">
        <v>173</v>
      </c>
      <c r="R44" t="s">
        <v>163</v>
      </c>
      <c r="S44" t="s">
        <v>170</v>
      </c>
    </row>
    <row r="45" spans="2:19" x14ac:dyDescent="0.25">
      <c r="B45" t="str">
        <f>Raumbuch!B50</f>
        <v>Obergeschoss</v>
      </c>
      <c r="C45" t="str">
        <f>Raumbuch!D50</f>
        <v>O1</v>
      </c>
      <c r="D45" t="str">
        <f>Raumbuch!F50</f>
        <v>Kinderzimmer 1</v>
      </c>
      <c r="E45" t="str">
        <f>Raumbuch!G50</f>
        <v>2.1</v>
      </c>
      <c r="F45" t="str">
        <f>Raumbuch!H50</f>
        <v>Netzwerkdose Ost</v>
      </c>
      <c r="G45" t="str">
        <f>Raumbuch!I50</f>
        <v>Steckdosen</v>
      </c>
      <c r="H45" t="str">
        <f>Raumbuch!J50</f>
        <v>LAN 2-fach</v>
      </c>
      <c r="I45" t="str">
        <f>Raumbuch!K50</f>
        <v>Ethernet</v>
      </c>
      <c r="J45" t="str">
        <f>Raumbuch!N50</f>
        <v>ND2</v>
      </c>
      <c r="K45" t="str">
        <f>Raumbuch!O50</f>
        <v>O1.ND2</v>
      </c>
      <c r="L45" s="11">
        <v>0.14285714285714299</v>
      </c>
      <c r="M45" s="11">
        <f t="shared" si="2"/>
        <v>21.285714285714288</v>
      </c>
      <c r="N45" s="14">
        <f t="shared" si="0"/>
        <v>22</v>
      </c>
      <c r="O45" s="15" t="str">
        <f t="shared" si="1"/>
        <v>RK22</v>
      </c>
      <c r="P45" t="s">
        <v>140</v>
      </c>
      <c r="Q45" t="s">
        <v>173</v>
      </c>
      <c r="R45" t="s">
        <v>163</v>
      </c>
      <c r="S45" t="s">
        <v>170</v>
      </c>
    </row>
    <row r="46" spans="2:19" x14ac:dyDescent="0.25">
      <c r="B46" t="str">
        <f>Raumbuch!B51</f>
        <v>Obergeschoss</v>
      </c>
      <c r="C46" t="str">
        <f>Raumbuch!D51</f>
        <v>O1</v>
      </c>
      <c r="D46" t="str">
        <f>Raumbuch!F51</f>
        <v>Kinderzimmer 1</v>
      </c>
      <c r="E46" t="str">
        <f>Raumbuch!G51</f>
        <v>2.1</v>
      </c>
      <c r="F46" t="str">
        <f>Raumbuch!H51</f>
        <v>Steckdose Ost 4</v>
      </c>
      <c r="G46" t="str">
        <f>Raumbuch!I51</f>
        <v>Steckdosen</v>
      </c>
      <c r="H46" t="str">
        <f>Raumbuch!J51</f>
        <v>ohne Schaltaktor</v>
      </c>
      <c r="I46" t="str">
        <f>Raumbuch!K51</f>
        <v>230 V AC</v>
      </c>
      <c r="J46" t="str">
        <f>Raumbuch!N51</f>
        <v>SD8</v>
      </c>
      <c r="K46" t="str">
        <f>Raumbuch!O51</f>
        <v>O1.SD8</v>
      </c>
      <c r="L46" s="11">
        <v>0.14285714285714299</v>
      </c>
      <c r="M46" s="11">
        <f t="shared" si="2"/>
        <v>21.428571428571431</v>
      </c>
      <c r="N46" s="14">
        <f t="shared" si="0"/>
        <v>22</v>
      </c>
      <c r="O46" s="15" t="str">
        <f t="shared" si="1"/>
        <v>RK22</v>
      </c>
      <c r="P46" t="s">
        <v>140</v>
      </c>
      <c r="Q46" t="s">
        <v>173</v>
      </c>
      <c r="R46" t="s">
        <v>163</v>
      </c>
      <c r="S46" t="s">
        <v>170</v>
      </c>
    </row>
    <row r="47" spans="2:19" x14ac:dyDescent="0.25">
      <c r="B47" t="str">
        <f>Raumbuch!B52</f>
        <v>Obergeschoss</v>
      </c>
      <c r="C47" t="str">
        <f>Raumbuch!D52</f>
        <v>O1</v>
      </c>
      <c r="D47" t="str">
        <f>Raumbuch!F52</f>
        <v>Kinderzimmer 1</v>
      </c>
      <c r="E47" t="str">
        <f>Raumbuch!G52</f>
        <v>2.1</v>
      </c>
      <c r="F47" t="str">
        <f>Raumbuch!H52</f>
        <v>Steckdose Ost 1</v>
      </c>
      <c r="G47" t="str">
        <f>Raumbuch!I52</f>
        <v>Steckdosen</v>
      </c>
      <c r="H47" t="str">
        <f>Raumbuch!J52</f>
        <v>mit Schaltaktor</v>
      </c>
      <c r="I47" t="str">
        <f>Raumbuch!K52</f>
        <v>230 V AC</v>
      </c>
      <c r="J47" t="str">
        <f>Raumbuch!N52</f>
        <v>SD9</v>
      </c>
      <c r="K47" t="str">
        <f>Raumbuch!O52</f>
        <v>O1.SD9</v>
      </c>
      <c r="L47" s="11">
        <v>0.14285714285714299</v>
      </c>
      <c r="M47" s="11">
        <f t="shared" si="2"/>
        <v>21.571428571428573</v>
      </c>
      <c r="N47" s="14">
        <f t="shared" si="0"/>
        <v>22</v>
      </c>
      <c r="O47" s="15" t="str">
        <f t="shared" si="1"/>
        <v>RK22</v>
      </c>
      <c r="P47" t="s">
        <v>140</v>
      </c>
      <c r="Q47" t="s">
        <v>173</v>
      </c>
      <c r="R47" t="s">
        <v>163</v>
      </c>
      <c r="S47" t="s">
        <v>170</v>
      </c>
    </row>
    <row r="48" spans="2:19" x14ac:dyDescent="0.25">
      <c r="B48" t="str">
        <f>Raumbuch!B53</f>
        <v>Obergeschoss</v>
      </c>
      <c r="C48" t="str">
        <f>Raumbuch!D53</f>
        <v>O1</v>
      </c>
      <c r="D48" t="str">
        <f>Raumbuch!F53</f>
        <v>Kinderzimmer 1</v>
      </c>
      <c r="E48" t="str">
        <f>Raumbuch!G53</f>
        <v>2.1</v>
      </c>
      <c r="F48" t="str">
        <f>Raumbuch!H53</f>
        <v>Steckdose Ost 2</v>
      </c>
      <c r="G48" t="str">
        <f>Raumbuch!I53</f>
        <v>Steckdosen</v>
      </c>
      <c r="H48" t="str">
        <f>Raumbuch!J53</f>
        <v>ohne Schaltaktor</v>
      </c>
      <c r="I48" t="str">
        <f>Raumbuch!K53</f>
        <v>230 V AC</v>
      </c>
      <c r="J48" t="str">
        <f>Raumbuch!N53</f>
        <v>SD10</v>
      </c>
      <c r="K48" t="str">
        <f>Raumbuch!O53</f>
        <v>O1.SD10</v>
      </c>
      <c r="L48" s="11">
        <v>0.14285714285714299</v>
      </c>
      <c r="M48" s="11">
        <f t="shared" si="2"/>
        <v>21.714285714285715</v>
      </c>
      <c r="N48" s="14">
        <f t="shared" si="0"/>
        <v>22</v>
      </c>
      <c r="O48" s="15" t="str">
        <f t="shared" si="1"/>
        <v>RK22</v>
      </c>
      <c r="P48" t="s">
        <v>140</v>
      </c>
      <c r="Q48" t="s">
        <v>173</v>
      </c>
      <c r="R48" t="s">
        <v>163</v>
      </c>
      <c r="S48" t="s">
        <v>170</v>
      </c>
    </row>
    <row r="49" spans="2:19" x14ac:dyDescent="0.25">
      <c r="B49" t="str">
        <f>Raumbuch!B54</f>
        <v>Obergeschoss</v>
      </c>
      <c r="C49" t="str">
        <f>Raumbuch!D54</f>
        <v>O1</v>
      </c>
      <c r="D49" t="str">
        <f>Raumbuch!F54</f>
        <v>Kinderzimmer 1</v>
      </c>
      <c r="E49" t="str">
        <f>Raumbuch!G54</f>
        <v>2.1</v>
      </c>
      <c r="F49" t="str">
        <f>Raumbuch!H54</f>
        <v>Steckdose Ost 3</v>
      </c>
      <c r="G49" t="str">
        <f>Raumbuch!I54</f>
        <v>Steckdosen</v>
      </c>
      <c r="H49" t="str">
        <f>Raumbuch!J54</f>
        <v>ohne Schaltaktor</v>
      </c>
      <c r="I49" t="str">
        <f>Raumbuch!K54</f>
        <v>230 V AC</v>
      </c>
      <c r="J49" t="str">
        <f>Raumbuch!N54</f>
        <v>SD11</v>
      </c>
      <c r="K49" t="str">
        <f>Raumbuch!O54</f>
        <v>O1.SD11</v>
      </c>
      <c r="L49" s="11">
        <v>0.14285714285714299</v>
      </c>
      <c r="M49" s="11">
        <f t="shared" si="2"/>
        <v>21.857142857142858</v>
      </c>
      <c r="N49" s="14">
        <f t="shared" si="0"/>
        <v>22</v>
      </c>
      <c r="O49" s="15" t="str">
        <f t="shared" si="1"/>
        <v>RK22</v>
      </c>
      <c r="P49" t="s">
        <v>140</v>
      </c>
      <c r="Q49" t="s">
        <v>173</v>
      </c>
      <c r="R49" t="s">
        <v>163</v>
      </c>
      <c r="S49" t="s">
        <v>170</v>
      </c>
    </row>
    <row r="50" spans="2:19" x14ac:dyDescent="0.25">
      <c r="B50" t="str">
        <f>Raumbuch!B55</f>
        <v>Obergeschoss</v>
      </c>
      <c r="C50" t="str">
        <f>Raumbuch!D55</f>
        <v>O1</v>
      </c>
      <c r="D50" t="str">
        <f>Raumbuch!F55</f>
        <v>Kinderzimmer 1</v>
      </c>
      <c r="E50" t="str">
        <f>Raumbuch!G55</f>
        <v>2.1</v>
      </c>
      <c r="F50" t="str">
        <f>Raumbuch!H55</f>
        <v>Netzwerkdose Ost</v>
      </c>
      <c r="G50" t="str">
        <f>Raumbuch!I55</f>
        <v>Steckdosen</v>
      </c>
      <c r="H50" t="str">
        <f>Raumbuch!J55</f>
        <v>LAN 2-fach</v>
      </c>
      <c r="I50" t="str">
        <f>Raumbuch!K55</f>
        <v>Ethernet</v>
      </c>
      <c r="J50" t="str">
        <f>Raumbuch!N55</f>
        <v>ND3</v>
      </c>
      <c r="K50" t="str">
        <f>Raumbuch!O55</f>
        <v>O1.ND3</v>
      </c>
      <c r="L50" s="11">
        <v>0.14285714285714299</v>
      </c>
      <c r="M50" s="11">
        <f t="shared" si="2"/>
        <v>22</v>
      </c>
      <c r="N50" s="14">
        <f t="shared" si="0"/>
        <v>22</v>
      </c>
      <c r="O50" s="15" t="str">
        <f t="shared" si="1"/>
        <v>RK22</v>
      </c>
      <c r="P50" t="s">
        <v>140</v>
      </c>
      <c r="Q50" t="s">
        <v>173</v>
      </c>
      <c r="R50" t="s">
        <v>163</v>
      </c>
      <c r="S50" t="s">
        <v>170</v>
      </c>
    </row>
    <row r="51" spans="2:19" x14ac:dyDescent="0.25">
      <c r="B51" t="str">
        <f>Raumbuch!B44</f>
        <v>Obergeschoss</v>
      </c>
      <c r="C51" t="str">
        <f>Raumbuch!D44</f>
        <v>O1</v>
      </c>
      <c r="D51" t="str">
        <f>Raumbuch!F44</f>
        <v>Kinderzimmer 1</v>
      </c>
      <c r="E51" t="str">
        <f>Raumbuch!G44</f>
        <v>2.1</v>
      </c>
      <c r="F51" t="str">
        <f>Raumbuch!H44</f>
        <v>Steckdose Nord 3</v>
      </c>
      <c r="G51" t="str">
        <f>Raumbuch!I44</f>
        <v>Steckdosen</v>
      </c>
      <c r="H51" t="str">
        <f>Raumbuch!J44</f>
        <v>ohne Schaltaktor</v>
      </c>
      <c r="I51" t="str">
        <f>Raumbuch!K44</f>
        <v>230 V AC</v>
      </c>
      <c r="J51" t="str">
        <f>Raumbuch!N44</f>
        <v>SD3</v>
      </c>
      <c r="K51" t="str">
        <f>Raumbuch!O44</f>
        <v>O1.SD3</v>
      </c>
      <c r="L51" s="11">
        <v>1</v>
      </c>
      <c r="M51" s="11">
        <f t="shared" si="2"/>
        <v>23</v>
      </c>
      <c r="N51" s="14">
        <f t="shared" si="0"/>
        <v>23</v>
      </c>
      <c r="O51" s="15" t="str">
        <f t="shared" si="1"/>
        <v>RK23</v>
      </c>
      <c r="P51" t="s">
        <v>145</v>
      </c>
      <c r="Q51" t="s">
        <v>168</v>
      </c>
      <c r="R51" s="13" t="s">
        <v>138</v>
      </c>
      <c r="S51" s="13" t="s">
        <v>138</v>
      </c>
    </row>
    <row r="52" spans="2:19" x14ac:dyDescent="0.25">
      <c r="B52" t="str">
        <f>Raumbuch!B56</f>
        <v>Obergeschoss</v>
      </c>
      <c r="C52" t="str">
        <f>Raumbuch!D56</f>
        <v>O1</v>
      </c>
      <c r="D52" t="str">
        <f>Raumbuch!F56</f>
        <v>Kinderzimmer 1</v>
      </c>
      <c r="E52" t="str">
        <f>Raumbuch!G56</f>
        <v>2.1</v>
      </c>
      <c r="F52" t="str">
        <f>Raumbuch!H56</f>
        <v>Steckdose Fenster West</v>
      </c>
      <c r="G52" t="str">
        <f>Raumbuch!I56</f>
        <v>Steckdosen</v>
      </c>
      <c r="H52" t="str">
        <f>Raumbuch!J56</f>
        <v>mit Schaltaktor</v>
      </c>
      <c r="I52" t="str">
        <f>Raumbuch!K56</f>
        <v>230 V AC</v>
      </c>
      <c r="J52" t="str">
        <f>Raumbuch!N56</f>
        <v>SD12</v>
      </c>
      <c r="K52" t="str">
        <f>Raumbuch!O56</f>
        <v>O1.SD12</v>
      </c>
      <c r="L52" s="11">
        <v>0</v>
      </c>
      <c r="M52" s="11">
        <f t="shared" si="2"/>
        <v>23</v>
      </c>
      <c r="N52" s="14">
        <f t="shared" si="0"/>
        <v>23</v>
      </c>
      <c r="O52" s="15" t="str">
        <f t="shared" si="1"/>
        <v>-</v>
      </c>
      <c r="P52" t="s">
        <v>137</v>
      </c>
      <c r="Q52" s="13" t="s">
        <v>138</v>
      </c>
      <c r="R52" t="s">
        <v>163</v>
      </c>
      <c r="S52" t="s">
        <v>170</v>
      </c>
    </row>
    <row r="53" spans="2:19" x14ac:dyDescent="0.25">
      <c r="B53" t="str">
        <f>Raumbuch!B58</f>
        <v>Obergeschoss</v>
      </c>
      <c r="C53" t="str">
        <f>Raumbuch!D58</f>
        <v>O1</v>
      </c>
      <c r="D53" t="str">
        <f>Raumbuch!F58</f>
        <v>Kinderzimmer 1</v>
      </c>
      <c r="E53" t="str">
        <f>Raumbuch!G58</f>
        <v>2.1</v>
      </c>
      <c r="F53" t="str">
        <f>Raumbuch!H58</f>
        <v>DALI EVG Spots</v>
      </c>
      <c r="G53" t="str">
        <f>Raumbuch!I58</f>
        <v>Zentral</v>
      </c>
      <c r="H53" t="str">
        <f>Raumbuch!J58</f>
        <v>DALI DT8 EVG</v>
      </c>
      <c r="I53" t="str">
        <f>Raumbuch!K58</f>
        <v>24 V DC</v>
      </c>
      <c r="J53" t="str">
        <f>Raumbuch!N58</f>
        <v>DA1</v>
      </c>
      <c r="K53" t="str">
        <f>Raumbuch!O58</f>
        <v>O1.DA1</v>
      </c>
      <c r="L53" s="11">
        <v>0.5</v>
      </c>
      <c r="M53" s="11">
        <f t="shared" si="2"/>
        <v>23.5</v>
      </c>
      <c r="N53" s="14">
        <f t="shared" si="0"/>
        <v>24</v>
      </c>
      <c r="O53" s="15" t="str">
        <f t="shared" si="1"/>
        <v>RK24</v>
      </c>
      <c r="P53" t="s">
        <v>138</v>
      </c>
      <c r="Q53" s="13" t="s">
        <v>138</v>
      </c>
      <c r="R53" s="13" t="s">
        <v>138</v>
      </c>
      <c r="S53" s="13" t="s">
        <v>138</v>
      </c>
    </row>
    <row r="54" spans="2:19" x14ac:dyDescent="0.25">
      <c r="B54" t="str">
        <f>Raumbuch!B59</f>
        <v>Obergeschoss</v>
      </c>
      <c r="C54" t="str">
        <f>Raumbuch!D59</f>
        <v>O2</v>
      </c>
      <c r="D54" t="str">
        <f>Raumbuch!F59</f>
        <v>Kinderzimmer 2</v>
      </c>
      <c r="E54" t="str">
        <f>Raumbuch!G59</f>
        <v>2.2</v>
      </c>
      <c r="F54" t="str">
        <f>Raumbuch!H59</f>
        <v>Deckenlautsprecher 1</v>
      </c>
      <c r="G54" t="str">
        <f>Raumbuch!I59</f>
        <v>Audio</v>
      </c>
      <c r="H54">
        <f>Raumbuch!J59</f>
        <v>0</v>
      </c>
      <c r="I54" t="str">
        <f>Raumbuch!K59</f>
        <v>DIGITAL (potentialfrei)</v>
      </c>
      <c r="J54" t="str">
        <f>Raumbuch!N59</f>
        <v>DL1</v>
      </c>
      <c r="K54" t="str">
        <f>Raumbuch!O59</f>
        <v>O2.DL1</v>
      </c>
      <c r="L54" s="11">
        <v>0.5</v>
      </c>
      <c r="M54" s="11">
        <f t="shared" si="2"/>
        <v>24</v>
      </c>
      <c r="N54" s="14">
        <f t="shared" si="0"/>
        <v>24</v>
      </c>
      <c r="O54" s="15" t="str">
        <f t="shared" si="1"/>
        <v>RK24</v>
      </c>
      <c r="P54" t="s">
        <v>138</v>
      </c>
      <c r="Q54" s="13" t="s">
        <v>138</v>
      </c>
      <c r="R54" t="s">
        <v>158</v>
      </c>
      <c r="S54" t="s">
        <v>174</v>
      </c>
    </row>
    <row r="55" spans="2:19" x14ac:dyDescent="0.25">
      <c r="B55" t="str">
        <f>Raumbuch!B60</f>
        <v>Obergeschoss</v>
      </c>
      <c r="C55" t="str">
        <f>Raumbuch!D60</f>
        <v>O2</v>
      </c>
      <c r="D55" t="str">
        <f>Raumbuch!F60</f>
        <v>Kinderzimmer 2</v>
      </c>
      <c r="E55" t="str">
        <f>Raumbuch!G60</f>
        <v>2.2</v>
      </c>
      <c r="F55" t="str">
        <f>Raumbuch!H60</f>
        <v>Deckenlautsprecher 2</v>
      </c>
      <c r="G55" t="str">
        <f>Raumbuch!I60</f>
        <v>Audio</v>
      </c>
      <c r="H55">
        <f>Raumbuch!J60</f>
        <v>0</v>
      </c>
      <c r="I55" t="str">
        <f>Raumbuch!K60</f>
        <v>DIGITAL (potentialfrei)</v>
      </c>
      <c r="J55" t="str">
        <f>Raumbuch!N60</f>
        <v>DL2</v>
      </c>
      <c r="K55" t="str">
        <f>Raumbuch!O60</f>
        <v>O2.DL2</v>
      </c>
      <c r="L55" s="11">
        <v>1</v>
      </c>
      <c r="M55" s="11">
        <f t="shared" si="2"/>
        <v>25</v>
      </c>
      <c r="N55" s="14">
        <f t="shared" si="0"/>
        <v>25</v>
      </c>
      <c r="O55" s="15" t="str">
        <f t="shared" si="1"/>
        <v>RK25</v>
      </c>
      <c r="P55" t="s">
        <v>138</v>
      </c>
      <c r="Q55" s="13" t="s">
        <v>138</v>
      </c>
      <c r="R55" t="s">
        <v>158</v>
      </c>
      <c r="S55" t="s">
        <v>174</v>
      </c>
    </row>
    <row r="56" spans="2:19" x14ac:dyDescent="0.25">
      <c r="B56" t="str">
        <f>Raumbuch!B61</f>
        <v>Obergeschoss</v>
      </c>
      <c r="C56" t="str">
        <f>Raumbuch!D61</f>
        <v>O2</v>
      </c>
      <c r="D56" t="str">
        <f>Raumbuch!F61</f>
        <v>Kinderzimmer 2</v>
      </c>
      <c r="E56" t="str">
        <f>Raumbuch!G61</f>
        <v>2.2</v>
      </c>
      <c r="F56" t="str">
        <f>Raumbuch!H61</f>
        <v>Spots n</v>
      </c>
      <c r="G56" t="str">
        <f>Raumbuch!I61</f>
        <v>Beleuchtung</v>
      </c>
      <c r="H56" t="str">
        <f>Raumbuch!J61</f>
        <v>tunable white</v>
      </c>
      <c r="I56" t="str">
        <f>Raumbuch!K61</f>
        <v>DALI</v>
      </c>
      <c r="J56" t="str">
        <f>Raumbuch!N61</f>
        <v>BLn</v>
      </c>
      <c r="K56" t="str">
        <f>Raumbuch!O61</f>
        <v>O2.BLn</v>
      </c>
      <c r="L56" s="11">
        <v>1</v>
      </c>
      <c r="M56" s="11">
        <f t="shared" si="2"/>
        <v>26</v>
      </c>
      <c r="N56" s="14">
        <f t="shared" si="0"/>
        <v>26</v>
      </c>
      <c r="O56" s="15" t="str">
        <f t="shared" si="1"/>
        <v>RK26</v>
      </c>
      <c r="P56" t="s">
        <v>138</v>
      </c>
      <c r="Q56" s="13" t="s">
        <v>138</v>
      </c>
      <c r="R56" t="s">
        <v>158</v>
      </c>
      <c r="S56" t="s">
        <v>174</v>
      </c>
    </row>
    <row r="57" spans="2:19" x14ac:dyDescent="0.25">
      <c r="B57" t="str">
        <f>Raumbuch!B62</f>
        <v>Obergeschoss</v>
      </c>
      <c r="C57" t="str">
        <f>Raumbuch!D62</f>
        <v>O2</v>
      </c>
      <c r="D57" t="str">
        <f>Raumbuch!F62</f>
        <v>Kinderzimmer 2</v>
      </c>
      <c r="E57" t="str">
        <f>Raumbuch!G62</f>
        <v>2.2</v>
      </c>
      <c r="F57" t="str">
        <f>Raumbuch!H62</f>
        <v>Anschluss Rolladen Süd</v>
      </c>
      <c r="G57" t="str">
        <f>Raumbuch!I62</f>
        <v>Beschattung</v>
      </c>
      <c r="H57" t="str">
        <f>Raumbuch!J62</f>
        <v>Rollladen</v>
      </c>
      <c r="I57" t="str">
        <f>Raumbuch!K62</f>
        <v>230 V AC - Beschattung</v>
      </c>
      <c r="J57" t="str">
        <f>Raumbuch!N62</f>
        <v>R1</v>
      </c>
      <c r="K57" t="str">
        <f>Raumbuch!O62</f>
        <v>O2.R1</v>
      </c>
      <c r="L57" s="11">
        <v>1</v>
      </c>
      <c r="M57" s="11">
        <f t="shared" si="2"/>
        <v>27</v>
      </c>
      <c r="N57" s="14">
        <f t="shared" si="0"/>
        <v>27</v>
      </c>
      <c r="O57" s="15" t="str">
        <f t="shared" si="1"/>
        <v>RK27</v>
      </c>
      <c r="P57" t="s">
        <v>138</v>
      </c>
      <c r="Q57" s="13" t="s">
        <v>138</v>
      </c>
      <c r="R57" t="s">
        <v>158</v>
      </c>
      <c r="S57" t="s">
        <v>175</v>
      </c>
    </row>
    <row r="58" spans="2:19" x14ac:dyDescent="0.25">
      <c r="B58" t="str">
        <f>Raumbuch!B63</f>
        <v>Obergeschoss</v>
      </c>
      <c r="C58" t="str">
        <f>Raumbuch!D63</f>
        <v>O2</v>
      </c>
      <c r="D58" t="str">
        <f>Raumbuch!F63</f>
        <v>Kinderzimmer 2</v>
      </c>
      <c r="E58" t="str">
        <f>Raumbuch!G63</f>
        <v>2.2</v>
      </c>
      <c r="F58" t="str">
        <f>Raumbuch!H63</f>
        <v>Anschluss Rolladen West</v>
      </c>
      <c r="G58" t="str">
        <f>Raumbuch!I63</f>
        <v>Beschattung</v>
      </c>
      <c r="H58" t="str">
        <f>Raumbuch!J63</f>
        <v>Rollladen</v>
      </c>
      <c r="I58" t="str">
        <f>Raumbuch!K63</f>
        <v>230 V AC - Beschattung</v>
      </c>
      <c r="J58" t="str">
        <f>Raumbuch!N63</f>
        <v>R2</v>
      </c>
      <c r="K58" t="str">
        <f>Raumbuch!O63</f>
        <v>O2.R2</v>
      </c>
      <c r="L58" s="11">
        <v>1</v>
      </c>
      <c r="M58" s="11">
        <f t="shared" si="2"/>
        <v>28</v>
      </c>
      <c r="N58" s="14">
        <f t="shared" si="0"/>
        <v>28</v>
      </c>
      <c r="O58" s="15" t="str">
        <f t="shared" si="1"/>
        <v>RK28</v>
      </c>
      <c r="P58" t="s">
        <v>138</v>
      </c>
      <c r="Q58" s="13" t="s">
        <v>138</v>
      </c>
      <c r="R58" t="s">
        <v>158</v>
      </c>
      <c r="S58" t="s">
        <v>176</v>
      </c>
    </row>
    <row r="59" spans="2:19" x14ac:dyDescent="0.25">
      <c r="B59" t="str">
        <f>Raumbuch!B66</f>
        <v>Obergeschoss</v>
      </c>
      <c r="C59" t="str">
        <f>Raumbuch!D66</f>
        <v>O2</v>
      </c>
      <c r="D59" t="str">
        <f>Raumbuch!F66</f>
        <v>Kinderzimmer 2</v>
      </c>
      <c r="E59" t="str">
        <f>Raumbuch!G66</f>
        <v>2.2</v>
      </c>
      <c r="F59" t="str">
        <f>Raumbuch!H66</f>
        <v>Fensterkontakt West</v>
      </c>
      <c r="G59" t="str">
        <f>Raumbuch!I66</f>
        <v>Sensoren</v>
      </c>
      <c r="H59" t="str">
        <f>Raumbuch!J66</f>
        <v>Fensterkontakt Reed</v>
      </c>
      <c r="I59" t="str">
        <f>Raumbuch!K66</f>
        <v>DIGITAL (potentialfrei)</v>
      </c>
      <c r="J59" t="str">
        <f>Raumbuch!N66</f>
        <v>FK2</v>
      </c>
      <c r="K59" t="str">
        <f>Raumbuch!O66</f>
        <v>O2.FK2</v>
      </c>
      <c r="L59" s="11">
        <v>1</v>
      </c>
      <c r="M59" s="11">
        <f t="shared" si="2"/>
        <v>29</v>
      </c>
      <c r="N59" s="14">
        <f t="shared" si="0"/>
        <v>29</v>
      </c>
      <c r="O59" s="15" t="str">
        <f t="shared" si="1"/>
        <v>RK29</v>
      </c>
      <c r="P59" t="s">
        <v>138</v>
      </c>
      <c r="Q59" s="13" t="s">
        <v>138</v>
      </c>
    </row>
    <row r="60" spans="2:19" x14ac:dyDescent="0.25">
      <c r="B60" t="str">
        <f>Raumbuch!B67</f>
        <v>Obergeschoss</v>
      </c>
      <c r="C60" t="str">
        <f>Raumbuch!D67</f>
        <v>O2</v>
      </c>
      <c r="D60" t="str">
        <f>Raumbuch!F67</f>
        <v>Kinderzimmer 2</v>
      </c>
      <c r="E60" t="str">
        <f>Raumbuch!G67</f>
        <v>2.2</v>
      </c>
      <c r="F60" t="str">
        <f>Raumbuch!H67</f>
        <v>Präsenzmelder</v>
      </c>
      <c r="G60" t="str">
        <f>Raumbuch!I67</f>
        <v>Sensoren</v>
      </c>
      <c r="H60" t="str">
        <f>Raumbuch!J67</f>
        <v>Präsenzmelder mit KLR</v>
      </c>
      <c r="I60" t="str">
        <f>Raumbuch!K67</f>
        <v>KNX</v>
      </c>
      <c r="J60" t="str">
        <f>Raumbuch!N67</f>
        <v>PM1</v>
      </c>
      <c r="K60" t="str">
        <f>Raumbuch!O67</f>
        <v>O2.PM1</v>
      </c>
      <c r="L60" s="11">
        <v>1</v>
      </c>
      <c r="M60" s="11">
        <f t="shared" si="2"/>
        <v>30</v>
      </c>
      <c r="N60" s="14">
        <f t="shared" si="0"/>
        <v>30</v>
      </c>
      <c r="O60" s="15" t="str">
        <f t="shared" si="1"/>
        <v>RK30</v>
      </c>
      <c r="P60" t="s">
        <v>138</v>
      </c>
      <c r="Q60" s="13" t="s">
        <v>138</v>
      </c>
      <c r="R60" t="s">
        <v>158</v>
      </c>
      <c r="S60" t="s">
        <v>177</v>
      </c>
    </row>
    <row r="61" spans="2:19" x14ac:dyDescent="0.25">
      <c r="B61" t="str">
        <f>Raumbuch!B68</f>
        <v>Obergeschoss</v>
      </c>
      <c r="C61" t="str">
        <f>Raumbuch!D68</f>
        <v>O2</v>
      </c>
      <c r="D61" t="str">
        <f>Raumbuch!F68</f>
        <v>Kinderzimmer 2</v>
      </c>
      <c r="E61" t="str">
        <f>Raumbuch!G68</f>
        <v>2.2</v>
      </c>
      <c r="F61" t="str">
        <f>Raumbuch!H68</f>
        <v>Steckdose Nord 1</v>
      </c>
      <c r="G61" t="str">
        <f>Raumbuch!I68</f>
        <v>Steckdosen</v>
      </c>
      <c r="H61" t="str">
        <f>Raumbuch!J68</f>
        <v>mit Schaltaktor</v>
      </c>
      <c r="I61" t="str">
        <f>Raumbuch!K68</f>
        <v>230 V AC</v>
      </c>
      <c r="J61" t="str">
        <f>Raumbuch!N68</f>
        <v>SD1</v>
      </c>
      <c r="K61" t="str">
        <f>Raumbuch!O68</f>
        <v>O2.SD1</v>
      </c>
      <c r="L61" s="11">
        <v>0.5</v>
      </c>
      <c r="M61" s="11">
        <f t="shared" si="2"/>
        <v>30.5</v>
      </c>
      <c r="N61" s="14">
        <f t="shared" si="0"/>
        <v>31</v>
      </c>
      <c r="O61" s="15" t="str">
        <f t="shared" si="1"/>
        <v>RK31</v>
      </c>
      <c r="P61" t="s">
        <v>138</v>
      </c>
      <c r="Q61" s="13" t="s">
        <v>138</v>
      </c>
      <c r="R61" t="s">
        <v>158</v>
      </c>
      <c r="S61" t="s">
        <v>177</v>
      </c>
    </row>
    <row r="62" spans="2:19" x14ac:dyDescent="0.25">
      <c r="B62" t="str">
        <f>Raumbuch!B69</f>
        <v>Obergeschoss</v>
      </c>
      <c r="C62" t="str">
        <f>Raumbuch!D69</f>
        <v>O2</v>
      </c>
      <c r="D62" t="str">
        <f>Raumbuch!F69</f>
        <v>Kinderzimmer 2</v>
      </c>
      <c r="E62" t="str">
        <f>Raumbuch!G69</f>
        <v>2.2</v>
      </c>
      <c r="F62" t="str">
        <f>Raumbuch!H69</f>
        <v>Steckdose Nord 2</v>
      </c>
      <c r="G62" t="str">
        <f>Raumbuch!I69</f>
        <v>Steckdosen</v>
      </c>
      <c r="H62" t="str">
        <f>Raumbuch!J69</f>
        <v>ohne Schaltaktor</v>
      </c>
      <c r="I62" t="str">
        <f>Raumbuch!K69</f>
        <v>230 V AC</v>
      </c>
      <c r="J62" t="str">
        <f>Raumbuch!N69</f>
        <v>SD2</v>
      </c>
      <c r="K62" t="str">
        <f>Raumbuch!O69</f>
        <v>O2.SD2</v>
      </c>
      <c r="L62" s="11">
        <v>0.5</v>
      </c>
      <c r="M62" s="11">
        <f t="shared" si="2"/>
        <v>31</v>
      </c>
      <c r="N62" s="14">
        <f t="shared" si="0"/>
        <v>31</v>
      </c>
      <c r="O62" s="15" t="str">
        <f t="shared" si="1"/>
        <v>RK31</v>
      </c>
      <c r="P62" t="s">
        <v>138</v>
      </c>
      <c r="Q62" s="13" t="s">
        <v>138</v>
      </c>
      <c r="R62" t="s">
        <v>158</v>
      </c>
      <c r="S62" t="s">
        <v>177</v>
      </c>
    </row>
    <row r="63" spans="2:19" x14ac:dyDescent="0.25">
      <c r="B63" t="str">
        <f>Raumbuch!B70</f>
        <v>Obergeschoss</v>
      </c>
      <c r="C63" t="str">
        <f>Raumbuch!D70</f>
        <v>O2</v>
      </c>
      <c r="D63" t="str">
        <f>Raumbuch!F70</f>
        <v>Kinderzimmer 2</v>
      </c>
      <c r="E63" t="str">
        <f>Raumbuch!G70</f>
        <v>2.2</v>
      </c>
      <c r="F63" t="str">
        <f>Raumbuch!H70</f>
        <v>Steckdose Nord 3</v>
      </c>
      <c r="G63" t="str">
        <f>Raumbuch!I70</f>
        <v>Steckdosen</v>
      </c>
      <c r="H63" t="str">
        <f>Raumbuch!J70</f>
        <v>ohne Schaltaktor</v>
      </c>
      <c r="I63" t="str">
        <f>Raumbuch!K70</f>
        <v>230 V AC</v>
      </c>
      <c r="J63" t="str">
        <f>Raumbuch!N70</f>
        <v>SD3</v>
      </c>
      <c r="K63" t="str">
        <f>Raumbuch!O70</f>
        <v>O2.SD3</v>
      </c>
      <c r="L63" s="11">
        <v>1</v>
      </c>
      <c r="M63" s="11">
        <f t="shared" si="2"/>
        <v>32</v>
      </c>
      <c r="N63" s="14">
        <f t="shared" si="0"/>
        <v>32</v>
      </c>
      <c r="O63" s="15" t="str">
        <f t="shared" si="1"/>
        <v>RK32</v>
      </c>
      <c r="P63" t="s">
        <v>138</v>
      </c>
      <c r="Q63" s="13" t="s">
        <v>138</v>
      </c>
      <c r="R63" t="s">
        <v>158</v>
      </c>
      <c r="S63" t="s">
        <v>177</v>
      </c>
    </row>
    <row r="64" spans="2:19" x14ac:dyDescent="0.25">
      <c r="B64" t="str">
        <f>Raumbuch!B81</f>
        <v>Obergeschoss</v>
      </c>
      <c r="C64" t="str">
        <f>Raumbuch!D81</f>
        <v>O2</v>
      </c>
      <c r="D64" t="str">
        <f>Raumbuch!F81</f>
        <v>Kinderzimmer 2</v>
      </c>
      <c r="E64" t="str">
        <f>Raumbuch!G81</f>
        <v>2.2</v>
      </c>
      <c r="F64" t="str">
        <f>Raumbuch!H81</f>
        <v>Steckdose Fenster West</v>
      </c>
      <c r="G64" t="str">
        <f>Raumbuch!I81</f>
        <v>Steckdosen</v>
      </c>
      <c r="H64" t="str">
        <f>Raumbuch!J81</f>
        <v>mit Schaltaktor</v>
      </c>
      <c r="I64" t="str">
        <f>Raumbuch!K81</f>
        <v>230 V AC</v>
      </c>
      <c r="J64" t="str">
        <f>Raumbuch!N81</f>
        <v>SD12</v>
      </c>
      <c r="K64" t="str">
        <f>Raumbuch!O81</f>
        <v>O2.SD12</v>
      </c>
      <c r="L64" s="11">
        <v>1</v>
      </c>
      <c r="M64" s="11">
        <f t="shared" si="2"/>
        <v>33</v>
      </c>
      <c r="N64" s="14">
        <f t="shared" si="0"/>
        <v>33</v>
      </c>
      <c r="O64" s="15" t="str">
        <f t="shared" si="1"/>
        <v>RK33</v>
      </c>
      <c r="P64" t="s">
        <v>167</v>
      </c>
      <c r="Q64" t="s">
        <v>105</v>
      </c>
      <c r="R64" t="s">
        <v>158</v>
      </c>
      <c r="S64" t="s">
        <v>177</v>
      </c>
    </row>
    <row r="65" spans="2:19" x14ac:dyDescent="0.25">
      <c r="B65" t="str">
        <f>Raumbuch!B82</f>
        <v>Obergeschoss</v>
      </c>
      <c r="C65" t="str">
        <f>Raumbuch!D82</f>
        <v>O2</v>
      </c>
      <c r="D65" t="str">
        <f>Raumbuch!F82</f>
        <v>Kinderzimmer 2</v>
      </c>
      <c r="E65" t="str">
        <f>Raumbuch!G82</f>
        <v>2.2</v>
      </c>
      <c r="F65" t="str">
        <f>Raumbuch!H82</f>
        <v>DALI EVG Spots</v>
      </c>
      <c r="G65" t="str">
        <f>Raumbuch!I82</f>
        <v>Zentral</v>
      </c>
      <c r="H65" t="str">
        <f>Raumbuch!J82</f>
        <v>DALI DT8 EVG</v>
      </c>
      <c r="I65" t="str">
        <f>Raumbuch!K82</f>
        <v>24 V DC</v>
      </c>
      <c r="J65" t="str">
        <f>Raumbuch!N82</f>
        <v>DA1</v>
      </c>
      <c r="K65" t="str">
        <f>Raumbuch!O82</f>
        <v>O2.DA1</v>
      </c>
      <c r="L65" s="11">
        <v>1</v>
      </c>
      <c r="M65" s="11">
        <f t="shared" si="2"/>
        <v>34</v>
      </c>
      <c r="N65" s="14">
        <f t="shared" si="0"/>
        <v>34</v>
      </c>
      <c r="O65" s="15" t="str">
        <f t="shared" si="1"/>
        <v>RK34</v>
      </c>
      <c r="P65" t="s">
        <v>167</v>
      </c>
      <c r="Q65" t="s">
        <v>178</v>
      </c>
      <c r="R65" t="s">
        <v>158</v>
      </c>
      <c r="S65" t="s">
        <v>179</v>
      </c>
    </row>
    <row r="66" spans="2:19" x14ac:dyDescent="0.25">
      <c r="B66" t="str">
        <f>Raumbuch!B83</f>
        <v>Erdgeschoss</v>
      </c>
      <c r="C66" t="str">
        <f>Raumbuch!D83</f>
        <v>E2</v>
      </c>
      <c r="D66" t="str">
        <f>Raumbuch!F83</f>
        <v>WC</v>
      </c>
      <c r="E66" t="str">
        <f>Raumbuch!G83</f>
        <v>1.2</v>
      </c>
      <c r="F66" t="str">
        <f>Raumbuch!H83</f>
        <v>Deckenlautsprecher</v>
      </c>
      <c r="G66" t="str">
        <f>Raumbuch!I83</f>
        <v>Audio</v>
      </c>
      <c r="H66">
        <f>Raumbuch!J83</f>
        <v>0</v>
      </c>
      <c r="I66" t="str">
        <f>Raumbuch!K83</f>
        <v>DIGITAL (potentialfrei)</v>
      </c>
      <c r="J66" t="str">
        <f>Raumbuch!N83</f>
        <v>DL1</v>
      </c>
      <c r="K66" t="str">
        <f>Raumbuch!O83</f>
        <v>E2.DL1</v>
      </c>
      <c r="L66" s="11">
        <v>1</v>
      </c>
      <c r="M66" s="11">
        <f t="shared" si="2"/>
        <v>35</v>
      </c>
      <c r="N66" s="14">
        <f t="shared" si="0"/>
        <v>35</v>
      </c>
      <c r="O66" s="15" t="str">
        <f t="shared" si="1"/>
        <v>RK35</v>
      </c>
      <c r="P66" t="s">
        <v>138</v>
      </c>
      <c r="Q66" s="13" t="s">
        <v>138</v>
      </c>
      <c r="R66" t="s">
        <v>158</v>
      </c>
      <c r="S66" t="s">
        <v>175</v>
      </c>
    </row>
    <row r="67" spans="2:19" x14ac:dyDescent="0.25">
      <c r="B67" t="str">
        <f>Raumbuch!B72</f>
        <v>Obergeschoss</v>
      </c>
      <c r="C67" t="str">
        <f>Raumbuch!D72</f>
        <v>O2</v>
      </c>
      <c r="D67" t="str">
        <f>Raumbuch!F72</f>
        <v>Kinderzimmer 2</v>
      </c>
      <c r="E67" t="str">
        <f>Raumbuch!G72</f>
        <v>2.2</v>
      </c>
      <c r="F67" t="str">
        <f>Raumbuch!H72</f>
        <v>Steckdose Ost 1</v>
      </c>
      <c r="G67" t="str">
        <f>Raumbuch!I72</f>
        <v>Steckdosen</v>
      </c>
      <c r="H67" t="str">
        <f>Raumbuch!J72</f>
        <v>ohne Schaltaktor</v>
      </c>
      <c r="I67" t="str">
        <f>Raumbuch!K72</f>
        <v>230 V AC</v>
      </c>
      <c r="J67" t="str">
        <f>Raumbuch!N72</f>
        <v>SD4</v>
      </c>
      <c r="K67" t="str">
        <f>Raumbuch!O72</f>
        <v>O2.SD4</v>
      </c>
      <c r="L67" s="11">
        <v>0.1111111111111111</v>
      </c>
      <c r="M67" s="11">
        <f t="shared" si="2"/>
        <v>35.111111111111114</v>
      </c>
      <c r="N67" s="14">
        <f t="shared" si="0"/>
        <v>36</v>
      </c>
      <c r="O67" s="15" t="str">
        <f t="shared" si="1"/>
        <v>RK36</v>
      </c>
      <c r="P67" t="s">
        <v>140</v>
      </c>
      <c r="Q67" t="s">
        <v>180</v>
      </c>
      <c r="R67" t="s">
        <v>158</v>
      </c>
      <c r="S67" t="s">
        <v>177</v>
      </c>
    </row>
    <row r="68" spans="2:19" x14ac:dyDescent="0.25">
      <c r="B68" t="str">
        <f>Raumbuch!B73</f>
        <v>Obergeschoss</v>
      </c>
      <c r="C68" t="str">
        <f>Raumbuch!D73</f>
        <v>O2</v>
      </c>
      <c r="D68" t="str">
        <f>Raumbuch!F73</f>
        <v>Kinderzimmer 2</v>
      </c>
      <c r="E68" t="str">
        <f>Raumbuch!G73</f>
        <v>2.2</v>
      </c>
      <c r="F68" t="str">
        <f>Raumbuch!H73</f>
        <v>Steckdose Ost 2</v>
      </c>
      <c r="G68" t="str">
        <f>Raumbuch!I73</f>
        <v>Steckdosen</v>
      </c>
      <c r="H68" t="str">
        <f>Raumbuch!J73</f>
        <v>ohne Schaltaktor</v>
      </c>
      <c r="I68" t="str">
        <f>Raumbuch!K73</f>
        <v>230 V AC</v>
      </c>
      <c r="J68" t="str">
        <f>Raumbuch!N73</f>
        <v>SD5</v>
      </c>
      <c r="K68" t="str">
        <f>Raumbuch!O73</f>
        <v>O2.SD5</v>
      </c>
      <c r="L68" s="11">
        <v>0.1111111111111111</v>
      </c>
      <c r="M68" s="11">
        <f t="shared" si="2"/>
        <v>35.222222222222229</v>
      </c>
      <c r="N68" s="14">
        <f t="shared" ref="N68:N131" si="3">ROUNDUP(M68,0)</f>
        <v>36</v>
      </c>
      <c r="O68" s="15" t="str">
        <f t="shared" ref="O68:O131" si="4">IF(L68&gt;0,"RK"&amp;N68,"-")</f>
        <v>RK36</v>
      </c>
      <c r="P68" t="s">
        <v>140</v>
      </c>
      <c r="Q68" t="s">
        <v>180</v>
      </c>
      <c r="R68" t="s">
        <v>158</v>
      </c>
      <c r="S68" t="s">
        <v>177</v>
      </c>
    </row>
    <row r="69" spans="2:19" x14ac:dyDescent="0.25">
      <c r="B69" t="str">
        <f>Raumbuch!B74</f>
        <v>Obergeschoss</v>
      </c>
      <c r="C69" t="str">
        <f>Raumbuch!D74</f>
        <v>O2</v>
      </c>
      <c r="D69" t="str">
        <f>Raumbuch!F74</f>
        <v>Kinderzimmer 2</v>
      </c>
      <c r="E69" t="str">
        <f>Raumbuch!G74</f>
        <v>2.2</v>
      </c>
      <c r="F69" t="str">
        <f>Raumbuch!H74</f>
        <v>Steckdose Süd 1</v>
      </c>
      <c r="G69" t="str">
        <f>Raumbuch!I74</f>
        <v>Steckdosen</v>
      </c>
      <c r="H69" t="str">
        <f>Raumbuch!J74</f>
        <v>mit Schaltaktor</v>
      </c>
      <c r="I69" t="str">
        <f>Raumbuch!K74</f>
        <v>230 V AC</v>
      </c>
      <c r="J69" t="str">
        <f>Raumbuch!N74</f>
        <v>SD6</v>
      </c>
      <c r="K69" t="str">
        <f>Raumbuch!O74</f>
        <v>O2.SD6</v>
      </c>
      <c r="L69" s="11">
        <v>0.1111111111111111</v>
      </c>
      <c r="M69" s="11">
        <f t="shared" ref="M69:M132" si="5">M68+L69</f>
        <v>35.333333333333343</v>
      </c>
      <c r="N69" s="14">
        <f t="shared" si="3"/>
        <v>36</v>
      </c>
      <c r="O69" s="15" t="str">
        <f t="shared" si="4"/>
        <v>RK36</v>
      </c>
      <c r="P69" t="s">
        <v>140</v>
      </c>
      <c r="Q69" t="s">
        <v>180</v>
      </c>
      <c r="R69" t="s">
        <v>158</v>
      </c>
      <c r="S69" t="s">
        <v>177</v>
      </c>
    </row>
    <row r="70" spans="2:19" x14ac:dyDescent="0.25">
      <c r="B70" t="str">
        <f>Raumbuch!B75</f>
        <v>Obergeschoss</v>
      </c>
      <c r="C70" t="str">
        <f>Raumbuch!D75</f>
        <v>O2</v>
      </c>
      <c r="D70" t="str">
        <f>Raumbuch!F75</f>
        <v>Kinderzimmer 2</v>
      </c>
      <c r="E70" t="str">
        <f>Raumbuch!G75</f>
        <v>2.2</v>
      </c>
      <c r="F70" t="str">
        <f>Raumbuch!H75</f>
        <v>Steckdose Süd 2</v>
      </c>
      <c r="G70" t="str">
        <f>Raumbuch!I75</f>
        <v>Steckdosen</v>
      </c>
      <c r="H70" t="str">
        <f>Raumbuch!J75</f>
        <v>ohne Schaltaktor</v>
      </c>
      <c r="I70" t="str">
        <f>Raumbuch!K75</f>
        <v>230 V AC</v>
      </c>
      <c r="J70" t="str">
        <f>Raumbuch!N75</f>
        <v>SD7</v>
      </c>
      <c r="K70" t="str">
        <f>Raumbuch!O75</f>
        <v>O2.SD7</v>
      </c>
      <c r="L70" s="11">
        <v>0.1111111111111111</v>
      </c>
      <c r="M70" s="11">
        <f t="shared" si="5"/>
        <v>35.444444444444457</v>
      </c>
      <c r="N70" s="14">
        <f t="shared" si="3"/>
        <v>36</v>
      </c>
      <c r="O70" s="15" t="str">
        <f t="shared" si="4"/>
        <v>RK36</v>
      </c>
      <c r="P70" t="s">
        <v>140</v>
      </c>
      <c r="Q70" t="s">
        <v>180</v>
      </c>
      <c r="R70" t="s">
        <v>158</v>
      </c>
      <c r="S70" t="s">
        <v>177</v>
      </c>
    </row>
    <row r="71" spans="2:19" x14ac:dyDescent="0.25">
      <c r="B71" t="str">
        <f>Raumbuch!B76</f>
        <v>Obergeschoss</v>
      </c>
      <c r="C71" t="str">
        <f>Raumbuch!D76</f>
        <v>O2</v>
      </c>
      <c r="D71" t="str">
        <f>Raumbuch!F76</f>
        <v>Kinderzimmer 2</v>
      </c>
      <c r="E71" t="str">
        <f>Raumbuch!G76</f>
        <v>2.2</v>
      </c>
      <c r="F71" t="str">
        <f>Raumbuch!H76</f>
        <v>Steckdose Fenster Süd</v>
      </c>
      <c r="G71" t="str">
        <f>Raumbuch!I76</f>
        <v>Steckdosen</v>
      </c>
      <c r="H71" t="str">
        <f>Raumbuch!J76</f>
        <v>mit Schaltaktor</v>
      </c>
      <c r="I71" t="str">
        <f>Raumbuch!K76</f>
        <v>230 V AC</v>
      </c>
      <c r="J71" t="str">
        <f>Raumbuch!N76</f>
        <v>SD8</v>
      </c>
      <c r="K71" t="str">
        <f>Raumbuch!O76</f>
        <v>O2.SD8</v>
      </c>
      <c r="L71" s="11">
        <v>0.1111111111111111</v>
      </c>
      <c r="M71" s="11">
        <f t="shared" si="5"/>
        <v>35.555555555555571</v>
      </c>
      <c r="N71" s="14">
        <f t="shared" si="3"/>
        <v>36</v>
      </c>
      <c r="O71" s="15" t="str">
        <f t="shared" si="4"/>
        <v>RK36</v>
      </c>
      <c r="P71" t="s">
        <v>140</v>
      </c>
      <c r="Q71" t="s">
        <v>180</v>
      </c>
      <c r="R71" t="s">
        <v>158</v>
      </c>
      <c r="S71" t="s">
        <v>177</v>
      </c>
    </row>
    <row r="72" spans="2:19" x14ac:dyDescent="0.25">
      <c r="B72" t="str">
        <f>Raumbuch!B77</f>
        <v>Obergeschoss</v>
      </c>
      <c r="C72" t="str">
        <f>Raumbuch!D77</f>
        <v>O2</v>
      </c>
      <c r="D72" t="str">
        <f>Raumbuch!F77</f>
        <v>Kinderzimmer 2</v>
      </c>
      <c r="E72" t="str">
        <f>Raumbuch!G77</f>
        <v>2.2</v>
      </c>
      <c r="F72" t="str">
        <f>Raumbuch!H77</f>
        <v>Steckdose West 1</v>
      </c>
      <c r="G72" t="str">
        <f>Raumbuch!I77</f>
        <v>Steckdosen</v>
      </c>
      <c r="H72" t="str">
        <f>Raumbuch!J77</f>
        <v>mit Schaltaktor</v>
      </c>
      <c r="I72" t="str">
        <f>Raumbuch!K77</f>
        <v>230 V AC</v>
      </c>
      <c r="J72" t="str">
        <f>Raumbuch!N77</f>
        <v>SD9</v>
      </c>
      <c r="K72" t="str">
        <f>Raumbuch!O77</f>
        <v>O2.SD9</v>
      </c>
      <c r="L72" s="11">
        <v>0.1111111111111111</v>
      </c>
      <c r="M72" s="11">
        <f t="shared" si="5"/>
        <v>35.666666666666686</v>
      </c>
      <c r="N72" s="14">
        <f t="shared" si="3"/>
        <v>36</v>
      </c>
      <c r="O72" s="15" t="str">
        <f t="shared" si="4"/>
        <v>RK36</v>
      </c>
      <c r="P72" t="s">
        <v>140</v>
      </c>
      <c r="Q72" t="s">
        <v>180</v>
      </c>
      <c r="R72" t="s">
        <v>158</v>
      </c>
      <c r="S72" t="s">
        <v>177</v>
      </c>
    </row>
    <row r="73" spans="2:19" x14ac:dyDescent="0.25">
      <c r="B73" t="str">
        <f>Raumbuch!B78</f>
        <v>Obergeschoss</v>
      </c>
      <c r="C73" t="str">
        <f>Raumbuch!D78</f>
        <v>O2</v>
      </c>
      <c r="D73" t="str">
        <f>Raumbuch!F78</f>
        <v>Kinderzimmer 2</v>
      </c>
      <c r="E73" t="str">
        <f>Raumbuch!G78</f>
        <v>2.2</v>
      </c>
      <c r="F73" t="str">
        <f>Raumbuch!H78</f>
        <v>Steckdose West 2</v>
      </c>
      <c r="G73" t="str">
        <f>Raumbuch!I78</f>
        <v>Steckdosen</v>
      </c>
      <c r="H73" t="str">
        <f>Raumbuch!J78</f>
        <v>ohne Schaltaktor</v>
      </c>
      <c r="I73" t="str">
        <f>Raumbuch!K78</f>
        <v>230 V AC</v>
      </c>
      <c r="J73" t="str">
        <f>Raumbuch!N78</f>
        <v>SD10</v>
      </c>
      <c r="K73" t="str">
        <f>Raumbuch!O78</f>
        <v>O2.SD10</v>
      </c>
      <c r="L73" s="11">
        <v>0.1111111111111111</v>
      </c>
      <c r="M73" s="11">
        <f t="shared" si="5"/>
        <v>35.7777777777778</v>
      </c>
      <c r="N73" s="14">
        <f t="shared" si="3"/>
        <v>36</v>
      </c>
      <c r="O73" s="15" t="str">
        <f t="shared" si="4"/>
        <v>RK36</v>
      </c>
      <c r="P73" t="s">
        <v>140</v>
      </c>
      <c r="Q73" t="s">
        <v>180</v>
      </c>
      <c r="R73" t="s">
        <v>158</v>
      </c>
      <c r="S73" t="s">
        <v>179</v>
      </c>
    </row>
    <row r="74" spans="2:19" x14ac:dyDescent="0.25">
      <c r="B74" t="str">
        <f>Raumbuch!B79</f>
        <v>Obergeschoss</v>
      </c>
      <c r="C74" t="str">
        <f>Raumbuch!D79</f>
        <v>O2</v>
      </c>
      <c r="D74" t="str">
        <f>Raumbuch!F79</f>
        <v>Kinderzimmer 2</v>
      </c>
      <c r="E74" t="str">
        <f>Raumbuch!G79</f>
        <v>2.2</v>
      </c>
      <c r="F74" t="str">
        <f>Raumbuch!H79</f>
        <v>Steckdose West 3</v>
      </c>
      <c r="G74" t="str">
        <f>Raumbuch!I79</f>
        <v>Steckdosen</v>
      </c>
      <c r="H74" t="str">
        <f>Raumbuch!J79</f>
        <v>ohne Schaltaktor</v>
      </c>
      <c r="I74" t="str">
        <f>Raumbuch!K79</f>
        <v>230 V AC</v>
      </c>
      <c r="J74" t="str">
        <f>Raumbuch!N79</f>
        <v>SD11</v>
      </c>
      <c r="K74" t="str">
        <f>Raumbuch!O79</f>
        <v>O2.SD11</v>
      </c>
      <c r="L74" s="11">
        <v>0.1111111111111111</v>
      </c>
      <c r="M74" s="11">
        <f t="shared" si="5"/>
        <v>35.888888888888914</v>
      </c>
      <c r="N74" s="14">
        <f t="shared" si="3"/>
        <v>36</v>
      </c>
      <c r="O74" s="15" t="str">
        <f t="shared" si="4"/>
        <v>RK36</v>
      </c>
      <c r="P74" t="s">
        <v>140</v>
      </c>
      <c r="Q74" t="s">
        <v>180</v>
      </c>
      <c r="R74" t="s">
        <v>158</v>
      </c>
      <c r="S74" t="s">
        <v>175</v>
      </c>
    </row>
    <row r="75" spans="2:19" x14ac:dyDescent="0.25">
      <c r="B75" t="str">
        <f>Raumbuch!B80</f>
        <v>Obergeschoss</v>
      </c>
      <c r="C75" t="str">
        <f>Raumbuch!D80</f>
        <v>O2</v>
      </c>
      <c r="D75" t="str">
        <f>Raumbuch!F80</f>
        <v>Kinderzimmer 2</v>
      </c>
      <c r="E75" t="str">
        <f>Raumbuch!G80</f>
        <v>2.2</v>
      </c>
      <c r="F75" t="str">
        <f>Raumbuch!H80</f>
        <v>Netzwerkdose West</v>
      </c>
      <c r="G75" t="str">
        <f>Raumbuch!I80</f>
        <v>Steckdosen</v>
      </c>
      <c r="H75" t="str">
        <f>Raumbuch!J80</f>
        <v>LAN 2-fach</v>
      </c>
      <c r="I75" t="str">
        <f>Raumbuch!K80</f>
        <v>Ethernet</v>
      </c>
      <c r="J75" t="str">
        <f>Raumbuch!N80</f>
        <v>ND2</v>
      </c>
      <c r="K75" t="str">
        <f>Raumbuch!O80</f>
        <v>O2.ND2</v>
      </c>
      <c r="L75" s="11">
        <v>0.1111111111111111</v>
      </c>
      <c r="M75" s="11">
        <f t="shared" si="5"/>
        <v>36.000000000000028</v>
      </c>
      <c r="N75" s="14">
        <f t="shared" si="3"/>
        <v>36</v>
      </c>
      <c r="O75" s="15" t="str">
        <f t="shared" si="4"/>
        <v>RK36</v>
      </c>
      <c r="P75" t="s">
        <v>140</v>
      </c>
      <c r="Q75" t="s">
        <v>180</v>
      </c>
      <c r="R75" t="s">
        <v>158</v>
      </c>
      <c r="S75" t="s">
        <v>175</v>
      </c>
    </row>
    <row r="76" spans="2:19" x14ac:dyDescent="0.25">
      <c r="B76" t="str">
        <f>Raumbuch!B65</f>
        <v>Obergeschoss</v>
      </c>
      <c r="C76" t="str">
        <f>Raumbuch!D65</f>
        <v>O2</v>
      </c>
      <c r="D76" t="str">
        <f>Raumbuch!F65</f>
        <v>Kinderzimmer 2</v>
      </c>
      <c r="E76" t="str">
        <f>Raumbuch!G65</f>
        <v>2.2</v>
      </c>
      <c r="F76" t="str">
        <f>Raumbuch!H65</f>
        <v>Fensterkontakt Süd</v>
      </c>
      <c r="G76" t="str">
        <f>Raumbuch!I65</f>
        <v>Sensoren</v>
      </c>
      <c r="H76" t="str">
        <f>Raumbuch!J65</f>
        <v>Fensterkontakt Reed</v>
      </c>
      <c r="I76" t="str">
        <f>Raumbuch!K65</f>
        <v>DIGITAL (potentialfrei)</v>
      </c>
      <c r="J76" t="str">
        <f>Raumbuch!N65</f>
        <v>FK1</v>
      </c>
      <c r="K76" t="str">
        <f>Raumbuch!O65</f>
        <v>O2.FK1</v>
      </c>
      <c r="L76" s="11">
        <v>1</v>
      </c>
      <c r="M76" s="11">
        <f t="shared" si="5"/>
        <v>37.000000000000028</v>
      </c>
      <c r="N76" s="14">
        <f t="shared" si="3"/>
        <v>37</v>
      </c>
      <c r="O76" s="15" t="str">
        <f t="shared" si="4"/>
        <v>RK37</v>
      </c>
      <c r="P76" t="s">
        <v>145</v>
      </c>
      <c r="Q76" s="13" t="s">
        <v>181</v>
      </c>
      <c r="R76" t="s">
        <v>158</v>
      </c>
      <c r="S76" t="s">
        <v>175</v>
      </c>
    </row>
    <row r="77" spans="2:19" x14ac:dyDescent="0.25">
      <c r="B77" t="str">
        <f>Raumbuch!B93</f>
        <v>Erdgeschoss</v>
      </c>
      <c r="C77" t="str">
        <f>Raumbuch!D93</f>
        <v>E2</v>
      </c>
      <c r="D77" t="str">
        <f>Raumbuch!F93</f>
        <v>WC</v>
      </c>
      <c r="E77" t="str">
        <f>Raumbuch!G93</f>
        <v>1.2</v>
      </c>
      <c r="F77" t="str">
        <f>Raumbuch!H93</f>
        <v>Steckdose 1</v>
      </c>
      <c r="G77" t="str">
        <f>Raumbuch!I93</f>
        <v>Steckdosen</v>
      </c>
      <c r="H77" t="str">
        <f>Raumbuch!J93</f>
        <v>ohne Schaltaktor</v>
      </c>
      <c r="I77" t="str">
        <f>Raumbuch!K93</f>
        <v>230 V AC</v>
      </c>
      <c r="J77" t="str">
        <f>Raumbuch!N93</f>
        <v>SD2</v>
      </c>
      <c r="K77" t="str">
        <f>Raumbuch!O93</f>
        <v>E2.SD2</v>
      </c>
      <c r="L77" s="11">
        <v>0.2</v>
      </c>
      <c r="M77" s="11">
        <f t="shared" si="5"/>
        <v>37.200000000000031</v>
      </c>
      <c r="N77" s="14">
        <f t="shared" si="3"/>
        <v>38</v>
      </c>
      <c r="O77" s="15" t="str">
        <f t="shared" si="4"/>
        <v>RK38</v>
      </c>
      <c r="P77" t="s">
        <v>140</v>
      </c>
      <c r="Q77" t="s">
        <v>182</v>
      </c>
      <c r="R77" t="s">
        <v>163</v>
      </c>
      <c r="S77" t="s">
        <v>183</v>
      </c>
    </row>
    <row r="78" spans="2:19" x14ac:dyDescent="0.25">
      <c r="B78" t="str">
        <f>Raumbuch!B94</f>
        <v>Erdgeschoss</v>
      </c>
      <c r="C78" t="str">
        <f>Raumbuch!D94</f>
        <v>E2</v>
      </c>
      <c r="D78" t="str">
        <f>Raumbuch!F94</f>
        <v>WC</v>
      </c>
      <c r="E78" t="str">
        <f>Raumbuch!G94</f>
        <v>1.2</v>
      </c>
      <c r="F78" t="str">
        <f>Raumbuch!H94</f>
        <v>Steckdose Waschtisch 1</v>
      </c>
      <c r="G78" t="str">
        <f>Raumbuch!I94</f>
        <v>Steckdosen</v>
      </c>
      <c r="H78" t="str">
        <f>Raumbuch!J94</f>
        <v>ohne Schaltaktor</v>
      </c>
      <c r="I78" t="str">
        <f>Raumbuch!K94</f>
        <v>230 V AC</v>
      </c>
      <c r="J78" t="str">
        <f>Raumbuch!N94</f>
        <v>SD3</v>
      </c>
      <c r="K78" t="str">
        <f>Raumbuch!O94</f>
        <v>E2.SD3</v>
      </c>
      <c r="L78" s="11">
        <v>0.2</v>
      </c>
      <c r="M78" s="11">
        <f t="shared" si="5"/>
        <v>37.400000000000034</v>
      </c>
      <c r="N78" s="14">
        <f t="shared" si="3"/>
        <v>38</v>
      </c>
      <c r="O78" s="15" t="str">
        <f t="shared" si="4"/>
        <v>RK38</v>
      </c>
      <c r="P78" t="s">
        <v>140</v>
      </c>
      <c r="Q78" t="s">
        <v>182</v>
      </c>
      <c r="R78" t="s">
        <v>163</v>
      </c>
      <c r="S78" t="s">
        <v>183</v>
      </c>
    </row>
    <row r="79" spans="2:19" x14ac:dyDescent="0.25">
      <c r="B79" t="str">
        <f>Raumbuch!B95</f>
        <v>Erdgeschoss</v>
      </c>
      <c r="C79" t="str">
        <f>Raumbuch!D95</f>
        <v>E2</v>
      </c>
      <c r="D79" t="str">
        <f>Raumbuch!F95</f>
        <v>WC</v>
      </c>
      <c r="E79" t="str">
        <f>Raumbuch!G95</f>
        <v>1.2</v>
      </c>
      <c r="F79" t="str">
        <f>Raumbuch!H95</f>
        <v>Steckdose Waschtisch 2</v>
      </c>
      <c r="G79" t="str">
        <f>Raumbuch!I95</f>
        <v>Steckdosen</v>
      </c>
      <c r="H79" t="str">
        <f>Raumbuch!J95</f>
        <v>ohne Schaltaktor</v>
      </c>
      <c r="I79" t="str">
        <f>Raumbuch!K95</f>
        <v>230 V AC</v>
      </c>
      <c r="J79" t="str">
        <f>Raumbuch!N95</f>
        <v>SD4</v>
      </c>
      <c r="K79" t="str">
        <f>Raumbuch!O95</f>
        <v>E2.SD4</v>
      </c>
      <c r="L79" s="11">
        <v>0.2</v>
      </c>
      <c r="M79" s="11">
        <f t="shared" si="5"/>
        <v>37.600000000000037</v>
      </c>
      <c r="N79" s="14">
        <f t="shared" si="3"/>
        <v>38</v>
      </c>
      <c r="O79" s="15" t="str">
        <f t="shared" si="4"/>
        <v>RK38</v>
      </c>
      <c r="P79" t="s">
        <v>140</v>
      </c>
      <c r="Q79" t="s">
        <v>182</v>
      </c>
      <c r="R79" t="s">
        <v>163</v>
      </c>
      <c r="S79" t="s">
        <v>183</v>
      </c>
    </row>
    <row r="80" spans="2:19" x14ac:dyDescent="0.25">
      <c r="B80" t="str">
        <f>Raumbuch!B96</f>
        <v>Erdgeschoss</v>
      </c>
      <c r="C80" t="str">
        <f>Raumbuch!D96</f>
        <v>E2</v>
      </c>
      <c r="D80" t="str">
        <f>Raumbuch!F96</f>
        <v>WC</v>
      </c>
      <c r="E80" t="str">
        <f>Raumbuch!G96</f>
        <v>1.2</v>
      </c>
      <c r="F80" t="str">
        <f>Raumbuch!H96</f>
        <v>Steckdose Fenster</v>
      </c>
      <c r="G80" t="str">
        <f>Raumbuch!I96</f>
        <v>Steckdosen</v>
      </c>
      <c r="H80" t="str">
        <f>Raumbuch!J96</f>
        <v>mit Schaltaktor</v>
      </c>
      <c r="I80" t="str">
        <f>Raumbuch!K96</f>
        <v>230 V AC</v>
      </c>
      <c r="J80" t="str">
        <f>Raumbuch!N96</f>
        <v>SD5</v>
      </c>
      <c r="K80" t="str">
        <f>Raumbuch!O96</f>
        <v>E2.SD5</v>
      </c>
      <c r="L80" s="11">
        <v>0.2</v>
      </c>
      <c r="M80" s="11">
        <f t="shared" si="5"/>
        <v>37.80000000000004</v>
      </c>
      <c r="N80" s="14">
        <f t="shared" si="3"/>
        <v>38</v>
      </c>
      <c r="O80" s="15" t="str">
        <f t="shared" si="4"/>
        <v>RK38</v>
      </c>
      <c r="P80" t="s">
        <v>140</v>
      </c>
      <c r="Q80" t="s">
        <v>182</v>
      </c>
      <c r="R80" t="s">
        <v>163</v>
      </c>
      <c r="S80" t="s">
        <v>183</v>
      </c>
    </row>
    <row r="81" spans="2:19" x14ac:dyDescent="0.25">
      <c r="B81" t="str">
        <f>Raumbuch!B97</f>
        <v>Erdgeschoss</v>
      </c>
      <c r="C81" t="str">
        <f>Raumbuch!D97</f>
        <v>E2</v>
      </c>
      <c r="D81" t="str">
        <f>Raumbuch!F97</f>
        <v>WC</v>
      </c>
      <c r="E81" t="str">
        <f>Raumbuch!G97</f>
        <v>1.2</v>
      </c>
      <c r="F81" t="str">
        <f>Raumbuch!H97</f>
        <v>DALI UP-Dimmer Waschtisch</v>
      </c>
      <c r="G81" t="str">
        <f>Raumbuch!I97</f>
        <v>Zentral</v>
      </c>
      <c r="H81" t="str">
        <f>Raumbuch!J97</f>
        <v>DALI UP-Dimmer</v>
      </c>
      <c r="I81" t="str">
        <f>Raumbuch!K97</f>
        <v>230 V AC</v>
      </c>
      <c r="J81" t="str">
        <f>Raumbuch!N97</f>
        <v>DA1</v>
      </c>
      <c r="K81" t="str">
        <f>Raumbuch!O97</f>
        <v>E2.DA1</v>
      </c>
      <c r="L81" s="11">
        <v>0.2</v>
      </c>
      <c r="M81" s="11">
        <f t="shared" si="5"/>
        <v>38.000000000000043</v>
      </c>
      <c r="N81" s="14">
        <f t="shared" si="3"/>
        <v>38</v>
      </c>
      <c r="O81" s="15" t="str">
        <f t="shared" si="4"/>
        <v>RK38</v>
      </c>
      <c r="P81" t="s">
        <v>140</v>
      </c>
      <c r="Q81" t="s">
        <v>182</v>
      </c>
      <c r="R81" t="s">
        <v>163</v>
      </c>
      <c r="S81" t="s">
        <v>183</v>
      </c>
    </row>
    <row r="82" spans="2:19" x14ac:dyDescent="0.25">
      <c r="B82" t="str">
        <f>Raumbuch!B84</f>
        <v>Erdgeschoss</v>
      </c>
      <c r="C82" t="str">
        <f>Raumbuch!D84</f>
        <v>E2</v>
      </c>
      <c r="D82" t="str">
        <f>Raumbuch!F84</f>
        <v>WC</v>
      </c>
      <c r="E82" t="str">
        <f>Raumbuch!G84</f>
        <v>1.2</v>
      </c>
      <c r="F82" t="str">
        <f>Raumbuch!H84</f>
        <v>Hängelampe Waschtisch</v>
      </c>
      <c r="G82" t="str">
        <f>Raumbuch!I84</f>
        <v>Beleuchtung</v>
      </c>
      <c r="H82" t="str">
        <f>Raumbuch!J84</f>
        <v>dimmbar</v>
      </c>
      <c r="I82" t="str">
        <f>Raumbuch!K84</f>
        <v>DALI</v>
      </c>
      <c r="J82" t="str">
        <f>Raumbuch!N84</f>
        <v>BL1</v>
      </c>
      <c r="K82" t="str">
        <f>Raumbuch!O84</f>
        <v>E2.BL1</v>
      </c>
      <c r="L82" s="11">
        <v>0</v>
      </c>
      <c r="M82" s="11">
        <f t="shared" si="5"/>
        <v>38.000000000000043</v>
      </c>
      <c r="N82" s="14">
        <f t="shared" si="3"/>
        <v>38</v>
      </c>
      <c r="O82" s="15" t="str">
        <f t="shared" si="4"/>
        <v>-</v>
      </c>
      <c r="P82" t="s">
        <v>137</v>
      </c>
      <c r="Q82" s="13" t="s">
        <v>138</v>
      </c>
      <c r="R82" t="s">
        <v>158</v>
      </c>
      <c r="S82" t="s">
        <v>184</v>
      </c>
    </row>
    <row r="83" spans="2:19" x14ac:dyDescent="0.25">
      <c r="B83" t="str">
        <f>Raumbuch!B85</f>
        <v>Erdgeschoss</v>
      </c>
      <c r="C83" t="str">
        <f>Raumbuch!D85</f>
        <v>E2</v>
      </c>
      <c r="D83" t="str">
        <f>Raumbuch!F85</f>
        <v>WC</v>
      </c>
      <c r="E83" t="str">
        <f>Raumbuch!G85</f>
        <v>1.2</v>
      </c>
      <c r="F83" t="str">
        <f>Raumbuch!H85</f>
        <v>Spot WC 1</v>
      </c>
      <c r="G83" t="str">
        <f>Raumbuch!I85</f>
        <v>Beleuchtung</v>
      </c>
      <c r="H83" t="str">
        <f>Raumbuch!J85</f>
        <v>tunable white</v>
      </c>
      <c r="I83" t="str">
        <f>Raumbuch!K85</f>
        <v>DALI</v>
      </c>
      <c r="J83" t="str">
        <f>Raumbuch!N85</f>
        <v>BL2</v>
      </c>
      <c r="K83" t="str">
        <f>Raumbuch!O85</f>
        <v>E2.BL2</v>
      </c>
      <c r="L83" s="11">
        <v>0</v>
      </c>
      <c r="M83" s="11">
        <f t="shared" si="5"/>
        <v>38.000000000000043</v>
      </c>
      <c r="N83" s="14">
        <f t="shared" si="3"/>
        <v>38</v>
      </c>
      <c r="O83" s="15" t="str">
        <f t="shared" si="4"/>
        <v>-</v>
      </c>
      <c r="P83" t="s">
        <v>137</v>
      </c>
      <c r="Q83" s="13" t="s">
        <v>138</v>
      </c>
      <c r="R83" s="13" t="s">
        <v>138</v>
      </c>
      <c r="S83" s="13" t="s">
        <v>138</v>
      </c>
    </row>
    <row r="84" spans="2:19" x14ac:dyDescent="0.25">
      <c r="B84" t="str">
        <f>Raumbuch!B86</f>
        <v>Erdgeschoss</v>
      </c>
      <c r="C84" t="str">
        <f>Raumbuch!D86</f>
        <v>E2</v>
      </c>
      <c r="D84" t="str">
        <f>Raumbuch!F86</f>
        <v>WC</v>
      </c>
      <c r="E84" t="str">
        <f>Raumbuch!G86</f>
        <v>1.2</v>
      </c>
      <c r="F84" t="str">
        <f>Raumbuch!H86</f>
        <v>Spot WC 2</v>
      </c>
      <c r="G84" t="str">
        <f>Raumbuch!I86</f>
        <v>Beleuchtung</v>
      </c>
      <c r="H84" t="str">
        <f>Raumbuch!J86</f>
        <v>tunable white</v>
      </c>
      <c r="I84" t="str">
        <f>Raumbuch!K86</f>
        <v>DALI</v>
      </c>
      <c r="J84" t="str">
        <f>Raumbuch!N86</f>
        <v>BL3</v>
      </c>
      <c r="K84" t="str">
        <f>Raumbuch!O86</f>
        <v>E2.BL3</v>
      </c>
      <c r="L84" s="11">
        <v>0</v>
      </c>
      <c r="M84" s="11">
        <f t="shared" si="5"/>
        <v>38.000000000000043</v>
      </c>
      <c r="N84" s="14">
        <f t="shared" si="3"/>
        <v>38</v>
      </c>
      <c r="O84" s="15" t="str">
        <f t="shared" si="4"/>
        <v>-</v>
      </c>
      <c r="P84" t="s">
        <v>137</v>
      </c>
      <c r="Q84" s="13" t="s">
        <v>138</v>
      </c>
      <c r="R84" s="13" t="s">
        <v>138</v>
      </c>
      <c r="S84" s="13" t="s">
        <v>138</v>
      </c>
    </row>
    <row r="85" spans="2:19" x14ac:dyDescent="0.25">
      <c r="B85" t="str">
        <f>Raumbuch!B87</f>
        <v>Erdgeschoss</v>
      </c>
      <c r="C85" t="str">
        <f>Raumbuch!D87</f>
        <v>E2</v>
      </c>
      <c r="D85" t="str">
        <f>Raumbuch!F87</f>
        <v>WC</v>
      </c>
      <c r="E85" t="str">
        <f>Raumbuch!G87</f>
        <v>1.2</v>
      </c>
      <c r="F85" t="str">
        <f>Raumbuch!H87</f>
        <v>Spot Dusche 1</v>
      </c>
      <c r="G85" t="str">
        <f>Raumbuch!I87</f>
        <v>Beleuchtung</v>
      </c>
      <c r="H85" t="str">
        <f>Raumbuch!J87</f>
        <v>tunable white</v>
      </c>
      <c r="I85" t="str">
        <f>Raumbuch!K87</f>
        <v>DALI</v>
      </c>
      <c r="J85" t="str">
        <f>Raumbuch!N87</f>
        <v>BL4</v>
      </c>
      <c r="K85" t="str">
        <f>Raumbuch!O87</f>
        <v>E2.BL4</v>
      </c>
      <c r="L85" s="11">
        <v>0</v>
      </c>
      <c r="M85" s="11">
        <f t="shared" si="5"/>
        <v>38.000000000000043</v>
      </c>
      <c r="N85" s="14">
        <f t="shared" si="3"/>
        <v>38</v>
      </c>
      <c r="O85" s="15" t="str">
        <f t="shared" si="4"/>
        <v>-</v>
      </c>
      <c r="P85" t="s">
        <v>161</v>
      </c>
      <c r="Q85" t="s">
        <v>178</v>
      </c>
      <c r="R85" s="13" t="s">
        <v>138</v>
      </c>
      <c r="S85" s="13" t="s">
        <v>138</v>
      </c>
    </row>
    <row r="86" spans="2:19" x14ac:dyDescent="0.25">
      <c r="B86" t="str">
        <f>Raumbuch!B88</f>
        <v>Erdgeschoss</v>
      </c>
      <c r="C86" t="str">
        <f>Raumbuch!D88</f>
        <v>E2</v>
      </c>
      <c r="D86" t="str">
        <f>Raumbuch!F88</f>
        <v>WC</v>
      </c>
      <c r="E86" t="str">
        <f>Raumbuch!G88</f>
        <v>1.2</v>
      </c>
      <c r="F86" t="str">
        <f>Raumbuch!H88</f>
        <v>Spot Dusche 2</v>
      </c>
      <c r="G86" t="str">
        <f>Raumbuch!I88</f>
        <v>Beleuchtung</v>
      </c>
      <c r="H86" t="str">
        <f>Raumbuch!J88</f>
        <v>tunable white</v>
      </c>
      <c r="I86" t="str">
        <f>Raumbuch!K88</f>
        <v>DALI</v>
      </c>
      <c r="J86" t="str">
        <f>Raumbuch!N88</f>
        <v>BL5</v>
      </c>
      <c r="K86" t="str">
        <f>Raumbuch!O88</f>
        <v>E2.BL5</v>
      </c>
      <c r="L86" s="11">
        <v>0</v>
      </c>
      <c r="M86" s="11">
        <f t="shared" si="5"/>
        <v>38.000000000000043</v>
      </c>
      <c r="N86" s="14">
        <f t="shared" si="3"/>
        <v>38</v>
      </c>
      <c r="O86" s="15" t="str">
        <f t="shared" si="4"/>
        <v>-</v>
      </c>
      <c r="P86" t="s">
        <v>139</v>
      </c>
      <c r="Q86" s="13" t="s">
        <v>138</v>
      </c>
      <c r="R86" s="13" t="s">
        <v>138</v>
      </c>
      <c r="S86" s="13" t="s">
        <v>138</v>
      </c>
    </row>
    <row r="87" spans="2:19" x14ac:dyDescent="0.25">
      <c r="B87" t="str">
        <f>Raumbuch!B89</f>
        <v>Erdgeschoss</v>
      </c>
      <c r="C87" t="str">
        <f>Raumbuch!D89</f>
        <v>E2</v>
      </c>
      <c r="D87" t="str">
        <f>Raumbuch!F89</f>
        <v>WC</v>
      </c>
      <c r="E87" t="str">
        <f>Raumbuch!G89</f>
        <v>1.2</v>
      </c>
      <c r="F87" t="str">
        <f>Raumbuch!H89</f>
        <v>LED Stripe Spiegel</v>
      </c>
      <c r="G87" t="str">
        <f>Raumbuch!I89</f>
        <v>Beleuchtung</v>
      </c>
      <c r="H87" t="str">
        <f>Raumbuch!J89</f>
        <v>dimmbar</v>
      </c>
      <c r="I87" t="str">
        <f>Raumbuch!K89</f>
        <v>DALI</v>
      </c>
      <c r="J87" t="str">
        <f>Raumbuch!N89</f>
        <v>BL6</v>
      </c>
      <c r="K87" t="str">
        <f>Raumbuch!O89</f>
        <v>E2.BL6</v>
      </c>
      <c r="L87" s="11">
        <v>0</v>
      </c>
      <c r="M87" s="11">
        <f t="shared" si="5"/>
        <v>38.000000000000043</v>
      </c>
      <c r="N87" s="14">
        <f t="shared" si="3"/>
        <v>38</v>
      </c>
      <c r="O87" s="15" t="str">
        <f t="shared" si="4"/>
        <v>-</v>
      </c>
      <c r="P87" t="s">
        <v>138</v>
      </c>
      <c r="Q87" s="13" t="s">
        <v>138</v>
      </c>
      <c r="R87" s="13" t="s">
        <v>138</v>
      </c>
      <c r="S87" s="13" t="s">
        <v>138</v>
      </c>
    </row>
    <row r="88" spans="2:19" x14ac:dyDescent="0.25">
      <c r="B88" t="str">
        <f>Raumbuch!B90</f>
        <v>Erdgeschoss</v>
      </c>
      <c r="C88" t="str">
        <f>Raumbuch!D90</f>
        <v>E2</v>
      </c>
      <c r="D88" t="str">
        <f>Raumbuch!F90</f>
        <v>WC</v>
      </c>
      <c r="E88" t="str">
        <f>Raumbuch!G90</f>
        <v>1.2</v>
      </c>
      <c r="F88" t="str">
        <f>Raumbuch!H90</f>
        <v>Anschluss Rolladen</v>
      </c>
      <c r="G88" t="str">
        <f>Raumbuch!I90</f>
        <v>Beschattung</v>
      </c>
      <c r="H88" t="str">
        <f>Raumbuch!J90</f>
        <v>Rollladen</v>
      </c>
      <c r="I88" t="str">
        <f>Raumbuch!K90</f>
        <v>230 V AC - Beschattung</v>
      </c>
      <c r="J88" t="str">
        <f>Raumbuch!N90</f>
        <v>R1</v>
      </c>
      <c r="K88" t="str">
        <f>Raumbuch!O90</f>
        <v>E2.R1</v>
      </c>
      <c r="L88" s="11">
        <v>1</v>
      </c>
      <c r="M88" s="11">
        <f t="shared" si="5"/>
        <v>39.000000000000043</v>
      </c>
      <c r="N88" s="14">
        <f t="shared" si="3"/>
        <v>39</v>
      </c>
      <c r="O88" s="15" t="str">
        <f t="shared" si="4"/>
        <v>RK39</v>
      </c>
      <c r="P88" t="s">
        <v>85</v>
      </c>
      <c r="Q88" t="s">
        <v>105</v>
      </c>
      <c r="R88" s="13" t="s">
        <v>138</v>
      </c>
      <c r="S88" s="13" t="s">
        <v>138</v>
      </c>
    </row>
    <row r="89" spans="2:19" x14ac:dyDescent="0.25">
      <c r="B89" t="str">
        <f>Raumbuch!B91</f>
        <v>Erdgeschoss</v>
      </c>
      <c r="C89" t="str">
        <f>Raumbuch!D91</f>
        <v>E2</v>
      </c>
      <c r="D89" t="str">
        <f>Raumbuch!F91</f>
        <v>WC</v>
      </c>
      <c r="E89" t="str">
        <f>Raumbuch!G91</f>
        <v>1.2</v>
      </c>
      <c r="F89" t="str">
        <f>Raumbuch!H91</f>
        <v>Fensterkontakt</v>
      </c>
      <c r="G89" t="str">
        <f>Raumbuch!I91</f>
        <v>Sensoren</v>
      </c>
      <c r="H89" t="str">
        <f>Raumbuch!J91</f>
        <v>Fensterkontakt Reed</v>
      </c>
      <c r="I89" t="str">
        <f>Raumbuch!K91</f>
        <v>DIGITAL (potentialfrei)</v>
      </c>
      <c r="J89" t="str">
        <f>Raumbuch!N91</f>
        <v>FK1</v>
      </c>
      <c r="K89" t="str">
        <f>Raumbuch!O91</f>
        <v>E2.FK1</v>
      </c>
      <c r="L89" s="11">
        <v>0.5</v>
      </c>
      <c r="M89" s="11">
        <f t="shared" si="5"/>
        <v>39.500000000000043</v>
      </c>
      <c r="N89" s="14">
        <f t="shared" si="3"/>
        <v>40</v>
      </c>
      <c r="O89" s="15" t="str">
        <f t="shared" si="4"/>
        <v>RK40</v>
      </c>
      <c r="P89" t="s">
        <v>138</v>
      </c>
      <c r="Q89" s="13" t="s">
        <v>138</v>
      </c>
      <c r="R89" t="s">
        <v>163</v>
      </c>
      <c r="S89" t="s">
        <v>176</v>
      </c>
    </row>
    <row r="90" spans="2:19" x14ac:dyDescent="0.25">
      <c r="B90" t="str">
        <f>Raumbuch!B92</f>
        <v>Erdgeschoss</v>
      </c>
      <c r="C90" t="str">
        <f>Raumbuch!D92</f>
        <v>E2</v>
      </c>
      <c r="D90" t="str">
        <f>Raumbuch!F92</f>
        <v>WC</v>
      </c>
      <c r="E90" t="str">
        <f>Raumbuch!G92</f>
        <v>1.2</v>
      </c>
      <c r="F90" t="str">
        <f>Raumbuch!H92</f>
        <v>Anschluss Dusch-WC</v>
      </c>
      <c r="G90" t="str">
        <f>Raumbuch!I92</f>
        <v>Steckdosen</v>
      </c>
      <c r="H90" t="str">
        <f>Raumbuch!J92</f>
        <v>Anschluss ohne Steckdose</v>
      </c>
      <c r="I90" t="str">
        <f>Raumbuch!K92</f>
        <v>230 V AC</v>
      </c>
      <c r="J90" t="str">
        <f>Raumbuch!N92</f>
        <v>SD1</v>
      </c>
      <c r="K90" t="str">
        <f>Raumbuch!O92</f>
        <v>E2.SD1</v>
      </c>
      <c r="L90" s="11">
        <v>0.5</v>
      </c>
      <c r="M90" s="11">
        <f t="shared" si="5"/>
        <v>40.000000000000043</v>
      </c>
      <c r="N90" s="14">
        <f t="shared" si="3"/>
        <v>40</v>
      </c>
      <c r="O90" s="15" t="str">
        <f t="shared" si="4"/>
        <v>RK40</v>
      </c>
      <c r="P90" t="s">
        <v>138</v>
      </c>
      <c r="Q90" s="13" t="s">
        <v>138</v>
      </c>
      <c r="R90" t="s">
        <v>163</v>
      </c>
      <c r="S90" t="s">
        <v>159</v>
      </c>
    </row>
    <row r="91" spans="2:19" x14ac:dyDescent="0.25">
      <c r="B91" t="str">
        <f>Raumbuch!B98</f>
        <v>Erdgeschoss</v>
      </c>
      <c r="C91" t="str">
        <f>Raumbuch!D98</f>
        <v>E2</v>
      </c>
      <c r="D91" t="str">
        <f>Raumbuch!F98</f>
        <v>WC</v>
      </c>
      <c r="E91" t="str">
        <f>Raumbuch!G98</f>
        <v>1.2</v>
      </c>
      <c r="F91" t="str">
        <f>Raumbuch!H98</f>
        <v>DALI EVG Spots</v>
      </c>
      <c r="G91" t="str">
        <f>Raumbuch!I98</f>
        <v>Zentral</v>
      </c>
      <c r="H91" t="str">
        <f>Raumbuch!J98</f>
        <v>DALI DT8 EVG</v>
      </c>
      <c r="I91" t="str">
        <f>Raumbuch!K98</f>
        <v>24 V DC</v>
      </c>
      <c r="J91" t="str">
        <f>Raumbuch!N98</f>
        <v>DA2</v>
      </c>
      <c r="K91" t="str">
        <f>Raumbuch!O98</f>
        <v>E2.DA2</v>
      </c>
      <c r="L91" s="11">
        <v>0.5</v>
      </c>
      <c r="M91" s="11">
        <f t="shared" si="5"/>
        <v>40.500000000000043</v>
      </c>
      <c r="N91" s="14">
        <f t="shared" si="3"/>
        <v>41</v>
      </c>
      <c r="O91" s="15" t="str">
        <f t="shared" si="4"/>
        <v>RK41</v>
      </c>
      <c r="P91" t="s">
        <v>138</v>
      </c>
      <c r="Q91" s="13" t="s">
        <v>138</v>
      </c>
      <c r="R91" t="s">
        <v>163</v>
      </c>
      <c r="S91" t="s">
        <v>183</v>
      </c>
    </row>
    <row r="92" spans="2:19" x14ac:dyDescent="0.25">
      <c r="B92" t="str">
        <f>Raumbuch!B99</f>
        <v>Erdgeschoss</v>
      </c>
      <c r="C92" t="str">
        <f>Raumbuch!D99</f>
        <v>E2</v>
      </c>
      <c r="D92" t="str">
        <f>Raumbuch!F99</f>
        <v>WC</v>
      </c>
      <c r="E92" t="str">
        <f>Raumbuch!G99</f>
        <v>1.2</v>
      </c>
      <c r="F92" t="str">
        <f>Raumbuch!H99</f>
        <v>DALI EVG Spiegel</v>
      </c>
      <c r="G92" t="str">
        <f>Raumbuch!I99</f>
        <v>Zentral</v>
      </c>
      <c r="H92" t="str">
        <f>Raumbuch!J99</f>
        <v>DALI DT6 EVG</v>
      </c>
      <c r="I92" t="str">
        <f>Raumbuch!K99</f>
        <v>24 V DC</v>
      </c>
      <c r="J92" t="str">
        <f>Raumbuch!N99</f>
        <v>DA3</v>
      </c>
      <c r="K92" t="str">
        <f>Raumbuch!O99</f>
        <v>E2.DA3</v>
      </c>
      <c r="L92" s="11">
        <v>0.5</v>
      </c>
      <c r="M92" s="11">
        <f t="shared" si="5"/>
        <v>41.000000000000043</v>
      </c>
      <c r="N92" s="14">
        <f t="shared" si="3"/>
        <v>41</v>
      </c>
      <c r="O92" s="15" t="str">
        <f t="shared" si="4"/>
        <v>RK41</v>
      </c>
      <c r="P92" t="s">
        <v>145</v>
      </c>
      <c r="Q92" t="s">
        <v>172</v>
      </c>
      <c r="R92" t="s">
        <v>163</v>
      </c>
      <c r="S92" t="s">
        <v>171</v>
      </c>
    </row>
    <row r="93" spans="2:19" x14ac:dyDescent="0.25">
      <c r="B93" t="str">
        <f>Raumbuch!B100</f>
        <v>Erdgeschoss</v>
      </c>
      <c r="C93" t="str">
        <f>Raumbuch!D100</f>
        <v>E3</v>
      </c>
      <c r="D93" t="str">
        <f>Raumbuch!F100</f>
        <v>Büro</v>
      </c>
      <c r="E93" t="str">
        <f>Raumbuch!G100</f>
        <v>1.3</v>
      </c>
      <c r="F93" t="str">
        <f>Raumbuch!H100</f>
        <v>Deckenlautsprecher 1</v>
      </c>
      <c r="G93" t="str">
        <f>Raumbuch!I100</f>
        <v>Audio</v>
      </c>
      <c r="H93">
        <f>Raumbuch!J100</f>
        <v>0</v>
      </c>
      <c r="I93" t="str">
        <f>Raumbuch!K100</f>
        <v>DIGITAL (potentialfrei)</v>
      </c>
      <c r="J93" t="str">
        <f>Raumbuch!N100</f>
        <v>DL1</v>
      </c>
      <c r="K93" t="str">
        <f>Raumbuch!O100</f>
        <v>E3.DL1</v>
      </c>
      <c r="L93" s="11">
        <v>1</v>
      </c>
      <c r="M93" s="11">
        <f t="shared" si="5"/>
        <v>42.000000000000043</v>
      </c>
      <c r="N93" s="14">
        <f t="shared" si="3"/>
        <v>42</v>
      </c>
      <c r="O93" s="15" t="str">
        <f t="shared" si="4"/>
        <v>RK42</v>
      </c>
      <c r="P93" t="s">
        <v>145</v>
      </c>
      <c r="Q93" t="s">
        <v>173</v>
      </c>
      <c r="R93" t="s">
        <v>163</v>
      </c>
      <c r="S93" t="s">
        <v>171</v>
      </c>
    </row>
    <row r="94" spans="2:19" x14ac:dyDescent="0.25">
      <c r="B94" t="str">
        <f>Raumbuch!B107</f>
        <v>Erdgeschoss</v>
      </c>
      <c r="C94" t="str">
        <f>Raumbuch!D107</f>
        <v>E3</v>
      </c>
      <c r="D94" t="str">
        <f>Raumbuch!F107</f>
        <v>Büro</v>
      </c>
      <c r="E94" t="str">
        <f>Raumbuch!G107</f>
        <v>1.3</v>
      </c>
      <c r="F94" t="str">
        <f>Raumbuch!H107</f>
        <v>Fensterkontakt West</v>
      </c>
      <c r="G94" t="str">
        <f>Raumbuch!I107</f>
        <v>Sensoren</v>
      </c>
      <c r="H94" t="str">
        <f>Raumbuch!J107</f>
        <v>Fensterkontakt Reed</v>
      </c>
      <c r="I94" t="str">
        <f>Raumbuch!K107</f>
        <v>DIGITAL (potentialfrei)</v>
      </c>
      <c r="J94" t="str">
        <f>Raumbuch!N107</f>
        <v>FK2</v>
      </c>
      <c r="K94" t="str">
        <f>Raumbuch!O107</f>
        <v>E3.FK2</v>
      </c>
      <c r="L94" s="11">
        <v>1</v>
      </c>
      <c r="M94" s="11">
        <f t="shared" si="5"/>
        <v>43.000000000000043</v>
      </c>
      <c r="N94" s="14">
        <f t="shared" si="3"/>
        <v>43</v>
      </c>
      <c r="O94" s="15" t="str">
        <f t="shared" si="4"/>
        <v>RK43</v>
      </c>
      <c r="P94" t="s">
        <v>140</v>
      </c>
      <c r="Q94" t="s">
        <v>185</v>
      </c>
      <c r="R94" t="s">
        <v>163</v>
      </c>
      <c r="S94" t="s">
        <v>171</v>
      </c>
    </row>
    <row r="95" spans="2:19" x14ac:dyDescent="0.25">
      <c r="B95" t="str">
        <f>Raumbuch!B108</f>
        <v>Erdgeschoss</v>
      </c>
      <c r="C95" t="str">
        <f>Raumbuch!D108</f>
        <v>E3</v>
      </c>
      <c r="D95" t="str">
        <f>Raumbuch!F108</f>
        <v>Büro</v>
      </c>
      <c r="E95" t="str">
        <f>Raumbuch!G108</f>
        <v>1.3</v>
      </c>
      <c r="F95" t="str">
        <f>Raumbuch!H108</f>
        <v>Präsenzmelder</v>
      </c>
      <c r="G95" t="str">
        <f>Raumbuch!I108</f>
        <v>Sensoren</v>
      </c>
      <c r="H95" t="str">
        <f>Raumbuch!J108</f>
        <v>Präsenzmelder mit KLR</v>
      </c>
      <c r="I95" t="str">
        <f>Raumbuch!K108</f>
        <v>KNX</v>
      </c>
      <c r="J95" t="str">
        <f>Raumbuch!N108</f>
        <v>PM1</v>
      </c>
      <c r="K95" t="str">
        <f>Raumbuch!O108</f>
        <v>E3.PM1</v>
      </c>
      <c r="L95" s="11">
        <v>1</v>
      </c>
      <c r="M95" s="11">
        <f t="shared" si="5"/>
        <v>44.000000000000043</v>
      </c>
      <c r="N95" s="14">
        <f t="shared" si="3"/>
        <v>44</v>
      </c>
      <c r="O95" s="15" t="str">
        <f t="shared" si="4"/>
        <v>RK44</v>
      </c>
      <c r="P95" t="s">
        <v>140</v>
      </c>
      <c r="Q95" t="s">
        <v>186</v>
      </c>
      <c r="R95" t="s">
        <v>163</v>
      </c>
      <c r="S95" t="s">
        <v>169</v>
      </c>
    </row>
    <row r="96" spans="2:19" x14ac:dyDescent="0.25">
      <c r="B96" t="str">
        <f>Raumbuch!B101</f>
        <v>Erdgeschoss</v>
      </c>
      <c r="C96" t="str">
        <f>Raumbuch!D101</f>
        <v>E3</v>
      </c>
      <c r="D96" t="str">
        <f>Raumbuch!F101</f>
        <v>Büro</v>
      </c>
      <c r="E96" t="str">
        <f>Raumbuch!G101</f>
        <v>1.3</v>
      </c>
      <c r="F96" t="str">
        <f>Raumbuch!H101</f>
        <v>Deckenlautsprecher 2</v>
      </c>
      <c r="G96" t="str">
        <f>Raumbuch!I101</f>
        <v>Audio</v>
      </c>
      <c r="H96">
        <f>Raumbuch!J101</f>
        <v>0</v>
      </c>
      <c r="I96" t="str">
        <f>Raumbuch!K101</f>
        <v>DIGITAL (potentialfrei)</v>
      </c>
      <c r="J96" t="str">
        <f>Raumbuch!N101</f>
        <v>DL2</v>
      </c>
      <c r="K96" t="str">
        <f>Raumbuch!O101</f>
        <v>E3.DL2</v>
      </c>
      <c r="L96" s="11">
        <v>0</v>
      </c>
      <c r="M96" s="11">
        <f t="shared" si="5"/>
        <v>44.000000000000043</v>
      </c>
      <c r="N96" s="14">
        <f t="shared" si="3"/>
        <v>44</v>
      </c>
      <c r="O96" s="15" t="str">
        <f t="shared" si="4"/>
        <v>-</v>
      </c>
      <c r="P96" t="s">
        <v>137</v>
      </c>
      <c r="Q96" s="13" t="s">
        <v>138</v>
      </c>
      <c r="R96" t="s">
        <v>163</v>
      </c>
      <c r="S96" t="s">
        <v>171</v>
      </c>
    </row>
    <row r="97" spans="2:19" x14ac:dyDescent="0.25">
      <c r="B97" t="str">
        <f>Raumbuch!B102</f>
        <v>Erdgeschoss</v>
      </c>
      <c r="C97" t="str">
        <f>Raumbuch!D102</f>
        <v>E3</v>
      </c>
      <c r="D97" t="str">
        <f>Raumbuch!F102</f>
        <v>Büro</v>
      </c>
      <c r="E97" t="str">
        <f>Raumbuch!G102</f>
        <v>1.3</v>
      </c>
      <c r="F97" t="str">
        <f>Raumbuch!H102</f>
        <v>Spots n</v>
      </c>
      <c r="G97" t="str">
        <f>Raumbuch!I102</f>
        <v>Beleuchtung</v>
      </c>
      <c r="H97" t="str">
        <f>Raumbuch!J102</f>
        <v>tunable white</v>
      </c>
      <c r="I97" t="str">
        <f>Raumbuch!K102</f>
        <v>DALI</v>
      </c>
      <c r="J97" t="str">
        <f>Raumbuch!N102</f>
        <v>BL1</v>
      </c>
      <c r="K97" t="str">
        <f>Raumbuch!O102</f>
        <v>E3.BL1</v>
      </c>
      <c r="L97" s="11">
        <v>0</v>
      </c>
      <c r="M97" s="11">
        <f t="shared" si="5"/>
        <v>44.000000000000043</v>
      </c>
      <c r="N97" s="14">
        <f t="shared" si="3"/>
        <v>44</v>
      </c>
      <c r="O97" s="15" t="str">
        <f t="shared" si="4"/>
        <v>-</v>
      </c>
      <c r="P97" t="s">
        <v>161</v>
      </c>
      <c r="Q97" t="s">
        <v>187</v>
      </c>
      <c r="R97" s="13" t="s">
        <v>138</v>
      </c>
      <c r="S97" s="13" t="s">
        <v>138</v>
      </c>
    </row>
    <row r="98" spans="2:19" x14ac:dyDescent="0.25">
      <c r="B98" t="str">
        <f>Raumbuch!B104</f>
        <v>Erdgeschoss</v>
      </c>
      <c r="C98" t="str">
        <f>Raumbuch!D104</f>
        <v>E3</v>
      </c>
      <c r="D98" t="str">
        <f>Raumbuch!F104</f>
        <v>Büro</v>
      </c>
      <c r="E98" t="str">
        <f>Raumbuch!G104</f>
        <v>1.3</v>
      </c>
      <c r="F98" t="str">
        <f>Raumbuch!H104</f>
        <v>Anschluss Rolladen West</v>
      </c>
      <c r="G98" t="str">
        <f>Raumbuch!I104</f>
        <v>Beschattung</v>
      </c>
      <c r="H98" t="str">
        <f>Raumbuch!J104</f>
        <v>Raffstore</v>
      </c>
      <c r="I98" t="str">
        <f>Raumbuch!K104</f>
        <v>230 V AC - Beschattung</v>
      </c>
      <c r="J98" t="str">
        <f>Raumbuch!N104</f>
        <v>RS1</v>
      </c>
      <c r="K98" t="str">
        <f>Raumbuch!O104</f>
        <v>E3.RS1</v>
      </c>
      <c r="L98" s="11">
        <v>1</v>
      </c>
      <c r="M98" s="11">
        <f t="shared" si="5"/>
        <v>45.000000000000043</v>
      </c>
      <c r="N98" s="14">
        <f t="shared" si="3"/>
        <v>45</v>
      </c>
      <c r="O98" s="15" t="str">
        <f t="shared" si="4"/>
        <v>RK45</v>
      </c>
      <c r="P98" t="s">
        <v>85</v>
      </c>
      <c r="Q98" t="s">
        <v>178</v>
      </c>
      <c r="R98" s="13" t="s">
        <v>138</v>
      </c>
      <c r="S98" s="13" t="s">
        <v>138</v>
      </c>
    </row>
    <row r="99" spans="2:19" x14ac:dyDescent="0.25">
      <c r="B99" t="str">
        <f>Raumbuch!B105</f>
        <v>Erdgeschoss</v>
      </c>
      <c r="C99" t="str">
        <f>Raumbuch!D105</f>
        <v>E3</v>
      </c>
      <c r="D99" t="str">
        <f>Raumbuch!F105</f>
        <v>Büro</v>
      </c>
      <c r="E99" t="str">
        <f>Raumbuch!G105</f>
        <v>1.3</v>
      </c>
      <c r="F99" t="str">
        <f>Raumbuch!H105</f>
        <v>Tastsensor</v>
      </c>
      <c r="G99" t="str">
        <f>Raumbuch!I105</f>
        <v>Sensoren</v>
      </c>
      <c r="H99" t="str">
        <f>Raumbuch!J105</f>
        <v>Taster mit Temperaturmesser</v>
      </c>
      <c r="I99" t="str">
        <f>Raumbuch!K105</f>
        <v>KNX</v>
      </c>
      <c r="J99" t="str">
        <f>Raumbuch!N105</f>
        <v>TS1</v>
      </c>
      <c r="K99" t="str">
        <f>Raumbuch!O105</f>
        <v>E3.TS1</v>
      </c>
      <c r="L99" s="11">
        <v>1</v>
      </c>
      <c r="M99" s="11">
        <f t="shared" si="5"/>
        <v>46.000000000000043</v>
      </c>
      <c r="N99" s="14">
        <f t="shared" si="3"/>
        <v>46</v>
      </c>
      <c r="O99" s="15" t="str">
        <f t="shared" si="4"/>
        <v>RK46</v>
      </c>
      <c r="P99" t="s">
        <v>138</v>
      </c>
      <c r="Q99" s="13" t="s">
        <v>138</v>
      </c>
      <c r="R99" s="13" t="s">
        <v>138</v>
      </c>
      <c r="S99" s="13" t="s">
        <v>138</v>
      </c>
    </row>
    <row r="100" spans="2:19" x14ac:dyDescent="0.25">
      <c r="B100" t="str">
        <f>Raumbuch!B106</f>
        <v>Erdgeschoss</v>
      </c>
      <c r="C100" t="str">
        <f>Raumbuch!D106</f>
        <v>E3</v>
      </c>
      <c r="D100" t="str">
        <f>Raumbuch!F106</f>
        <v>Büro</v>
      </c>
      <c r="E100" t="str">
        <f>Raumbuch!G106</f>
        <v>1.3</v>
      </c>
      <c r="F100" t="str">
        <f>Raumbuch!H106</f>
        <v>Fensterkontakt Nord</v>
      </c>
      <c r="G100" t="str">
        <f>Raumbuch!I106</f>
        <v>Sensoren</v>
      </c>
      <c r="H100" t="str">
        <f>Raumbuch!J106</f>
        <v>Fensterkontakt Reed</v>
      </c>
      <c r="I100" t="str">
        <f>Raumbuch!K106</f>
        <v>DIGITAL (potentialfrei)</v>
      </c>
      <c r="J100" t="str">
        <f>Raumbuch!N106</f>
        <v>FK1</v>
      </c>
      <c r="K100" t="str">
        <f>Raumbuch!O106</f>
        <v>E3.FK1</v>
      </c>
      <c r="L100" s="11">
        <v>1</v>
      </c>
      <c r="M100" s="11">
        <f t="shared" si="5"/>
        <v>47.000000000000043</v>
      </c>
      <c r="N100" s="14">
        <f t="shared" si="3"/>
        <v>47</v>
      </c>
      <c r="O100" s="15" t="str">
        <f t="shared" si="4"/>
        <v>RK47</v>
      </c>
      <c r="P100" t="s">
        <v>167</v>
      </c>
      <c r="Q100" t="s">
        <v>187</v>
      </c>
      <c r="R100" t="s">
        <v>163</v>
      </c>
      <c r="S100" t="s">
        <v>164</v>
      </c>
    </row>
    <row r="101" spans="2:19" x14ac:dyDescent="0.25">
      <c r="B101" t="str">
        <f>Raumbuch!B119</f>
        <v>Erdgeschoss</v>
      </c>
      <c r="C101" t="str">
        <f>Raumbuch!D119</f>
        <v>E3</v>
      </c>
      <c r="D101" t="str">
        <f>Raumbuch!F119</f>
        <v>Büro</v>
      </c>
      <c r="E101" t="str">
        <f>Raumbuch!G119</f>
        <v>1.3</v>
      </c>
      <c r="F101" t="str">
        <f>Raumbuch!H119</f>
        <v>Steckdose Ost 4</v>
      </c>
      <c r="G101" t="str">
        <f>Raumbuch!I119</f>
        <v>Steckdosen</v>
      </c>
      <c r="H101" t="str">
        <f>Raumbuch!J119</f>
        <v>ohne Schaltaktor</v>
      </c>
      <c r="I101" t="str">
        <f>Raumbuch!K119</f>
        <v>230 V AC</v>
      </c>
      <c r="J101" t="str">
        <f>Raumbuch!N119</f>
        <v>SD10</v>
      </c>
      <c r="K101" t="str">
        <f>Raumbuch!O119</f>
        <v>E3.SD10</v>
      </c>
      <c r="L101" s="11">
        <v>1</v>
      </c>
      <c r="M101" s="11">
        <f t="shared" si="5"/>
        <v>48.000000000000043</v>
      </c>
      <c r="N101" s="14">
        <f t="shared" si="3"/>
        <v>48</v>
      </c>
      <c r="O101" s="15" t="str">
        <f t="shared" si="4"/>
        <v>RK48</v>
      </c>
      <c r="P101" t="s">
        <v>140</v>
      </c>
      <c r="Q101" t="s">
        <v>188</v>
      </c>
      <c r="R101" t="s">
        <v>163</v>
      </c>
      <c r="S101" t="s">
        <v>189</v>
      </c>
    </row>
    <row r="102" spans="2:19" x14ac:dyDescent="0.25">
      <c r="B102" t="str">
        <f>Raumbuch!B109</f>
        <v>Erdgeschoss</v>
      </c>
      <c r="C102" t="str">
        <f>Raumbuch!D109</f>
        <v>E3</v>
      </c>
      <c r="D102" t="str">
        <f>Raumbuch!F109</f>
        <v>Büro</v>
      </c>
      <c r="E102" t="str">
        <f>Raumbuch!G109</f>
        <v>1.3</v>
      </c>
      <c r="F102" t="str">
        <f>Raumbuch!H109</f>
        <v>Steckdose Nord 1</v>
      </c>
      <c r="G102" t="str">
        <f>Raumbuch!I109</f>
        <v>Steckdosen</v>
      </c>
      <c r="H102" t="str">
        <f>Raumbuch!J109</f>
        <v>mit Schaltaktor</v>
      </c>
      <c r="I102" t="str">
        <f>Raumbuch!K109</f>
        <v>230 V AC</v>
      </c>
      <c r="J102" t="str">
        <f>Raumbuch!N109</f>
        <v>SD1</v>
      </c>
      <c r="K102" t="str">
        <f>Raumbuch!O109</f>
        <v>E3.SD1</v>
      </c>
      <c r="L102" s="11">
        <v>0</v>
      </c>
      <c r="M102" s="11">
        <f t="shared" si="5"/>
        <v>48.000000000000043</v>
      </c>
      <c r="N102" s="14">
        <f t="shared" si="3"/>
        <v>48</v>
      </c>
      <c r="O102" s="15" t="str">
        <f t="shared" si="4"/>
        <v>-</v>
      </c>
      <c r="P102" t="s">
        <v>137</v>
      </c>
      <c r="Q102" s="13" t="s">
        <v>138</v>
      </c>
      <c r="R102" t="s">
        <v>163</v>
      </c>
      <c r="S102" t="s">
        <v>190</v>
      </c>
    </row>
    <row r="103" spans="2:19" x14ac:dyDescent="0.25">
      <c r="B103" t="str">
        <f>Raumbuch!B110</f>
        <v>Erdgeschoss</v>
      </c>
      <c r="C103" t="str">
        <f>Raumbuch!D110</f>
        <v>E3</v>
      </c>
      <c r="D103" t="str">
        <f>Raumbuch!F110</f>
        <v>Büro</v>
      </c>
      <c r="E103" t="str">
        <f>Raumbuch!G110</f>
        <v>1.3</v>
      </c>
      <c r="F103" t="str">
        <f>Raumbuch!H110</f>
        <v>Steckdose Nord 2</v>
      </c>
      <c r="G103" t="str">
        <f>Raumbuch!I110</f>
        <v>Steckdosen</v>
      </c>
      <c r="H103" t="str">
        <f>Raumbuch!J110</f>
        <v>mit Schaltaktor</v>
      </c>
      <c r="I103" t="str">
        <f>Raumbuch!K110</f>
        <v>230 V AC</v>
      </c>
      <c r="J103" t="str">
        <f>Raumbuch!N110</f>
        <v>SD2</v>
      </c>
      <c r="K103" t="str">
        <f>Raumbuch!O110</f>
        <v>E3.SD2</v>
      </c>
      <c r="L103" s="11">
        <v>0</v>
      </c>
      <c r="M103" s="11">
        <f t="shared" si="5"/>
        <v>48.000000000000043</v>
      </c>
      <c r="N103" s="14">
        <f t="shared" si="3"/>
        <v>48</v>
      </c>
      <c r="O103" s="15" t="str">
        <f t="shared" si="4"/>
        <v>-</v>
      </c>
      <c r="P103" t="s">
        <v>161</v>
      </c>
      <c r="Q103" t="s">
        <v>191</v>
      </c>
      <c r="R103" t="s">
        <v>163</v>
      </c>
      <c r="S103" t="s">
        <v>190</v>
      </c>
    </row>
    <row r="104" spans="2:19" x14ac:dyDescent="0.25">
      <c r="B104" t="str">
        <f>Raumbuch!B111</f>
        <v>Erdgeschoss</v>
      </c>
      <c r="C104" t="str">
        <f>Raumbuch!D111</f>
        <v>E3</v>
      </c>
      <c r="D104" t="str">
        <f>Raumbuch!F111</f>
        <v>Büro</v>
      </c>
      <c r="E104" t="str">
        <f>Raumbuch!G111</f>
        <v>1.3</v>
      </c>
      <c r="F104" t="str">
        <f>Raumbuch!H111</f>
        <v>Steckdose Nord 3</v>
      </c>
      <c r="G104" t="str">
        <f>Raumbuch!I111</f>
        <v>Steckdosen</v>
      </c>
      <c r="H104" t="str">
        <f>Raumbuch!J111</f>
        <v>ohne Schaltaktor</v>
      </c>
      <c r="I104" t="str">
        <f>Raumbuch!K111</f>
        <v>230 V AC</v>
      </c>
      <c r="J104" t="str">
        <f>Raumbuch!N111</f>
        <v>SD3</v>
      </c>
      <c r="K104" t="str">
        <f>Raumbuch!O111</f>
        <v>E3.SD3</v>
      </c>
      <c r="L104" s="11">
        <v>0</v>
      </c>
      <c r="M104" s="11">
        <f t="shared" si="5"/>
        <v>48.000000000000043</v>
      </c>
      <c r="N104" s="14">
        <f t="shared" si="3"/>
        <v>48</v>
      </c>
      <c r="O104" s="15" t="str">
        <f t="shared" si="4"/>
        <v>-</v>
      </c>
      <c r="P104" t="s">
        <v>161</v>
      </c>
      <c r="Q104" t="s">
        <v>148</v>
      </c>
      <c r="R104" s="13" t="s">
        <v>138</v>
      </c>
      <c r="S104" s="13" t="s">
        <v>138</v>
      </c>
    </row>
    <row r="105" spans="2:19" x14ac:dyDescent="0.25">
      <c r="B105" t="str">
        <f>Raumbuch!B112</f>
        <v>Erdgeschoss</v>
      </c>
      <c r="C105" t="str">
        <f>Raumbuch!D112</f>
        <v>E3</v>
      </c>
      <c r="D105" t="str">
        <f>Raumbuch!F112</f>
        <v>Büro</v>
      </c>
      <c r="E105" t="str">
        <f>Raumbuch!G112</f>
        <v>1.3</v>
      </c>
      <c r="F105" t="str">
        <f>Raumbuch!H112</f>
        <v>Steckdose Nord 4</v>
      </c>
      <c r="G105" t="str">
        <f>Raumbuch!I112</f>
        <v>Steckdosen</v>
      </c>
      <c r="H105" t="str">
        <f>Raumbuch!J112</f>
        <v>ohne Schaltaktor</v>
      </c>
      <c r="I105" t="str">
        <f>Raumbuch!K112</f>
        <v>230 V AC</v>
      </c>
      <c r="J105" t="str">
        <f>Raumbuch!N112</f>
        <v>SD4</v>
      </c>
      <c r="K105" t="str">
        <f>Raumbuch!O112</f>
        <v>E3.SD4</v>
      </c>
      <c r="L105" s="11">
        <v>1</v>
      </c>
      <c r="M105" s="11">
        <f t="shared" si="5"/>
        <v>49.000000000000043</v>
      </c>
      <c r="N105" s="14">
        <f t="shared" si="3"/>
        <v>49</v>
      </c>
      <c r="O105" s="15" t="str">
        <f t="shared" si="4"/>
        <v>RK49</v>
      </c>
      <c r="P105" t="s">
        <v>85</v>
      </c>
      <c r="Q105" t="s">
        <v>187</v>
      </c>
      <c r="R105" s="13" t="s">
        <v>138</v>
      </c>
      <c r="S105" s="13" t="s">
        <v>138</v>
      </c>
    </row>
    <row r="106" spans="2:19" x14ac:dyDescent="0.25">
      <c r="B106" t="str">
        <f>Raumbuch!B115</f>
        <v>Erdgeschoss</v>
      </c>
      <c r="C106" t="str">
        <f>Raumbuch!D115</f>
        <v>E3</v>
      </c>
      <c r="D106" t="str">
        <f>Raumbuch!F115</f>
        <v>Büro</v>
      </c>
      <c r="E106" t="str">
        <f>Raumbuch!G115</f>
        <v>1.3</v>
      </c>
      <c r="F106" t="str">
        <f>Raumbuch!H115</f>
        <v>Steckdose Fenster Nord</v>
      </c>
      <c r="G106" t="str">
        <f>Raumbuch!I115</f>
        <v>Steckdosen</v>
      </c>
      <c r="H106" t="str">
        <f>Raumbuch!J115</f>
        <v>mit Schaltaktor</v>
      </c>
      <c r="I106" t="str">
        <f>Raumbuch!K115</f>
        <v>230 V AC</v>
      </c>
      <c r="J106" t="str">
        <f>Raumbuch!N115</f>
        <v>SD6</v>
      </c>
      <c r="K106" t="str">
        <f>Raumbuch!O115</f>
        <v>E3.SD6</v>
      </c>
      <c r="L106" s="11">
        <v>0.25</v>
      </c>
      <c r="M106" s="11">
        <f t="shared" si="5"/>
        <v>49.250000000000043</v>
      </c>
      <c r="N106" s="14">
        <f t="shared" si="3"/>
        <v>50</v>
      </c>
      <c r="O106" s="15" t="str">
        <f t="shared" si="4"/>
        <v>RK50</v>
      </c>
      <c r="P106" t="s">
        <v>138</v>
      </c>
      <c r="Q106" s="13" t="s">
        <v>138</v>
      </c>
      <c r="R106" s="13" t="s">
        <v>138</v>
      </c>
      <c r="S106" s="13" t="s">
        <v>138</v>
      </c>
    </row>
    <row r="107" spans="2:19" x14ac:dyDescent="0.25">
      <c r="B107" t="str">
        <f>Raumbuch!B116</f>
        <v>Erdgeschoss</v>
      </c>
      <c r="C107" t="str">
        <f>Raumbuch!D116</f>
        <v>E3</v>
      </c>
      <c r="D107" t="str">
        <f>Raumbuch!F116</f>
        <v>Büro</v>
      </c>
      <c r="E107" t="str">
        <f>Raumbuch!G116</f>
        <v>1.3</v>
      </c>
      <c r="F107" t="str">
        <f>Raumbuch!H118</f>
        <v>Steckdose Ost 3</v>
      </c>
      <c r="G107" t="str">
        <f>Raumbuch!I118</f>
        <v>Steckdosen</v>
      </c>
      <c r="H107" t="str">
        <f>Raumbuch!J118</f>
        <v>ohne Schaltaktor</v>
      </c>
      <c r="I107" t="str">
        <f>Raumbuch!K118</f>
        <v>230 V AC</v>
      </c>
      <c r="J107" t="str">
        <f>Raumbuch!N118</f>
        <v>SD9</v>
      </c>
      <c r="K107" t="str">
        <f>Raumbuch!O116</f>
        <v>E3.SD7</v>
      </c>
      <c r="L107" s="11">
        <v>0.25</v>
      </c>
      <c r="M107" s="11">
        <f t="shared" si="5"/>
        <v>49.500000000000043</v>
      </c>
      <c r="N107" s="14">
        <f t="shared" si="3"/>
        <v>50</v>
      </c>
      <c r="O107" s="15" t="str">
        <f t="shared" si="4"/>
        <v>RK50</v>
      </c>
      <c r="P107" t="s">
        <v>138</v>
      </c>
      <c r="Q107" s="13" t="s">
        <v>138</v>
      </c>
      <c r="R107" t="s">
        <v>163</v>
      </c>
      <c r="S107" t="s">
        <v>164</v>
      </c>
    </row>
    <row r="108" spans="2:19" x14ac:dyDescent="0.25">
      <c r="B108" t="str">
        <f>Raumbuch!B117</f>
        <v>Erdgeschoss</v>
      </c>
      <c r="C108" t="str">
        <f>Raumbuch!D117</f>
        <v>E3</v>
      </c>
      <c r="D108" t="str">
        <f>Raumbuch!F117</f>
        <v>Büro</v>
      </c>
      <c r="E108" t="str">
        <f>Raumbuch!G117</f>
        <v>1.3</v>
      </c>
      <c r="F108" t="str">
        <f>Raumbuch!H117</f>
        <v>Steckdose Ost 2</v>
      </c>
      <c r="G108" t="str">
        <f>Raumbuch!I117</f>
        <v>Steckdosen</v>
      </c>
      <c r="H108" t="str">
        <f>Raumbuch!J117</f>
        <v>mit Schaltaktor</v>
      </c>
      <c r="I108" t="str">
        <f>Raumbuch!K117</f>
        <v>230 V AC</v>
      </c>
      <c r="J108" t="str">
        <f>Raumbuch!N117</f>
        <v>SD8</v>
      </c>
      <c r="K108" t="str">
        <f>Raumbuch!O117</f>
        <v>E3.SD8</v>
      </c>
      <c r="L108" s="11">
        <v>0.25</v>
      </c>
      <c r="M108" s="11">
        <f t="shared" si="5"/>
        <v>49.750000000000043</v>
      </c>
      <c r="N108" s="14">
        <f t="shared" si="3"/>
        <v>50</v>
      </c>
      <c r="O108" s="15" t="str">
        <f t="shared" si="4"/>
        <v>RK50</v>
      </c>
      <c r="P108" t="s">
        <v>138</v>
      </c>
      <c r="Q108" s="13" t="s">
        <v>138</v>
      </c>
      <c r="R108" t="s">
        <v>163</v>
      </c>
      <c r="S108" t="s">
        <v>189</v>
      </c>
    </row>
    <row r="109" spans="2:19" x14ac:dyDescent="0.25">
      <c r="B109" t="str">
        <f>Raumbuch!B118</f>
        <v>Erdgeschoss</v>
      </c>
      <c r="C109" t="str">
        <f>Raumbuch!D118</f>
        <v>E3</v>
      </c>
      <c r="D109" t="str">
        <f>Raumbuch!F118</f>
        <v>Büro</v>
      </c>
      <c r="E109" t="str">
        <f>Raumbuch!G118</f>
        <v>1.3</v>
      </c>
      <c r="F109" t="e">
        <f>Raumbuch!#REF!</f>
        <v>#REF!</v>
      </c>
      <c r="G109" t="e">
        <f>Raumbuch!#REF!</f>
        <v>#REF!</v>
      </c>
      <c r="H109" t="e">
        <f>Raumbuch!#REF!</f>
        <v>#REF!</v>
      </c>
      <c r="I109" t="e">
        <f>Raumbuch!#REF!</f>
        <v>#REF!</v>
      </c>
      <c r="J109" t="e">
        <f>Raumbuch!#REF!</f>
        <v>#REF!</v>
      </c>
      <c r="K109" t="str">
        <f>Raumbuch!O118</f>
        <v>E3.SD9</v>
      </c>
      <c r="L109" s="11">
        <v>0.25</v>
      </c>
      <c r="M109" s="11">
        <f t="shared" si="5"/>
        <v>50.000000000000043</v>
      </c>
      <c r="N109" s="14">
        <f t="shared" si="3"/>
        <v>50</v>
      </c>
      <c r="O109" s="15" t="str">
        <f t="shared" si="4"/>
        <v>RK50</v>
      </c>
      <c r="P109" t="s">
        <v>138</v>
      </c>
      <c r="Q109" s="13" t="s">
        <v>138</v>
      </c>
      <c r="R109" t="s">
        <v>163</v>
      </c>
      <c r="S109" t="s">
        <v>189</v>
      </c>
    </row>
    <row r="110" spans="2:19" x14ac:dyDescent="0.25">
      <c r="B110" t="str">
        <f>Raumbuch!B120</f>
        <v>Erdgeschoss</v>
      </c>
      <c r="C110" t="str">
        <f>Raumbuch!D120</f>
        <v>E3</v>
      </c>
      <c r="D110" t="str">
        <f>Raumbuch!F120</f>
        <v>Büro</v>
      </c>
      <c r="E110" t="str">
        <f>Raumbuch!G120</f>
        <v>1.3</v>
      </c>
      <c r="F110" t="str">
        <f>Raumbuch!H120</f>
        <v>Steckdose Ost 5</v>
      </c>
      <c r="G110" t="str">
        <f>Raumbuch!I120</f>
        <v>Steckdosen</v>
      </c>
      <c r="H110" t="str">
        <f>Raumbuch!J120</f>
        <v>ohne Schaltaktor</v>
      </c>
      <c r="I110" t="str">
        <f>Raumbuch!K120</f>
        <v>230 V AC</v>
      </c>
      <c r="J110" t="str">
        <f>Raumbuch!N120</f>
        <v>SD11</v>
      </c>
      <c r="K110" t="str">
        <f>Raumbuch!O120</f>
        <v>E3.SD11</v>
      </c>
      <c r="L110" s="11">
        <v>1</v>
      </c>
      <c r="M110" s="11">
        <f t="shared" si="5"/>
        <v>51.000000000000043</v>
      </c>
      <c r="N110" s="14">
        <f t="shared" si="3"/>
        <v>51</v>
      </c>
      <c r="O110" s="15" t="str">
        <f t="shared" si="4"/>
        <v>RK51</v>
      </c>
      <c r="P110" t="s">
        <v>167</v>
      </c>
      <c r="Q110" t="s">
        <v>191</v>
      </c>
      <c r="R110" t="s">
        <v>163</v>
      </c>
      <c r="S110" t="s">
        <v>189</v>
      </c>
    </row>
    <row r="111" spans="2:19" x14ac:dyDescent="0.25">
      <c r="B111" t="str">
        <f>Raumbuch!B121</f>
        <v>Erdgeschoss</v>
      </c>
      <c r="C111" t="str">
        <f>Raumbuch!D121</f>
        <v>E3</v>
      </c>
      <c r="D111" t="str">
        <f>Raumbuch!F121</f>
        <v>Büro</v>
      </c>
      <c r="E111" t="str">
        <f>Raumbuch!G121</f>
        <v>1.3</v>
      </c>
      <c r="F111" t="str">
        <f>Raumbuch!H121</f>
        <v>Netzwerkdose Ost</v>
      </c>
      <c r="G111" t="str">
        <f>Raumbuch!I121</f>
        <v>Steckdosen</v>
      </c>
      <c r="H111" t="str">
        <f>Raumbuch!J121</f>
        <v>LAN 2-fach</v>
      </c>
      <c r="I111" t="str">
        <f>Raumbuch!K121</f>
        <v>Ethernet</v>
      </c>
      <c r="J111" t="str">
        <f>Raumbuch!N121</f>
        <v>ND2</v>
      </c>
      <c r="K111" t="str">
        <f>Raumbuch!O121</f>
        <v>E3.ND2</v>
      </c>
      <c r="L111" s="11">
        <v>1</v>
      </c>
      <c r="M111" s="11">
        <f t="shared" si="5"/>
        <v>52.000000000000043</v>
      </c>
      <c r="N111" s="14">
        <f t="shared" si="3"/>
        <v>52</v>
      </c>
      <c r="O111" s="15" t="str">
        <f t="shared" si="4"/>
        <v>RK52</v>
      </c>
      <c r="P111" t="s">
        <v>167</v>
      </c>
      <c r="Q111" t="s">
        <v>148</v>
      </c>
      <c r="R111" t="s">
        <v>163</v>
      </c>
      <c r="S111" t="s">
        <v>189</v>
      </c>
    </row>
    <row r="112" spans="2:19" x14ac:dyDescent="0.25">
      <c r="B112" t="str">
        <f>Raumbuch!B113</f>
        <v>Erdgeschoss</v>
      </c>
      <c r="C112" t="str">
        <f>Raumbuch!D113</f>
        <v>E3</v>
      </c>
      <c r="D112" t="str">
        <f>Raumbuch!F113</f>
        <v>Büro</v>
      </c>
      <c r="E112" t="str">
        <f>Raumbuch!G113</f>
        <v>1.3</v>
      </c>
      <c r="F112" t="str">
        <f>Raumbuch!H113</f>
        <v>Steckdose Nord 5</v>
      </c>
      <c r="G112" t="str">
        <f>Raumbuch!I113</f>
        <v>Steckdosen</v>
      </c>
      <c r="H112" t="str">
        <f>Raumbuch!J113</f>
        <v>ohne Schaltaktor</v>
      </c>
      <c r="I112" t="str">
        <f>Raumbuch!K113</f>
        <v>230 V AC</v>
      </c>
      <c r="J112" t="str">
        <f>Raumbuch!N113</f>
        <v>SD5</v>
      </c>
      <c r="K112" t="str">
        <f>Raumbuch!O113</f>
        <v>E3.SD5</v>
      </c>
      <c r="L112" s="11">
        <v>0.5</v>
      </c>
      <c r="M112" s="11">
        <f t="shared" si="5"/>
        <v>52.500000000000043</v>
      </c>
      <c r="N112" s="14">
        <f t="shared" si="3"/>
        <v>53</v>
      </c>
      <c r="O112" s="15" t="str">
        <f t="shared" si="4"/>
        <v>RK53</v>
      </c>
      <c r="P112" t="s">
        <v>145</v>
      </c>
      <c r="Q112" t="s">
        <v>180</v>
      </c>
      <c r="R112" s="13" t="s">
        <v>138</v>
      </c>
      <c r="S112" s="13" t="s">
        <v>138</v>
      </c>
    </row>
    <row r="113" spans="2:19" x14ac:dyDescent="0.25">
      <c r="B113" t="str">
        <f>Raumbuch!B114</f>
        <v>Erdgeschoss</v>
      </c>
      <c r="C113" t="str">
        <f>Raumbuch!D114</f>
        <v>E3</v>
      </c>
      <c r="D113" t="str">
        <f>Raumbuch!F114</f>
        <v>Büro</v>
      </c>
      <c r="E113" t="str">
        <f>Raumbuch!G114</f>
        <v>1.3</v>
      </c>
      <c r="F113" t="str">
        <f>Raumbuch!H114</f>
        <v>Netzwerkdose Nord</v>
      </c>
      <c r="G113" t="str">
        <f>Raumbuch!I114</f>
        <v>Steckdosen</v>
      </c>
      <c r="H113" t="str">
        <f>Raumbuch!J114</f>
        <v>LAN 2-fach</v>
      </c>
      <c r="I113" t="str">
        <f>Raumbuch!K114</f>
        <v>Ethernet</v>
      </c>
      <c r="J113" t="str">
        <f>Raumbuch!N114</f>
        <v>ND1</v>
      </c>
      <c r="K113" t="str">
        <f>Raumbuch!O114</f>
        <v>E3.ND1</v>
      </c>
      <c r="L113" s="11">
        <v>0.5</v>
      </c>
      <c r="M113" s="11">
        <f t="shared" si="5"/>
        <v>53.000000000000043</v>
      </c>
      <c r="N113" s="14">
        <f t="shared" si="3"/>
        <v>53</v>
      </c>
      <c r="O113" s="15" t="str">
        <f t="shared" si="4"/>
        <v>RK53</v>
      </c>
      <c r="P113" t="s">
        <v>145</v>
      </c>
      <c r="Q113" t="s">
        <v>180</v>
      </c>
      <c r="R113" s="13" t="s">
        <v>138</v>
      </c>
      <c r="S113" s="13" t="s">
        <v>138</v>
      </c>
    </row>
    <row r="114" spans="2:19" x14ac:dyDescent="0.25">
      <c r="B114" t="str">
        <f>Raumbuch!B139</f>
        <v>Obergeschoss</v>
      </c>
      <c r="C114" t="str">
        <f>Raumbuch!D139</f>
        <v>O3</v>
      </c>
      <c r="D114" t="str">
        <f>Raumbuch!F139</f>
        <v>Flur</v>
      </c>
      <c r="E114" t="str">
        <f>Raumbuch!G139</f>
        <v>2.3</v>
      </c>
      <c r="F114" t="str">
        <f>Raumbuch!H139</f>
        <v>Steckdose Ost 2</v>
      </c>
      <c r="G114" t="str">
        <f>Raumbuch!I139</f>
        <v>Steckdosen</v>
      </c>
      <c r="H114" t="str">
        <f>Raumbuch!J139</f>
        <v>ohne Schaltaktor</v>
      </c>
      <c r="I114" t="str">
        <f>Raumbuch!K139</f>
        <v>230 V AC</v>
      </c>
      <c r="J114" t="str">
        <f>Raumbuch!N139</f>
        <v>SD3</v>
      </c>
      <c r="K114" t="str">
        <f>Raumbuch!O139</f>
        <v>O3.SD3</v>
      </c>
      <c r="L114" s="11">
        <v>1</v>
      </c>
      <c r="M114" s="11">
        <f t="shared" si="5"/>
        <v>54.000000000000043</v>
      </c>
      <c r="N114" s="14">
        <f t="shared" si="3"/>
        <v>54</v>
      </c>
      <c r="O114" s="15" t="str">
        <f t="shared" si="4"/>
        <v>RK54</v>
      </c>
      <c r="P114" t="s">
        <v>140</v>
      </c>
      <c r="Q114" t="s">
        <v>192</v>
      </c>
      <c r="R114" t="s">
        <v>158</v>
      </c>
      <c r="S114" t="s">
        <v>159</v>
      </c>
    </row>
    <row r="115" spans="2:19" x14ac:dyDescent="0.25">
      <c r="B115" t="str">
        <f>Raumbuch!B122</f>
        <v>Erdgeschoss</v>
      </c>
      <c r="C115" t="str">
        <f>Raumbuch!D122</f>
        <v>E3</v>
      </c>
      <c r="D115" t="str">
        <f>Raumbuch!F122</f>
        <v>Büro</v>
      </c>
      <c r="E115" t="str">
        <f>Raumbuch!G122</f>
        <v>1.3</v>
      </c>
      <c r="F115" t="str">
        <f>Raumbuch!H122</f>
        <v>Steckdose Ost 6</v>
      </c>
      <c r="G115" t="str">
        <f>Raumbuch!I122</f>
        <v>Steckdosen</v>
      </c>
      <c r="H115" t="str">
        <f>Raumbuch!J122</f>
        <v>ohne Schaltaktor</v>
      </c>
      <c r="I115" t="str">
        <f>Raumbuch!K122</f>
        <v>230 V AC</v>
      </c>
      <c r="J115" t="str">
        <f>Raumbuch!N122</f>
        <v>SD12</v>
      </c>
      <c r="K115" t="str">
        <f>Raumbuch!O122</f>
        <v>E3.SD12</v>
      </c>
      <c r="L115" s="11">
        <v>0</v>
      </c>
      <c r="M115" s="11">
        <f t="shared" si="5"/>
        <v>54.000000000000043</v>
      </c>
      <c r="N115" s="14">
        <f t="shared" si="3"/>
        <v>54</v>
      </c>
      <c r="O115" s="15" t="str">
        <f t="shared" si="4"/>
        <v>-</v>
      </c>
      <c r="P115" s="13" t="s">
        <v>138</v>
      </c>
      <c r="Q115" s="13" t="s">
        <v>138</v>
      </c>
      <c r="R115" t="s">
        <v>163</v>
      </c>
      <c r="S115" t="s">
        <v>190</v>
      </c>
    </row>
    <row r="116" spans="2:19" x14ac:dyDescent="0.25">
      <c r="B116" t="str">
        <f>Raumbuch!B123</f>
        <v>Erdgeschoss</v>
      </c>
      <c r="C116" t="str">
        <f>Raumbuch!D123</f>
        <v>E3</v>
      </c>
      <c r="D116" t="str">
        <f>Raumbuch!F123</f>
        <v>Büro</v>
      </c>
      <c r="E116" t="str">
        <f>Raumbuch!G123</f>
        <v>1.3</v>
      </c>
      <c r="F116" t="str">
        <f>Raumbuch!H123</f>
        <v>Steckdose Süd 1</v>
      </c>
      <c r="G116" t="str">
        <f>Raumbuch!I123</f>
        <v>Steckdosen</v>
      </c>
      <c r="H116" t="str">
        <f>Raumbuch!J123</f>
        <v>mit Schaltaktor</v>
      </c>
      <c r="I116" t="str">
        <f>Raumbuch!K123</f>
        <v>230 V AC</v>
      </c>
      <c r="J116" t="str">
        <f>Raumbuch!N123</f>
        <v>SD13</v>
      </c>
      <c r="K116" t="str">
        <f>Raumbuch!O123</f>
        <v>E3.SD13</v>
      </c>
      <c r="L116" s="11">
        <v>0</v>
      </c>
      <c r="M116" s="11">
        <f t="shared" si="5"/>
        <v>54.000000000000043</v>
      </c>
      <c r="N116" s="14">
        <f t="shared" si="3"/>
        <v>54</v>
      </c>
      <c r="O116" s="15" t="str">
        <f t="shared" si="4"/>
        <v>-</v>
      </c>
      <c r="P116" t="s">
        <v>137</v>
      </c>
      <c r="Q116" s="13" t="s">
        <v>138</v>
      </c>
      <c r="R116" t="s">
        <v>163</v>
      </c>
      <c r="S116" t="s">
        <v>169</v>
      </c>
    </row>
    <row r="117" spans="2:19" x14ac:dyDescent="0.25">
      <c r="B117" t="str">
        <f>Raumbuch!B124</f>
        <v>Erdgeschoss</v>
      </c>
      <c r="C117" t="str">
        <f>Raumbuch!D124</f>
        <v>E3</v>
      </c>
      <c r="D117" t="str">
        <f>Raumbuch!F124</f>
        <v>Büro</v>
      </c>
      <c r="E117" t="str">
        <f>Raumbuch!G124</f>
        <v>1.3</v>
      </c>
      <c r="F117" t="str">
        <f>Raumbuch!H124</f>
        <v>Steckdose Süd 2</v>
      </c>
      <c r="G117" t="str">
        <f>Raumbuch!I124</f>
        <v>Steckdosen</v>
      </c>
      <c r="H117" t="str">
        <f>Raumbuch!J124</f>
        <v>mit Schaltaktor</v>
      </c>
      <c r="I117" t="str">
        <f>Raumbuch!K124</f>
        <v>230 V AC</v>
      </c>
      <c r="J117" t="str">
        <f>Raumbuch!N124</f>
        <v>SD14</v>
      </c>
      <c r="K117" t="str">
        <f>Raumbuch!O124</f>
        <v>E3.SD14</v>
      </c>
      <c r="L117" s="11">
        <v>0</v>
      </c>
      <c r="M117" s="11">
        <f t="shared" si="5"/>
        <v>54.000000000000043</v>
      </c>
      <c r="N117" s="14">
        <f t="shared" si="3"/>
        <v>54</v>
      </c>
      <c r="O117" s="15" t="str">
        <f t="shared" si="4"/>
        <v>-</v>
      </c>
      <c r="P117" t="s">
        <v>161</v>
      </c>
      <c r="Q117" t="s">
        <v>151</v>
      </c>
      <c r="R117" t="s">
        <v>163</v>
      </c>
      <c r="S117" t="s">
        <v>169</v>
      </c>
    </row>
    <row r="118" spans="2:19" x14ac:dyDescent="0.25">
      <c r="B118" t="str">
        <f>Raumbuch!B125</f>
        <v>Erdgeschoss</v>
      </c>
      <c r="C118" t="str">
        <f>Raumbuch!D125</f>
        <v>E3</v>
      </c>
      <c r="D118" t="str">
        <f>Raumbuch!F125</f>
        <v>Büro</v>
      </c>
      <c r="E118" t="str">
        <f>Raumbuch!G125</f>
        <v>1.3</v>
      </c>
      <c r="F118" t="str">
        <f>Raumbuch!H125</f>
        <v>Steckdose Süd 3</v>
      </c>
      <c r="G118" t="str">
        <f>Raumbuch!I125</f>
        <v>Steckdosen</v>
      </c>
      <c r="H118" t="str">
        <f>Raumbuch!J125</f>
        <v>ohne Schaltaktor</v>
      </c>
      <c r="I118" t="str">
        <f>Raumbuch!K125</f>
        <v>230 V AC</v>
      </c>
      <c r="J118" t="str">
        <f>Raumbuch!N125</f>
        <v>SD15</v>
      </c>
      <c r="K118" t="str">
        <f>Raumbuch!O125</f>
        <v>E3.SD15</v>
      </c>
      <c r="L118" s="11">
        <v>1</v>
      </c>
      <c r="M118" s="11">
        <f t="shared" si="5"/>
        <v>55.000000000000043</v>
      </c>
      <c r="N118" s="14">
        <f t="shared" si="3"/>
        <v>55</v>
      </c>
      <c r="O118" s="15" t="str">
        <f t="shared" si="4"/>
        <v>RK55</v>
      </c>
      <c r="P118" t="s">
        <v>85</v>
      </c>
      <c r="Q118" t="s">
        <v>191</v>
      </c>
      <c r="R118" s="13" t="s">
        <v>138</v>
      </c>
      <c r="S118" s="13" t="s">
        <v>138</v>
      </c>
    </row>
    <row r="119" spans="2:19" x14ac:dyDescent="0.25">
      <c r="B119" t="str">
        <f>Raumbuch!B129</f>
        <v>Erdgeschoss</v>
      </c>
      <c r="C119" t="str">
        <f>Raumbuch!D129</f>
        <v>E3</v>
      </c>
      <c r="D119" t="str">
        <f>Raumbuch!F129</f>
        <v>Büro</v>
      </c>
      <c r="E119" t="str">
        <f>Raumbuch!G129</f>
        <v>1.3</v>
      </c>
      <c r="F119" t="str">
        <f>Raumbuch!H129</f>
        <v>Steckdose Fenster West</v>
      </c>
      <c r="G119" t="str">
        <f>Raumbuch!I129</f>
        <v>Steckdosen</v>
      </c>
      <c r="H119" t="str">
        <f>Raumbuch!J129</f>
        <v>mit Schaltaktor</v>
      </c>
      <c r="I119" t="str">
        <f>Raumbuch!K129</f>
        <v>230 V AC</v>
      </c>
      <c r="J119" t="str">
        <f>Raumbuch!N129</f>
        <v>SD18</v>
      </c>
      <c r="K119" t="str">
        <f>Raumbuch!O129</f>
        <v>E3.SD18</v>
      </c>
      <c r="L119" s="11">
        <v>0.2</v>
      </c>
      <c r="M119" s="11">
        <f t="shared" si="5"/>
        <v>55.200000000000045</v>
      </c>
      <c r="N119" s="14">
        <f t="shared" si="3"/>
        <v>56</v>
      </c>
      <c r="O119" s="15" t="str">
        <f t="shared" si="4"/>
        <v>RK56</v>
      </c>
      <c r="P119" t="s">
        <v>138</v>
      </c>
      <c r="Q119" s="13" t="s">
        <v>138</v>
      </c>
      <c r="R119" t="s">
        <v>158</v>
      </c>
      <c r="S119" t="s">
        <v>179</v>
      </c>
    </row>
    <row r="120" spans="2:19" x14ac:dyDescent="0.25">
      <c r="B120" t="str">
        <f>Raumbuch!B131</f>
        <v>Obergeschoss</v>
      </c>
      <c r="C120" t="str">
        <f>Raumbuch!D131</f>
        <v>O3</v>
      </c>
      <c r="D120" t="str">
        <f>Raumbuch!F131</f>
        <v>Flur</v>
      </c>
      <c r="E120" t="str">
        <f>Raumbuch!G131</f>
        <v>2.3</v>
      </c>
      <c r="F120" t="str">
        <f>Raumbuch!H131</f>
        <v>Deckenlautsprecher 1</v>
      </c>
      <c r="G120" t="str">
        <f>Raumbuch!I131</f>
        <v>Audio</v>
      </c>
      <c r="H120">
        <f>Raumbuch!J131</f>
        <v>0</v>
      </c>
      <c r="I120" t="str">
        <f>Raumbuch!K131</f>
        <v>DIGITAL (potentialfrei)</v>
      </c>
      <c r="J120" t="str">
        <f>Raumbuch!N131</f>
        <v>DL1</v>
      </c>
      <c r="K120" t="str">
        <f>Raumbuch!O131</f>
        <v>O3.DL1</v>
      </c>
      <c r="L120" s="11">
        <v>0.2</v>
      </c>
      <c r="M120" s="11">
        <f t="shared" si="5"/>
        <v>55.400000000000048</v>
      </c>
      <c r="N120" s="14">
        <f t="shared" si="3"/>
        <v>56</v>
      </c>
      <c r="O120" s="15" t="str">
        <f t="shared" si="4"/>
        <v>RK56</v>
      </c>
      <c r="P120" t="s">
        <v>138</v>
      </c>
      <c r="Q120" s="13" t="s">
        <v>138</v>
      </c>
      <c r="R120" t="s">
        <v>158</v>
      </c>
      <c r="S120" t="s">
        <v>193</v>
      </c>
    </row>
    <row r="121" spans="2:19" x14ac:dyDescent="0.25">
      <c r="B121" t="str">
        <f>Raumbuch!B132</f>
        <v>Obergeschoss</v>
      </c>
      <c r="C121" t="str">
        <f>Raumbuch!D132</f>
        <v>O3</v>
      </c>
      <c r="D121" t="str">
        <f>Raumbuch!F132</f>
        <v>Flur</v>
      </c>
      <c r="E121" t="str">
        <f>Raumbuch!G132</f>
        <v>2.3</v>
      </c>
      <c r="F121" t="str">
        <f>Raumbuch!H132</f>
        <v>Spots n</v>
      </c>
      <c r="G121" t="str">
        <f>Raumbuch!I132</f>
        <v>Beleuchtung</v>
      </c>
      <c r="H121" t="str">
        <f>Raumbuch!J132</f>
        <v>tunable white</v>
      </c>
      <c r="I121" t="str">
        <f>Raumbuch!K132</f>
        <v>DALI</v>
      </c>
      <c r="J121" t="str">
        <f>Raumbuch!N132</f>
        <v>BL1</v>
      </c>
      <c r="K121" t="str">
        <f>Raumbuch!O132</f>
        <v>O3.BL1</v>
      </c>
      <c r="L121" s="11">
        <v>0.2</v>
      </c>
      <c r="M121" s="11">
        <f t="shared" si="5"/>
        <v>55.600000000000051</v>
      </c>
      <c r="N121" s="14">
        <f t="shared" si="3"/>
        <v>56</v>
      </c>
      <c r="O121" s="15" t="str">
        <f t="shared" si="4"/>
        <v>RK56</v>
      </c>
      <c r="P121" t="s">
        <v>138</v>
      </c>
      <c r="Q121" s="13" t="s">
        <v>138</v>
      </c>
      <c r="R121" t="s">
        <v>158</v>
      </c>
      <c r="S121" t="s">
        <v>193</v>
      </c>
    </row>
    <row r="122" spans="2:19" x14ac:dyDescent="0.25">
      <c r="B122" t="str">
        <f>Raumbuch!B133</f>
        <v>Obergeschoss</v>
      </c>
      <c r="C122" t="str">
        <f>Raumbuch!D133</f>
        <v>O3</v>
      </c>
      <c r="D122" t="str">
        <f>Raumbuch!F133</f>
        <v>Flur</v>
      </c>
      <c r="E122" t="str">
        <f>Raumbuch!G133</f>
        <v>2.3</v>
      </c>
      <c r="F122" t="str">
        <f>Raumbuch!H133</f>
        <v>LED Stripe Brüstung</v>
      </c>
      <c r="G122" t="str">
        <f>Raumbuch!I133</f>
        <v>Beleuchtung</v>
      </c>
      <c r="H122" t="str">
        <f>Raumbuch!J133</f>
        <v>dimmbar</v>
      </c>
      <c r="I122" t="str">
        <f>Raumbuch!K133</f>
        <v>DALI</v>
      </c>
      <c r="J122" t="str">
        <f>Raumbuch!N133</f>
        <v>BL2</v>
      </c>
      <c r="K122" t="str">
        <f>Raumbuch!O133</f>
        <v>O3.BL2</v>
      </c>
      <c r="L122" s="11">
        <v>0.2</v>
      </c>
      <c r="M122" s="11">
        <f t="shared" si="5"/>
        <v>55.800000000000054</v>
      </c>
      <c r="N122" s="14">
        <f t="shared" si="3"/>
        <v>56</v>
      </c>
      <c r="O122" s="15" t="str">
        <f t="shared" si="4"/>
        <v>RK56</v>
      </c>
      <c r="P122" t="s">
        <v>138</v>
      </c>
      <c r="Q122" s="13" t="s">
        <v>138</v>
      </c>
      <c r="R122" t="s">
        <v>158</v>
      </c>
      <c r="S122" t="s">
        <v>193</v>
      </c>
    </row>
    <row r="123" spans="2:19" x14ac:dyDescent="0.25">
      <c r="B123" t="str">
        <f>Raumbuch!B134</f>
        <v>Obergeschoss</v>
      </c>
      <c r="C123" t="str">
        <f>Raumbuch!D134</f>
        <v>O3</v>
      </c>
      <c r="D123" t="str">
        <f>Raumbuch!F134</f>
        <v>Flur</v>
      </c>
      <c r="E123" t="str">
        <f>Raumbuch!G134</f>
        <v>2.3</v>
      </c>
      <c r="F123" t="str">
        <f>Raumbuch!H134</f>
        <v>Bewegungsmelder</v>
      </c>
      <c r="G123" t="str">
        <f>Raumbuch!I134</f>
        <v>Sensoren</v>
      </c>
      <c r="H123" t="str">
        <f>Raumbuch!J134</f>
        <v>Bewegungsmelder</v>
      </c>
      <c r="I123" t="str">
        <f>Raumbuch!K134</f>
        <v>KNX</v>
      </c>
      <c r="J123" t="str">
        <f>Raumbuch!N134</f>
        <v>BM1</v>
      </c>
      <c r="K123" t="str">
        <f>Raumbuch!O134</f>
        <v>O3.BM1</v>
      </c>
      <c r="L123" s="11">
        <v>0.2</v>
      </c>
      <c r="M123" s="11">
        <f t="shared" si="5"/>
        <v>56.000000000000057</v>
      </c>
      <c r="N123" s="14">
        <f t="shared" si="3"/>
        <v>57</v>
      </c>
      <c r="O123" s="15" t="str">
        <f t="shared" si="4"/>
        <v>RK57</v>
      </c>
      <c r="P123" t="s">
        <v>138</v>
      </c>
      <c r="Q123" s="13" t="s">
        <v>138</v>
      </c>
      <c r="R123" t="s">
        <v>158</v>
      </c>
      <c r="S123" t="s">
        <v>194</v>
      </c>
    </row>
    <row r="124" spans="2:19" x14ac:dyDescent="0.25">
      <c r="B124" t="str">
        <f>Raumbuch!B135</f>
        <v>Obergeschoss</v>
      </c>
      <c r="C124" t="str">
        <f>Raumbuch!D135</f>
        <v>O3</v>
      </c>
      <c r="D124" t="str">
        <f>Raumbuch!F135</f>
        <v>Flur</v>
      </c>
      <c r="E124" t="str">
        <f>Raumbuch!G135</f>
        <v>2.3</v>
      </c>
      <c r="F124" t="str">
        <f>Raumbuch!H135</f>
        <v>Anschluss Wallscreen</v>
      </c>
      <c r="G124" t="str">
        <f>Raumbuch!I135</f>
        <v>Steckdosen</v>
      </c>
      <c r="H124" t="str">
        <f>Raumbuch!J135</f>
        <v>Anschluss ohne Steckdose</v>
      </c>
      <c r="I124" t="str">
        <f>Raumbuch!K135</f>
        <v>230 V AC</v>
      </c>
      <c r="J124" t="str">
        <f>Raumbuch!N135</f>
        <v>SD1</v>
      </c>
      <c r="K124" t="str">
        <f>Raumbuch!O135</f>
        <v>O3.SD1</v>
      </c>
      <c r="L124" s="11">
        <v>1</v>
      </c>
      <c r="M124" s="11">
        <f t="shared" si="5"/>
        <v>57.000000000000057</v>
      </c>
      <c r="N124" s="14">
        <f t="shared" si="3"/>
        <v>58</v>
      </c>
      <c r="O124" s="15" t="str">
        <f t="shared" si="4"/>
        <v>RK58</v>
      </c>
      <c r="P124" t="s">
        <v>167</v>
      </c>
      <c r="Q124" t="s">
        <v>151</v>
      </c>
      <c r="R124" t="s">
        <v>158</v>
      </c>
      <c r="S124" t="s">
        <v>194</v>
      </c>
    </row>
    <row r="125" spans="2:19" x14ac:dyDescent="0.25">
      <c r="B125" t="str">
        <f>Raumbuch!B136</f>
        <v>Obergeschoss</v>
      </c>
      <c r="C125" t="str">
        <f>Raumbuch!D136</f>
        <v>O3</v>
      </c>
      <c r="D125" t="str">
        <f>Raumbuch!F136</f>
        <v>Flur</v>
      </c>
      <c r="E125" t="str">
        <f>Raumbuch!G136</f>
        <v>2.3</v>
      </c>
      <c r="F125" t="str">
        <f>Raumbuch!H136</f>
        <v>HDMI</v>
      </c>
      <c r="G125" t="str">
        <f>Raumbuch!I136</f>
        <v>Steckdosen</v>
      </c>
      <c r="H125" t="str">
        <f>Raumbuch!J136</f>
        <v>Anschluss ohne Steckdose</v>
      </c>
      <c r="I125" t="str">
        <f>Raumbuch!K136</f>
        <v>HDMI</v>
      </c>
      <c r="J125" t="str">
        <f>Raumbuch!N136</f>
        <v>HD1</v>
      </c>
      <c r="K125" t="str">
        <f>Raumbuch!O136</f>
        <v>O3.HD1</v>
      </c>
      <c r="L125" s="11">
        <v>0.33333333333333331</v>
      </c>
      <c r="M125" s="11">
        <f t="shared" si="5"/>
        <v>57.333333333333393</v>
      </c>
      <c r="N125" s="14">
        <f t="shared" si="3"/>
        <v>58</v>
      </c>
      <c r="O125" s="15" t="str">
        <f t="shared" si="4"/>
        <v>RK58</v>
      </c>
      <c r="P125" t="s">
        <v>195</v>
      </c>
      <c r="Q125" t="s">
        <v>196</v>
      </c>
      <c r="R125" t="s">
        <v>158</v>
      </c>
      <c r="S125" t="s">
        <v>194</v>
      </c>
    </row>
    <row r="126" spans="2:19" x14ac:dyDescent="0.25">
      <c r="B126" t="str">
        <f>Raumbuch!B137</f>
        <v>Obergeschoss</v>
      </c>
      <c r="C126" t="str">
        <f>Raumbuch!D137</f>
        <v>O3</v>
      </c>
      <c r="D126" t="str">
        <f>Raumbuch!F137</f>
        <v>Flur</v>
      </c>
      <c r="E126" t="str">
        <f>Raumbuch!G137</f>
        <v>2.3</v>
      </c>
      <c r="F126" t="str">
        <f>Raumbuch!H137</f>
        <v>Netzwerkdose</v>
      </c>
      <c r="G126" t="str">
        <f>Raumbuch!I137</f>
        <v>Steckdosen</v>
      </c>
      <c r="H126" t="str">
        <f>Raumbuch!J137</f>
        <v>Anschluss ohne Steckdose</v>
      </c>
      <c r="I126" t="str">
        <f>Raumbuch!K137</f>
        <v>Ethernet</v>
      </c>
      <c r="J126" t="str">
        <f>Raumbuch!N137</f>
        <v>ND1</v>
      </c>
      <c r="K126" t="str">
        <f>Raumbuch!O137</f>
        <v>O3.ND1</v>
      </c>
      <c r="L126" s="11">
        <v>0.33333333333333331</v>
      </c>
      <c r="M126" s="11">
        <f t="shared" si="5"/>
        <v>57.666666666666728</v>
      </c>
      <c r="N126" s="14">
        <f t="shared" si="3"/>
        <v>58</v>
      </c>
      <c r="O126" s="15" t="str">
        <f t="shared" si="4"/>
        <v>RK58</v>
      </c>
      <c r="P126" t="s">
        <v>195</v>
      </c>
      <c r="Q126" t="s">
        <v>196</v>
      </c>
      <c r="R126" t="s">
        <v>158</v>
      </c>
      <c r="S126" t="s">
        <v>194</v>
      </c>
    </row>
    <row r="127" spans="2:19" x14ac:dyDescent="0.25">
      <c r="B127" t="str">
        <f>Raumbuch!B138</f>
        <v>Obergeschoss</v>
      </c>
      <c r="C127" t="str">
        <f>Raumbuch!D138</f>
        <v>O3</v>
      </c>
      <c r="D127" t="str">
        <f>Raumbuch!F138</f>
        <v>Flur</v>
      </c>
      <c r="E127" t="str">
        <f>Raumbuch!G138</f>
        <v>2.3</v>
      </c>
      <c r="F127" t="str">
        <f>Raumbuch!H138</f>
        <v>Steckdose Ost 1</v>
      </c>
      <c r="G127" t="str">
        <f>Raumbuch!I138</f>
        <v>Steckdosen</v>
      </c>
      <c r="H127" t="str">
        <f>Raumbuch!J138</f>
        <v>ohne Schaltaktor</v>
      </c>
      <c r="I127" t="str">
        <f>Raumbuch!K138</f>
        <v>230 V AC</v>
      </c>
      <c r="J127" t="str">
        <f>Raumbuch!N138</f>
        <v>SD2</v>
      </c>
      <c r="K127" t="str">
        <f>Raumbuch!O138</f>
        <v>O3.SD2</v>
      </c>
      <c r="L127" s="11">
        <v>0.33333333333333331</v>
      </c>
      <c r="M127" s="11">
        <f t="shared" si="5"/>
        <v>58.000000000000064</v>
      </c>
      <c r="N127" s="14">
        <f t="shared" si="3"/>
        <v>59</v>
      </c>
      <c r="O127" s="15" t="str">
        <f t="shared" si="4"/>
        <v>RK59</v>
      </c>
      <c r="P127" t="s">
        <v>195</v>
      </c>
      <c r="Q127" t="s">
        <v>196</v>
      </c>
    </row>
    <row r="128" spans="2:19" x14ac:dyDescent="0.25">
      <c r="B128" t="str">
        <f>Raumbuch!B126</f>
        <v>Erdgeschoss</v>
      </c>
      <c r="C128" t="str">
        <f>Raumbuch!D126</f>
        <v>E3</v>
      </c>
      <c r="D128" t="str">
        <f>Raumbuch!F126</f>
        <v>Büro</v>
      </c>
      <c r="E128" t="str">
        <f>Raumbuch!G126</f>
        <v>1.3</v>
      </c>
      <c r="F128" t="str">
        <f>Raumbuch!H126</f>
        <v>Steckdose Süd 4</v>
      </c>
      <c r="G128" t="str">
        <f>Raumbuch!I126</f>
        <v>Steckdosen</v>
      </c>
      <c r="H128" t="str">
        <f>Raumbuch!J126</f>
        <v>ohne Schaltaktor</v>
      </c>
      <c r="I128" t="str">
        <f>Raumbuch!K126</f>
        <v>230 V AC</v>
      </c>
      <c r="J128" t="str">
        <f>Raumbuch!N126</f>
        <v>SD16</v>
      </c>
      <c r="K128" t="str">
        <f>Raumbuch!O126</f>
        <v>E3.SD16</v>
      </c>
      <c r="L128" s="11">
        <v>0.33333333333333331</v>
      </c>
      <c r="M128" s="11">
        <f t="shared" si="5"/>
        <v>58.3333333333334</v>
      </c>
      <c r="N128" s="14">
        <f t="shared" si="3"/>
        <v>59</v>
      </c>
      <c r="O128" s="15" t="str">
        <f t="shared" si="4"/>
        <v>RK59</v>
      </c>
      <c r="P128" t="s">
        <v>145</v>
      </c>
      <c r="Q128" t="s">
        <v>182</v>
      </c>
      <c r="R128" s="13" t="s">
        <v>138</v>
      </c>
      <c r="S128" s="13" t="s">
        <v>138</v>
      </c>
    </row>
    <row r="129" spans="2:19" x14ac:dyDescent="0.25">
      <c r="B129" t="str">
        <f>Raumbuch!B127</f>
        <v>Erdgeschoss</v>
      </c>
      <c r="C129" t="str">
        <f>Raumbuch!D127</f>
        <v>E3</v>
      </c>
      <c r="D129" t="str">
        <f>Raumbuch!F127</f>
        <v>Büro</v>
      </c>
      <c r="E129" t="str">
        <f>Raumbuch!G127</f>
        <v>1.3</v>
      </c>
      <c r="F129" t="str">
        <f>Raumbuch!H127</f>
        <v>Steckdose Süd 5</v>
      </c>
      <c r="G129" t="str">
        <f>Raumbuch!I127</f>
        <v>Steckdosen</v>
      </c>
      <c r="H129" t="str">
        <f>Raumbuch!J127</f>
        <v>ohne Schaltaktor</v>
      </c>
      <c r="I129" t="str">
        <f>Raumbuch!K127</f>
        <v>230 V AC</v>
      </c>
      <c r="J129" t="str">
        <f>Raumbuch!N127</f>
        <v>SD17</v>
      </c>
      <c r="K129" t="str">
        <f>Raumbuch!O127</f>
        <v>E3.SD17</v>
      </c>
      <c r="L129" s="11">
        <v>0.33333333333333331</v>
      </c>
      <c r="M129" s="11">
        <f t="shared" si="5"/>
        <v>58.666666666666735</v>
      </c>
      <c r="N129" s="14">
        <f t="shared" si="3"/>
        <v>59</v>
      </c>
      <c r="O129" s="15" t="str">
        <f t="shared" si="4"/>
        <v>RK59</v>
      </c>
      <c r="P129" t="s">
        <v>145</v>
      </c>
      <c r="Q129" t="s">
        <v>182</v>
      </c>
      <c r="R129" s="13" t="s">
        <v>138</v>
      </c>
      <c r="S129" s="13" t="s">
        <v>138</v>
      </c>
    </row>
    <row r="130" spans="2:19" x14ac:dyDescent="0.25">
      <c r="B130" t="str">
        <f>Raumbuch!B128</f>
        <v>Erdgeschoss</v>
      </c>
      <c r="C130" t="str">
        <f>Raumbuch!D128</f>
        <v>E3</v>
      </c>
      <c r="D130" t="str">
        <f>Raumbuch!F128</f>
        <v>Büro</v>
      </c>
      <c r="E130" t="str">
        <f>Raumbuch!G128</f>
        <v>1.3</v>
      </c>
      <c r="F130" t="str">
        <f>Raumbuch!H128</f>
        <v>Netzwerkdose Süd</v>
      </c>
      <c r="G130" t="str">
        <f>Raumbuch!I128</f>
        <v>Steckdosen</v>
      </c>
      <c r="H130" t="str">
        <f>Raumbuch!J128</f>
        <v>LAN 2-fach</v>
      </c>
      <c r="I130" t="str">
        <f>Raumbuch!K128</f>
        <v>Ethernet</v>
      </c>
      <c r="J130" t="str">
        <f>Raumbuch!N128</f>
        <v>ND3</v>
      </c>
      <c r="K130" t="str">
        <f>Raumbuch!O128</f>
        <v>E3.ND3</v>
      </c>
      <c r="L130" s="11">
        <v>0.33333333333333331</v>
      </c>
      <c r="M130" s="11">
        <f t="shared" si="5"/>
        <v>59.000000000000071</v>
      </c>
      <c r="N130" s="14">
        <f t="shared" si="3"/>
        <v>60</v>
      </c>
      <c r="O130" s="15" t="str">
        <f t="shared" si="4"/>
        <v>RK60</v>
      </c>
      <c r="P130" t="s">
        <v>145</v>
      </c>
      <c r="Q130" t="s">
        <v>182</v>
      </c>
      <c r="R130" s="13" t="s">
        <v>138</v>
      </c>
      <c r="S130" s="13" t="s">
        <v>138</v>
      </c>
    </row>
    <row r="131" spans="2:19" x14ac:dyDescent="0.25">
      <c r="B131" t="str">
        <f>Raumbuch!B154</f>
        <v>Erdgeschoss</v>
      </c>
      <c r="C131" t="str">
        <f>Raumbuch!D154</f>
        <v>E4</v>
      </c>
      <c r="D131" t="str">
        <f>Raumbuch!F154</f>
        <v>Esszimmer</v>
      </c>
      <c r="E131" t="str">
        <f>Raumbuch!G154</f>
        <v>1.4</v>
      </c>
      <c r="F131" t="str">
        <f>Raumbuch!H154</f>
        <v>Steckdose Nord 1</v>
      </c>
      <c r="G131" t="str">
        <f>Raumbuch!I154</f>
        <v>Steckdosen</v>
      </c>
      <c r="H131" t="str">
        <f>Raumbuch!J154</f>
        <v>mit Schaltaktor</v>
      </c>
      <c r="I131" t="str">
        <f>Raumbuch!K154</f>
        <v>230 V AC</v>
      </c>
      <c r="J131" t="str">
        <f>Raumbuch!N154</f>
        <v>SD1</v>
      </c>
      <c r="K131" t="str">
        <f>Raumbuch!O154</f>
        <v>E4.SD1</v>
      </c>
      <c r="L131" s="11">
        <v>1</v>
      </c>
      <c r="M131" s="11">
        <f t="shared" si="5"/>
        <v>60.000000000000071</v>
      </c>
      <c r="N131" s="14">
        <f t="shared" si="3"/>
        <v>61</v>
      </c>
      <c r="O131" s="15" t="str">
        <f t="shared" si="4"/>
        <v>RK61</v>
      </c>
      <c r="P131" t="s">
        <v>140</v>
      </c>
      <c r="Q131" t="s">
        <v>197</v>
      </c>
      <c r="R131" t="s">
        <v>158</v>
      </c>
      <c r="S131" t="s">
        <v>159</v>
      </c>
    </row>
    <row r="132" spans="2:19" x14ac:dyDescent="0.25">
      <c r="B132" t="str">
        <f>Raumbuch!B140</f>
        <v>Obergeschoss</v>
      </c>
      <c r="C132" t="str">
        <f>Raumbuch!D140</f>
        <v>O3</v>
      </c>
      <c r="D132" t="str">
        <f>Raumbuch!F140</f>
        <v>Flur</v>
      </c>
      <c r="E132" t="str">
        <f>Raumbuch!G140</f>
        <v>2.3</v>
      </c>
      <c r="F132" t="str">
        <f>Raumbuch!H140</f>
        <v>Steckdose Süd 1</v>
      </c>
      <c r="G132" t="str">
        <f>Raumbuch!I140</f>
        <v>Steckdosen</v>
      </c>
      <c r="H132" t="str">
        <f>Raumbuch!J140</f>
        <v>ohne Schaltaktor</v>
      </c>
      <c r="I132" t="str">
        <f>Raumbuch!K140</f>
        <v>230 V AC</v>
      </c>
      <c r="J132" t="str">
        <f>Raumbuch!N140</f>
        <v>SD4</v>
      </c>
      <c r="K132" t="str">
        <f>Raumbuch!O140</f>
        <v>O3.SD4</v>
      </c>
      <c r="L132" s="11">
        <v>0</v>
      </c>
      <c r="M132" s="11">
        <f t="shared" si="5"/>
        <v>60.000000000000071</v>
      </c>
      <c r="N132" s="14">
        <f t="shared" ref="N132:N195" si="6">ROUNDUP(M132,0)</f>
        <v>61</v>
      </c>
      <c r="O132" s="15" t="str">
        <f t="shared" ref="O132:O195" si="7">IF(L132&gt;0,"RK"&amp;N132,"-")</f>
        <v>-</v>
      </c>
      <c r="P132" t="s">
        <v>161</v>
      </c>
      <c r="Q132" t="s">
        <v>198</v>
      </c>
      <c r="R132" t="s">
        <v>158</v>
      </c>
      <c r="S132" t="s">
        <v>199</v>
      </c>
    </row>
    <row r="133" spans="2:19" x14ac:dyDescent="0.25">
      <c r="B133" t="str">
        <f>Raumbuch!B141</f>
        <v>Obergeschoss</v>
      </c>
      <c r="C133" t="str">
        <f>Raumbuch!D141</f>
        <v>O3</v>
      </c>
      <c r="D133" t="str">
        <f>Raumbuch!F141</f>
        <v>Flur</v>
      </c>
      <c r="E133" t="str">
        <f>Raumbuch!G141</f>
        <v>2.3</v>
      </c>
      <c r="F133" t="str">
        <f>Raumbuch!H141</f>
        <v>Steckdose Süd 2</v>
      </c>
      <c r="G133" t="str">
        <f>Raumbuch!I141</f>
        <v>Steckdosen</v>
      </c>
      <c r="H133" t="str">
        <f>Raumbuch!J141</f>
        <v>ohne Schaltaktor</v>
      </c>
      <c r="I133" t="str">
        <f>Raumbuch!K141</f>
        <v>230 V AC</v>
      </c>
      <c r="J133" t="str">
        <f>Raumbuch!N141</f>
        <v>SD5</v>
      </c>
      <c r="K133" t="str">
        <f>Raumbuch!O141</f>
        <v>O3.SD5</v>
      </c>
      <c r="L133" s="11">
        <v>0</v>
      </c>
      <c r="M133" s="11">
        <f t="shared" ref="M133:M196" si="8">M132+L133</f>
        <v>60.000000000000071</v>
      </c>
      <c r="N133" s="14">
        <f t="shared" si="6"/>
        <v>61</v>
      </c>
      <c r="O133" s="15" t="str">
        <f t="shared" si="7"/>
        <v>-</v>
      </c>
      <c r="P133" t="s">
        <v>154</v>
      </c>
      <c r="Q133" t="s">
        <v>162</v>
      </c>
      <c r="R133" t="s">
        <v>158</v>
      </c>
      <c r="S133" t="s">
        <v>199</v>
      </c>
    </row>
    <row r="134" spans="2:19" x14ac:dyDescent="0.25">
      <c r="B134" t="str">
        <f>Raumbuch!B142</f>
        <v>Obergeschoss</v>
      </c>
      <c r="C134" t="str">
        <f>Raumbuch!D142</f>
        <v>O3</v>
      </c>
      <c r="D134" t="str">
        <f>Raumbuch!F142</f>
        <v>Flur</v>
      </c>
      <c r="E134" t="str">
        <f>Raumbuch!G142</f>
        <v>2.3</v>
      </c>
      <c r="F134" t="str">
        <f>Raumbuch!H142</f>
        <v>Steckdose West 1</v>
      </c>
      <c r="G134" t="str">
        <f>Raumbuch!I142</f>
        <v>Steckdosen</v>
      </c>
      <c r="H134" t="str">
        <f>Raumbuch!J142</f>
        <v>ohne Schaltaktor</v>
      </c>
      <c r="I134" t="str">
        <f>Raumbuch!K142</f>
        <v>230 V AC</v>
      </c>
      <c r="J134" t="str">
        <f>Raumbuch!N142</f>
        <v>SD6</v>
      </c>
      <c r="K134" t="str">
        <f>Raumbuch!O142</f>
        <v>O3.SD6</v>
      </c>
      <c r="L134" s="11">
        <v>0</v>
      </c>
      <c r="M134" s="11">
        <f t="shared" si="8"/>
        <v>60.000000000000071</v>
      </c>
      <c r="N134" s="14">
        <f t="shared" si="6"/>
        <v>61</v>
      </c>
      <c r="O134" s="15" t="str">
        <f t="shared" si="7"/>
        <v>-</v>
      </c>
      <c r="P134" t="s">
        <v>137</v>
      </c>
      <c r="Q134" s="13" t="s">
        <v>138</v>
      </c>
      <c r="R134" t="s">
        <v>158</v>
      </c>
      <c r="S134" t="s">
        <v>199</v>
      </c>
    </row>
    <row r="135" spans="2:19" x14ac:dyDescent="0.25">
      <c r="B135" t="str">
        <f>Raumbuch!B143</f>
        <v>Obergeschoss</v>
      </c>
      <c r="C135" t="str">
        <f>Raumbuch!D143</f>
        <v>O3</v>
      </c>
      <c r="D135" t="str">
        <f>Raumbuch!F143</f>
        <v>Flur</v>
      </c>
      <c r="E135" t="str">
        <f>Raumbuch!G143</f>
        <v>2.3</v>
      </c>
      <c r="F135" t="str">
        <f>Raumbuch!H143</f>
        <v>Stellmotor HKV n</v>
      </c>
      <c r="G135" t="str">
        <f>Raumbuch!I143</f>
        <v>Steckdosen</v>
      </c>
      <c r="H135" t="str">
        <f>Raumbuch!J143</f>
        <v>Anschluss ohne Steckdose</v>
      </c>
      <c r="I135" t="str">
        <f>Raumbuch!K143</f>
        <v>230 V AC - Heizung</v>
      </c>
      <c r="J135" t="str">
        <f>Raumbuch!N143</f>
        <v>SMn</v>
      </c>
      <c r="K135" t="str">
        <f>Raumbuch!O143</f>
        <v>O3.SMn</v>
      </c>
      <c r="L135" s="11">
        <v>0</v>
      </c>
      <c r="M135" s="11">
        <f t="shared" si="8"/>
        <v>60.000000000000071</v>
      </c>
      <c r="N135" s="14">
        <f t="shared" si="6"/>
        <v>61</v>
      </c>
      <c r="O135" s="15" t="str">
        <f t="shared" si="7"/>
        <v>-</v>
      </c>
      <c r="P135" t="s">
        <v>138</v>
      </c>
      <c r="Q135" s="13" t="s">
        <v>138</v>
      </c>
      <c r="R135" t="s">
        <v>158</v>
      </c>
      <c r="S135" t="s">
        <v>199</v>
      </c>
    </row>
    <row r="136" spans="2:19" x14ac:dyDescent="0.25">
      <c r="B136" t="str">
        <f>Raumbuch!B147</f>
        <v>Erdgeschoss</v>
      </c>
      <c r="C136" t="str">
        <f>Raumbuch!D147</f>
        <v>E4</v>
      </c>
      <c r="D136" t="str">
        <f>Raumbuch!F147</f>
        <v>Esszimmer</v>
      </c>
      <c r="E136" t="str">
        <f>Raumbuch!G147</f>
        <v>1.4</v>
      </c>
      <c r="F136" t="str">
        <f>Raumbuch!H147</f>
        <v>Deckenlautsprecher 2</v>
      </c>
      <c r="G136" t="str">
        <f>Raumbuch!I147</f>
        <v>Audio</v>
      </c>
      <c r="H136">
        <f>Raumbuch!J147</f>
        <v>0</v>
      </c>
      <c r="I136" t="str">
        <f>Raumbuch!K147</f>
        <v>DIGITAL (potentialfrei)</v>
      </c>
      <c r="J136" t="str">
        <f>Raumbuch!N147</f>
        <v>DL2</v>
      </c>
      <c r="K136" t="str">
        <f>Raumbuch!O147</f>
        <v>E4.DL2</v>
      </c>
      <c r="L136" s="11">
        <v>1</v>
      </c>
      <c r="M136" s="11">
        <f t="shared" si="8"/>
        <v>61.000000000000071</v>
      </c>
      <c r="N136" s="14">
        <f t="shared" si="6"/>
        <v>62</v>
      </c>
      <c r="O136" s="15" t="str">
        <f t="shared" si="7"/>
        <v>RK62</v>
      </c>
      <c r="P136" t="s">
        <v>167</v>
      </c>
      <c r="Q136" t="s">
        <v>198</v>
      </c>
      <c r="R136" s="13" t="s">
        <v>138</v>
      </c>
      <c r="S136" s="13" t="s">
        <v>138</v>
      </c>
    </row>
    <row r="137" spans="2:19" x14ac:dyDescent="0.25">
      <c r="B137" t="str">
        <f>Raumbuch!B148</f>
        <v>Erdgeschoss</v>
      </c>
      <c r="C137" t="str">
        <f>Raumbuch!D148</f>
        <v>E4</v>
      </c>
      <c r="D137" t="str">
        <f>Raumbuch!F148</f>
        <v>Esszimmer</v>
      </c>
      <c r="E137" t="str">
        <f>Raumbuch!G148</f>
        <v>1.4</v>
      </c>
      <c r="F137" t="str">
        <f>Raumbuch!H148</f>
        <v>Spots n</v>
      </c>
      <c r="G137" t="str">
        <f>Raumbuch!I148</f>
        <v>Beleuchtung</v>
      </c>
      <c r="H137" t="str">
        <f>Raumbuch!J148</f>
        <v>tunable white</v>
      </c>
      <c r="I137" t="str">
        <f>Raumbuch!K148</f>
        <v>DALI</v>
      </c>
      <c r="J137" t="str">
        <f>Raumbuch!N148</f>
        <v>BL1</v>
      </c>
      <c r="K137" t="str">
        <f>Raumbuch!O148</f>
        <v>E4.BL1</v>
      </c>
      <c r="L137" s="11">
        <v>1</v>
      </c>
      <c r="M137" s="11">
        <f t="shared" si="8"/>
        <v>62.000000000000071</v>
      </c>
      <c r="N137" s="14">
        <f t="shared" si="6"/>
        <v>63</v>
      </c>
      <c r="O137" s="15" t="str">
        <f t="shared" si="7"/>
        <v>RK63</v>
      </c>
      <c r="P137" t="s">
        <v>200</v>
      </c>
      <c r="Q137" t="s">
        <v>162</v>
      </c>
      <c r="R137" s="13" t="s">
        <v>138</v>
      </c>
      <c r="S137" s="13" t="s">
        <v>138</v>
      </c>
    </row>
    <row r="138" spans="2:19" x14ac:dyDescent="0.25">
      <c r="B138" t="str">
        <f>Raumbuch!B149</f>
        <v>Erdgeschoss</v>
      </c>
      <c r="C138" t="str">
        <f>Raumbuch!D149</f>
        <v>E4</v>
      </c>
      <c r="D138" t="str">
        <f>Raumbuch!F149</f>
        <v>Esszimmer</v>
      </c>
      <c r="E138" t="str">
        <f>Raumbuch!G149</f>
        <v>1.4</v>
      </c>
      <c r="F138" t="str">
        <f>Raumbuch!H149</f>
        <v>LED Stripe Ambiente</v>
      </c>
      <c r="G138" t="str">
        <f>Raumbuch!I149</f>
        <v>Beleuchtung</v>
      </c>
      <c r="H138" t="str">
        <f>Raumbuch!J149</f>
        <v>tunable white</v>
      </c>
      <c r="I138" t="str">
        <f>Raumbuch!K149</f>
        <v>DALI</v>
      </c>
      <c r="J138" t="str">
        <f>Raumbuch!N149</f>
        <v>BL2</v>
      </c>
      <c r="K138" t="str">
        <f>Raumbuch!O149</f>
        <v>E4.BL2</v>
      </c>
      <c r="L138" s="11">
        <v>1</v>
      </c>
      <c r="M138" s="11">
        <f t="shared" si="8"/>
        <v>63.000000000000071</v>
      </c>
      <c r="N138" s="14">
        <f t="shared" si="6"/>
        <v>64</v>
      </c>
      <c r="O138" s="15" t="str">
        <f t="shared" si="7"/>
        <v>RK64</v>
      </c>
      <c r="P138" t="s">
        <v>200</v>
      </c>
      <c r="Q138" t="s">
        <v>105</v>
      </c>
      <c r="R138" s="13" t="s">
        <v>138</v>
      </c>
      <c r="S138" s="13" t="s">
        <v>138</v>
      </c>
    </row>
    <row r="139" spans="2:19" x14ac:dyDescent="0.25">
      <c r="B139" t="str">
        <f>Raumbuch!B150</f>
        <v>Erdgeschoss</v>
      </c>
      <c r="C139" t="str">
        <f>Raumbuch!D150</f>
        <v>E4</v>
      </c>
      <c r="D139" t="str">
        <f>Raumbuch!F150</f>
        <v>Esszimmer</v>
      </c>
      <c r="E139" t="str">
        <f>Raumbuch!G150</f>
        <v>1.4</v>
      </c>
      <c r="F139" t="str">
        <f>Raumbuch!H150</f>
        <v>Anschluss Rolladen West</v>
      </c>
      <c r="G139" t="str">
        <f>Raumbuch!I150</f>
        <v>Beschattung</v>
      </c>
      <c r="H139" t="str">
        <f>Raumbuch!J150</f>
        <v>Raffstore</v>
      </c>
      <c r="I139" t="str">
        <f>Raumbuch!K150</f>
        <v>230 V AC - Beschattung</v>
      </c>
      <c r="J139" t="str">
        <f>Raumbuch!N150</f>
        <v>RS1</v>
      </c>
      <c r="K139" t="str">
        <f>Raumbuch!O150</f>
        <v>E4.RS1</v>
      </c>
      <c r="L139" s="11">
        <v>0.25</v>
      </c>
      <c r="M139" s="11">
        <f t="shared" si="8"/>
        <v>63.250000000000071</v>
      </c>
      <c r="N139" s="14">
        <f t="shared" si="6"/>
        <v>64</v>
      </c>
      <c r="O139" s="15" t="str">
        <f t="shared" si="7"/>
        <v>RK64</v>
      </c>
      <c r="P139" t="s">
        <v>195</v>
      </c>
      <c r="Q139" t="s">
        <v>201</v>
      </c>
      <c r="R139" t="s">
        <v>158</v>
      </c>
      <c r="S139" t="s">
        <v>202</v>
      </c>
    </row>
    <row r="140" spans="2:19" x14ac:dyDescent="0.25">
      <c r="B140" t="str">
        <f>Raumbuch!B151</f>
        <v>Erdgeschoss</v>
      </c>
      <c r="C140" t="str">
        <f>Raumbuch!D151</f>
        <v>E4</v>
      </c>
      <c r="D140" t="str">
        <f>Raumbuch!F151</f>
        <v>Esszimmer</v>
      </c>
      <c r="E140" t="str">
        <f>Raumbuch!G151</f>
        <v>1.4</v>
      </c>
      <c r="F140" t="str">
        <f>Raumbuch!H151</f>
        <v>Tastsensor Nord</v>
      </c>
      <c r="G140" t="str">
        <f>Raumbuch!I151</f>
        <v>Sensoren</v>
      </c>
      <c r="H140" t="str">
        <f>Raumbuch!J151</f>
        <v>Taster mit Temperaturmesser</v>
      </c>
      <c r="I140" t="str">
        <f>Raumbuch!K151</f>
        <v>KNX</v>
      </c>
      <c r="J140" t="str">
        <f>Raumbuch!N151</f>
        <v>TS1</v>
      </c>
      <c r="K140" t="str">
        <f>Raumbuch!O151</f>
        <v>E4.TS1</v>
      </c>
      <c r="L140" s="11">
        <v>0.25</v>
      </c>
      <c r="M140" s="11">
        <f t="shared" si="8"/>
        <v>63.500000000000071</v>
      </c>
      <c r="N140" s="14">
        <f t="shared" si="6"/>
        <v>64</v>
      </c>
      <c r="O140" s="15" t="str">
        <f t="shared" si="7"/>
        <v>RK64</v>
      </c>
      <c r="P140" t="s">
        <v>195</v>
      </c>
      <c r="Q140" t="s">
        <v>201</v>
      </c>
      <c r="R140" t="s">
        <v>158</v>
      </c>
      <c r="S140" t="s">
        <v>202</v>
      </c>
    </row>
    <row r="141" spans="2:19" x14ac:dyDescent="0.25">
      <c r="B141" t="str">
        <f>Raumbuch!B152</f>
        <v>Erdgeschoss</v>
      </c>
      <c r="C141" t="str">
        <f>Raumbuch!D152</f>
        <v>E4</v>
      </c>
      <c r="D141" t="str">
        <f>Raumbuch!F152</f>
        <v>Esszimmer</v>
      </c>
      <c r="E141" t="str">
        <f>Raumbuch!G152</f>
        <v>1.4</v>
      </c>
      <c r="F141" t="str">
        <f>Raumbuch!H152</f>
        <v>Fensterkontakt West</v>
      </c>
      <c r="G141" t="str">
        <f>Raumbuch!I152</f>
        <v>Sensoren</v>
      </c>
      <c r="H141" t="str">
        <f>Raumbuch!J152</f>
        <v>Fensterkontakt Reed</v>
      </c>
      <c r="I141" t="str">
        <f>Raumbuch!K152</f>
        <v>DIGITAL (potentialfrei)</v>
      </c>
      <c r="J141" t="str">
        <f>Raumbuch!N152</f>
        <v>FK1</v>
      </c>
      <c r="K141" t="str">
        <f>Raumbuch!O152</f>
        <v>E4.FK1</v>
      </c>
      <c r="L141" s="11">
        <v>0.25</v>
      </c>
      <c r="M141" s="11">
        <f t="shared" si="8"/>
        <v>63.750000000000071</v>
      </c>
      <c r="N141" s="14">
        <f t="shared" si="6"/>
        <v>64</v>
      </c>
      <c r="O141" s="15" t="str">
        <f t="shared" si="7"/>
        <v>RK64</v>
      </c>
      <c r="P141" t="s">
        <v>195</v>
      </c>
      <c r="Q141" t="s">
        <v>201</v>
      </c>
      <c r="R141" t="s">
        <v>158</v>
      </c>
      <c r="S141" t="s">
        <v>202</v>
      </c>
    </row>
    <row r="142" spans="2:19" x14ac:dyDescent="0.25">
      <c r="B142" t="str">
        <f>Raumbuch!B153</f>
        <v>Erdgeschoss</v>
      </c>
      <c r="C142" t="str">
        <f>Raumbuch!D153</f>
        <v>E4</v>
      </c>
      <c r="D142" t="str">
        <f>Raumbuch!F153</f>
        <v>Esszimmer</v>
      </c>
      <c r="E142" t="str">
        <f>Raumbuch!G153</f>
        <v>1.4</v>
      </c>
      <c r="F142" t="str">
        <f>Raumbuch!H153</f>
        <v>Präsenzmelder</v>
      </c>
      <c r="G142" t="str">
        <f>Raumbuch!I153</f>
        <v>Sensoren</v>
      </c>
      <c r="H142" t="str">
        <f>Raumbuch!J153</f>
        <v>Präsenzmelder mit KLR</v>
      </c>
      <c r="I142" t="str">
        <f>Raumbuch!K153</f>
        <v>KNX</v>
      </c>
      <c r="J142" t="str">
        <f>Raumbuch!N153</f>
        <v>PM1</v>
      </c>
      <c r="K142" t="str">
        <f>Raumbuch!O153</f>
        <v>E4.PM1</v>
      </c>
      <c r="L142" s="11">
        <v>0.25</v>
      </c>
      <c r="M142" s="11">
        <f t="shared" si="8"/>
        <v>64.000000000000071</v>
      </c>
      <c r="N142" s="14">
        <f t="shared" si="6"/>
        <v>65</v>
      </c>
      <c r="O142" s="15" t="str">
        <f t="shared" si="7"/>
        <v>RK65</v>
      </c>
      <c r="P142" t="s">
        <v>195</v>
      </c>
      <c r="Q142" t="s">
        <v>201</v>
      </c>
      <c r="R142" t="s">
        <v>158</v>
      </c>
      <c r="S142" t="s">
        <v>159</v>
      </c>
    </row>
    <row r="143" spans="2:19" x14ac:dyDescent="0.25">
      <c r="B143" t="str">
        <f>Raumbuch!B144</f>
        <v>Obergeschoss</v>
      </c>
      <c r="C143" t="str">
        <f>Raumbuch!D144</f>
        <v>O3</v>
      </c>
      <c r="D143" t="str">
        <f>Raumbuch!F144</f>
        <v>Flur</v>
      </c>
      <c r="E143" t="str">
        <f>Raumbuch!G144</f>
        <v>2.3</v>
      </c>
      <c r="F143" t="str">
        <f>Raumbuch!H144</f>
        <v>DALI EVG Spots</v>
      </c>
      <c r="G143" t="str">
        <f>Raumbuch!I144</f>
        <v>Zentral</v>
      </c>
      <c r="H143" t="str">
        <f>Raumbuch!J144</f>
        <v>DALI DT8 EVG</v>
      </c>
      <c r="I143" t="str">
        <f>Raumbuch!K144</f>
        <v>24 V DC</v>
      </c>
      <c r="J143" t="str">
        <f>Raumbuch!N144</f>
        <v>DA1</v>
      </c>
      <c r="K143" t="str">
        <f>Raumbuch!O144</f>
        <v>O3.DA1</v>
      </c>
      <c r="L143" s="11">
        <v>0.33333333333333331</v>
      </c>
      <c r="M143" s="11">
        <f t="shared" si="8"/>
        <v>64.3333333333334</v>
      </c>
      <c r="N143" s="14">
        <f t="shared" si="6"/>
        <v>65</v>
      </c>
      <c r="O143" s="15" t="str">
        <f t="shared" si="7"/>
        <v>RK65</v>
      </c>
      <c r="P143" t="s">
        <v>145</v>
      </c>
      <c r="Q143" t="s">
        <v>185</v>
      </c>
      <c r="R143" s="13" t="s">
        <v>138</v>
      </c>
      <c r="S143" s="13" t="s">
        <v>138</v>
      </c>
    </row>
    <row r="144" spans="2:19" x14ac:dyDescent="0.25">
      <c r="B144" t="str">
        <f>Raumbuch!B145</f>
        <v>Obergeschoss</v>
      </c>
      <c r="C144" t="str">
        <f>Raumbuch!D145</f>
        <v>O3</v>
      </c>
      <c r="D144" t="str">
        <f>Raumbuch!F145</f>
        <v>Flur</v>
      </c>
      <c r="E144" t="str">
        <f>Raumbuch!G145</f>
        <v>2.3</v>
      </c>
      <c r="F144" t="str">
        <f>Raumbuch!H145</f>
        <v>DALI EVG Brüstung</v>
      </c>
      <c r="G144" t="str">
        <f>Raumbuch!I145</f>
        <v>Zentral</v>
      </c>
      <c r="H144" t="str">
        <f>Raumbuch!J145</f>
        <v>DALI DT6 EVG</v>
      </c>
      <c r="I144" t="str">
        <f>Raumbuch!K145</f>
        <v>24 V DC</v>
      </c>
      <c r="J144" t="str">
        <f>Raumbuch!N145</f>
        <v>DA2</v>
      </c>
      <c r="K144" t="str">
        <f>Raumbuch!O145</f>
        <v>O3.DA2</v>
      </c>
      <c r="L144" s="11">
        <v>0.33333333333333331</v>
      </c>
      <c r="M144" s="11">
        <f t="shared" si="8"/>
        <v>64.666666666666728</v>
      </c>
      <c r="N144" s="14">
        <f t="shared" si="6"/>
        <v>65</v>
      </c>
      <c r="O144" s="15" t="str">
        <f t="shared" si="7"/>
        <v>RK65</v>
      </c>
      <c r="P144" t="s">
        <v>145</v>
      </c>
      <c r="Q144" t="s">
        <v>186</v>
      </c>
      <c r="R144" s="13" t="s">
        <v>138</v>
      </c>
      <c r="S144" s="13" t="s">
        <v>138</v>
      </c>
    </row>
    <row r="145" spans="2:19" x14ac:dyDescent="0.25">
      <c r="B145" t="str">
        <f>Raumbuch!B146</f>
        <v>Erdgeschoss</v>
      </c>
      <c r="C145" t="str">
        <f>Raumbuch!D146</f>
        <v>E4</v>
      </c>
      <c r="D145" t="str">
        <f>Raumbuch!F146</f>
        <v>Esszimmer</v>
      </c>
      <c r="E145" t="str">
        <f>Raumbuch!G146</f>
        <v>1.4</v>
      </c>
      <c r="F145" t="str">
        <f>Raumbuch!H146</f>
        <v>Deckenlautsprecher 1</v>
      </c>
      <c r="G145" t="str">
        <f>Raumbuch!I146</f>
        <v>Audio</v>
      </c>
      <c r="H145">
        <f>Raumbuch!J146</f>
        <v>0</v>
      </c>
      <c r="I145" t="str">
        <f>Raumbuch!K146</f>
        <v>DIGITAL (potentialfrei)</v>
      </c>
      <c r="J145" t="str">
        <f>Raumbuch!N146</f>
        <v>DL1</v>
      </c>
      <c r="K145" t="str">
        <f>Raumbuch!O146</f>
        <v>E4.DL1</v>
      </c>
      <c r="L145" s="11">
        <v>0.33333333333333331</v>
      </c>
      <c r="M145" s="11">
        <f t="shared" si="8"/>
        <v>65.000000000000057</v>
      </c>
      <c r="N145" s="14">
        <f t="shared" si="6"/>
        <v>66</v>
      </c>
      <c r="O145" s="15" t="str">
        <f t="shared" si="7"/>
        <v>RK66</v>
      </c>
      <c r="P145" t="s">
        <v>145</v>
      </c>
      <c r="Q145" t="s">
        <v>186</v>
      </c>
      <c r="R145" s="13" t="s">
        <v>138</v>
      </c>
      <c r="S145" s="13" t="s">
        <v>138</v>
      </c>
    </row>
    <row r="146" spans="2:19" x14ac:dyDescent="0.25">
      <c r="B146" t="str">
        <f>Raumbuch!B157</f>
        <v>Erdgeschoss</v>
      </c>
      <c r="C146" t="str">
        <f>Raumbuch!D157</f>
        <v>E4</v>
      </c>
      <c r="D146" t="str">
        <f>Raumbuch!F157</f>
        <v>Esszimmer</v>
      </c>
      <c r="E146" t="str">
        <f>Raumbuch!G157</f>
        <v>1.4</v>
      </c>
      <c r="F146" t="str">
        <f>Raumbuch!H157</f>
        <v>Steckdose Nord 3</v>
      </c>
      <c r="G146" t="str">
        <f>Raumbuch!I157</f>
        <v>Steckdosen</v>
      </c>
      <c r="H146" t="str">
        <f>Raumbuch!J157</f>
        <v>ohne Schaltaktor</v>
      </c>
      <c r="I146" t="str">
        <f>Raumbuch!K157</f>
        <v>230 V AC</v>
      </c>
      <c r="J146" t="str">
        <f>Raumbuch!N157</f>
        <v>SD3</v>
      </c>
      <c r="K146" t="str">
        <f>Raumbuch!O157</f>
        <v>E4.SD3</v>
      </c>
      <c r="L146" s="11">
        <v>1</v>
      </c>
      <c r="M146" s="11">
        <f t="shared" si="8"/>
        <v>66.000000000000057</v>
      </c>
      <c r="N146" s="14">
        <f t="shared" si="6"/>
        <v>67</v>
      </c>
      <c r="O146" s="15" t="str">
        <f t="shared" si="7"/>
        <v>RK67</v>
      </c>
      <c r="P146" t="s">
        <v>140</v>
      </c>
      <c r="Q146" t="s">
        <v>203</v>
      </c>
      <c r="R146" t="s">
        <v>158</v>
      </c>
      <c r="S146" t="s">
        <v>160</v>
      </c>
    </row>
    <row r="147" spans="2:19" x14ac:dyDescent="0.25">
      <c r="B147" t="str">
        <f>Raumbuch!B155</f>
        <v>Erdgeschoss</v>
      </c>
      <c r="C147" t="str">
        <f>Raumbuch!D155</f>
        <v>E4</v>
      </c>
      <c r="D147" t="str">
        <f>Raumbuch!F155</f>
        <v>Esszimmer</v>
      </c>
      <c r="E147" t="str">
        <f>Raumbuch!G155</f>
        <v>1.4</v>
      </c>
      <c r="F147" t="str">
        <f>Raumbuch!H155</f>
        <v>Steckdose Nord 2</v>
      </c>
      <c r="G147" t="str">
        <f>Raumbuch!I155</f>
        <v>Steckdosen</v>
      </c>
      <c r="H147" t="str">
        <f>Raumbuch!J155</f>
        <v>ohne Schaltaktor</v>
      </c>
      <c r="I147" t="str">
        <f>Raumbuch!K155</f>
        <v>230 V AC</v>
      </c>
      <c r="J147" t="str">
        <f>Raumbuch!N155</f>
        <v>SD2</v>
      </c>
      <c r="K147" t="str">
        <f>Raumbuch!O155</f>
        <v>E4.SD2</v>
      </c>
      <c r="L147" s="11">
        <v>0</v>
      </c>
      <c r="M147" s="11">
        <f t="shared" si="8"/>
        <v>66.000000000000057</v>
      </c>
      <c r="N147" s="14">
        <f t="shared" si="6"/>
        <v>67</v>
      </c>
      <c r="O147" s="15" t="str">
        <f t="shared" si="7"/>
        <v>-</v>
      </c>
      <c r="P147" t="s">
        <v>137</v>
      </c>
      <c r="Q147" s="13" t="s">
        <v>138</v>
      </c>
      <c r="R147" t="s">
        <v>158</v>
      </c>
      <c r="S147" t="s">
        <v>160</v>
      </c>
    </row>
    <row r="148" spans="2:19" x14ac:dyDescent="0.25">
      <c r="B148" t="str">
        <f>Raumbuch!B156</f>
        <v>Erdgeschoss</v>
      </c>
      <c r="C148" t="str">
        <f>Raumbuch!D156</f>
        <v>E4</v>
      </c>
      <c r="D148" t="str">
        <f>Raumbuch!F156</f>
        <v>Esszimmer</v>
      </c>
      <c r="E148" t="str">
        <f>Raumbuch!G156</f>
        <v>1.4</v>
      </c>
      <c r="F148" t="str">
        <f>Raumbuch!H156</f>
        <v>Netzwerkdose Nord</v>
      </c>
      <c r="G148" t="str">
        <f>Raumbuch!I156</f>
        <v>Steckdosen</v>
      </c>
      <c r="H148" t="str">
        <f>Raumbuch!J156</f>
        <v>LAN 1-fach</v>
      </c>
      <c r="I148" t="str">
        <f>Raumbuch!K156</f>
        <v>Ethernet</v>
      </c>
      <c r="J148" t="str">
        <f>Raumbuch!N156</f>
        <v>ND1</v>
      </c>
      <c r="K148" t="str">
        <f>Raumbuch!O156</f>
        <v>E4.ND1</v>
      </c>
      <c r="L148" s="11">
        <v>0</v>
      </c>
      <c r="M148" s="11">
        <f t="shared" si="8"/>
        <v>66.000000000000057</v>
      </c>
      <c r="N148" s="14">
        <f t="shared" si="6"/>
        <v>67</v>
      </c>
      <c r="O148" s="15" t="str">
        <f t="shared" si="7"/>
        <v>-</v>
      </c>
      <c r="P148" t="s">
        <v>137</v>
      </c>
      <c r="Q148" s="13" t="s">
        <v>138</v>
      </c>
      <c r="R148" t="s">
        <v>158</v>
      </c>
      <c r="S148" t="s">
        <v>160</v>
      </c>
    </row>
    <row r="149" spans="2:19" x14ac:dyDescent="0.25">
      <c r="B149" t="str">
        <f>Raumbuch!B158</f>
        <v>Erdgeschoss</v>
      </c>
      <c r="C149" t="str">
        <f>Raumbuch!D158</f>
        <v>E4</v>
      </c>
      <c r="D149" t="str">
        <f>Raumbuch!F158</f>
        <v>Esszimmer</v>
      </c>
      <c r="E149" t="str">
        <f>Raumbuch!G158</f>
        <v>1.4</v>
      </c>
      <c r="F149" t="str">
        <f>Raumbuch!H158</f>
        <v>Steckdose Nord 4</v>
      </c>
      <c r="G149" t="str">
        <f>Raumbuch!I158</f>
        <v>Steckdosen</v>
      </c>
      <c r="H149" t="str">
        <f>Raumbuch!J158</f>
        <v>ohne Schaltaktor</v>
      </c>
      <c r="I149" t="str">
        <f>Raumbuch!K158</f>
        <v>230 V AC</v>
      </c>
      <c r="J149" t="str">
        <f>Raumbuch!N158</f>
        <v>SD4</v>
      </c>
      <c r="K149" t="str">
        <f>Raumbuch!O158</f>
        <v>E4.SD4</v>
      </c>
      <c r="L149" s="11">
        <v>0.5</v>
      </c>
      <c r="M149" s="11">
        <f t="shared" si="8"/>
        <v>66.500000000000057</v>
      </c>
      <c r="N149" s="14">
        <f t="shared" si="6"/>
        <v>67</v>
      </c>
      <c r="O149" s="15" t="str">
        <f t="shared" si="7"/>
        <v>RK67</v>
      </c>
      <c r="P149" t="s">
        <v>138</v>
      </c>
      <c r="Q149" s="13" t="s">
        <v>138</v>
      </c>
      <c r="R149" t="s">
        <v>158</v>
      </c>
      <c r="S149" t="s">
        <v>160</v>
      </c>
    </row>
    <row r="150" spans="2:19" x14ac:dyDescent="0.25">
      <c r="B150" t="str">
        <f>Raumbuch!B159</f>
        <v>Erdgeschoss</v>
      </c>
      <c r="C150" t="str">
        <f>Raumbuch!D159</f>
        <v>E4</v>
      </c>
      <c r="D150" t="str">
        <f>Raumbuch!F159</f>
        <v>Esszimmer</v>
      </c>
      <c r="E150" t="str">
        <f>Raumbuch!G159</f>
        <v>1.4</v>
      </c>
      <c r="F150" t="str">
        <f>Raumbuch!H159</f>
        <v>Steckdose Nord 5</v>
      </c>
      <c r="G150" t="str">
        <f>Raumbuch!I159</f>
        <v>Steckdosen</v>
      </c>
      <c r="H150" t="str">
        <f>Raumbuch!J159</f>
        <v>ohne Schaltaktor</v>
      </c>
      <c r="I150" t="str">
        <f>Raumbuch!K159</f>
        <v>230 V AC</v>
      </c>
      <c r="J150" t="str">
        <f>Raumbuch!N159</f>
        <v>SD5</v>
      </c>
      <c r="K150" t="str">
        <f>Raumbuch!O159</f>
        <v>E4.SD5</v>
      </c>
      <c r="L150" s="11">
        <v>0.5</v>
      </c>
      <c r="M150" s="11">
        <f t="shared" si="8"/>
        <v>67.000000000000057</v>
      </c>
      <c r="N150" s="14">
        <f t="shared" si="6"/>
        <v>68</v>
      </c>
      <c r="O150" s="15" t="str">
        <f t="shared" si="7"/>
        <v>RK68</v>
      </c>
      <c r="P150" t="s">
        <v>138</v>
      </c>
      <c r="Q150" s="13" t="s">
        <v>138</v>
      </c>
    </row>
    <row r="151" spans="2:19" x14ac:dyDescent="0.25">
      <c r="B151" t="str">
        <f>Raumbuch!B160</f>
        <v>Erdgeschoss</v>
      </c>
      <c r="C151" t="str">
        <f>Raumbuch!D160</f>
        <v>E4</v>
      </c>
      <c r="D151" t="str">
        <f>Raumbuch!F160</f>
        <v>Esszimmer</v>
      </c>
      <c r="E151" t="str">
        <f>Raumbuch!G160</f>
        <v>1.4</v>
      </c>
      <c r="F151" t="str">
        <f>Raumbuch!H160</f>
        <v>Steckdose Nord 6</v>
      </c>
      <c r="G151" t="str">
        <f>Raumbuch!I160</f>
        <v>Steckdosen</v>
      </c>
      <c r="H151" t="str">
        <f>Raumbuch!J160</f>
        <v>ohne Schaltaktor</v>
      </c>
      <c r="I151" t="str">
        <f>Raumbuch!K160</f>
        <v>230 V AC</v>
      </c>
      <c r="J151" t="str">
        <f>Raumbuch!N160</f>
        <v>SD6</v>
      </c>
      <c r="K151" t="str">
        <f>Raumbuch!O160</f>
        <v>E4.SD6</v>
      </c>
      <c r="L151" s="11">
        <v>1</v>
      </c>
      <c r="M151" s="11">
        <f t="shared" si="8"/>
        <v>68.000000000000057</v>
      </c>
      <c r="N151" s="14">
        <f t="shared" si="6"/>
        <v>69</v>
      </c>
      <c r="O151" s="15" t="str">
        <f t="shared" si="7"/>
        <v>RK69</v>
      </c>
      <c r="P151" t="s">
        <v>138</v>
      </c>
      <c r="Q151" s="13" t="s">
        <v>138</v>
      </c>
    </row>
    <row r="152" spans="2:19" x14ac:dyDescent="0.25">
      <c r="B152" t="str">
        <f>Raumbuch!B162</f>
        <v>Erdgeschoss</v>
      </c>
      <c r="C152" t="str">
        <f>Raumbuch!D162</f>
        <v>E4</v>
      </c>
      <c r="D152" t="str">
        <f>Raumbuch!F162</f>
        <v>Esszimmer</v>
      </c>
      <c r="E152" t="str">
        <f>Raumbuch!G162</f>
        <v>1.4</v>
      </c>
      <c r="F152" t="str">
        <f>Raumbuch!H162</f>
        <v>Steckdose Süd 2</v>
      </c>
      <c r="G152" t="str">
        <f>Raumbuch!I162</f>
        <v>Steckdosen</v>
      </c>
      <c r="H152" t="str">
        <f>Raumbuch!J162</f>
        <v>ohne Schaltaktor</v>
      </c>
      <c r="I152" t="str">
        <f>Raumbuch!K162</f>
        <v>230 V AC</v>
      </c>
      <c r="J152" t="str">
        <f>Raumbuch!N162</f>
        <v>SD8</v>
      </c>
      <c r="K152" t="str">
        <f>Raumbuch!O162</f>
        <v>E4.SD8</v>
      </c>
      <c r="L152" s="11">
        <v>1</v>
      </c>
      <c r="M152" s="11">
        <f t="shared" si="8"/>
        <v>69.000000000000057</v>
      </c>
      <c r="N152" s="14">
        <f t="shared" si="6"/>
        <v>70</v>
      </c>
      <c r="O152" s="15" t="str">
        <f t="shared" si="7"/>
        <v>RK70</v>
      </c>
      <c r="P152" t="s">
        <v>140</v>
      </c>
      <c r="Q152" t="s">
        <v>204</v>
      </c>
      <c r="R152" s="13" t="s">
        <v>138</v>
      </c>
      <c r="S152" s="13" t="s">
        <v>138</v>
      </c>
    </row>
    <row r="153" spans="2:19" x14ac:dyDescent="0.25">
      <c r="B153" t="str">
        <f>Raumbuch!B169</f>
        <v>Obergeschoss</v>
      </c>
      <c r="C153" t="str">
        <f>Raumbuch!D169</f>
        <v>O4</v>
      </c>
      <c r="D153" t="str">
        <f>Raumbuch!F169</f>
        <v>Treppenhaus</v>
      </c>
      <c r="E153" t="str">
        <f>Raumbuch!G169</f>
        <v>2.4</v>
      </c>
      <c r="F153" t="str">
        <f>Raumbuch!H169</f>
        <v>Hängeleuchte Treppe</v>
      </c>
      <c r="G153" t="str">
        <f>Raumbuch!I169</f>
        <v>Beleuchtung</v>
      </c>
      <c r="H153" t="str">
        <f>Raumbuch!J169</f>
        <v>dimmbar</v>
      </c>
      <c r="I153" t="str">
        <f>Raumbuch!K169</f>
        <v>DALI</v>
      </c>
      <c r="J153" t="str">
        <f>Raumbuch!N169</f>
        <v>BL1</v>
      </c>
      <c r="K153" t="str">
        <f>Raumbuch!O169</f>
        <v>O4.BL1</v>
      </c>
      <c r="L153" s="11">
        <v>0.33333333333333331</v>
      </c>
      <c r="M153" s="11">
        <f t="shared" si="8"/>
        <v>69.333333333333385</v>
      </c>
      <c r="N153" s="14">
        <f t="shared" si="6"/>
        <v>70</v>
      </c>
      <c r="O153" s="15" t="str">
        <f t="shared" si="7"/>
        <v>RK70</v>
      </c>
      <c r="P153" t="s">
        <v>205</v>
      </c>
      <c r="Q153" t="s">
        <v>182</v>
      </c>
      <c r="R153" t="s">
        <v>142</v>
      </c>
      <c r="S153" t="s">
        <v>206</v>
      </c>
    </row>
    <row r="154" spans="2:19" x14ac:dyDescent="0.25">
      <c r="B154" t="str">
        <f>Raumbuch!B170</f>
        <v>Obergeschoss</v>
      </c>
      <c r="C154" t="str">
        <f>Raumbuch!D170</f>
        <v>O4</v>
      </c>
      <c r="D154" t="str">
        <f>Raumbuch!F170</f>
        <v>Treppenhaus</v>
      </c>
      <c r="E154" t="str">
        <f>Raumbuch!G170</f>
        <v>2.4</v>
      </c>
      <c r="F154" t="str">
        <f>Raumbuch!H170</f>
        <v>LED Stripe Handlauf</v>
      </c>
      <c r="G154" t="str">
        <f>Raumbuch!I170</f>
        <v>Beleuchtung</v>
      </c>
      <c r="H154" t="str">
        <f>Raumbuch!J170</f>
        <v>dimmbar</v>
      </c>
      <c r="I154" t="str">
        <f>Raumbuch!K170</f>
        <v>DALI</v>
      </c>
      <c r="J154" t="str">
        <f>Raumbuch!N170</f>
        <v>BL2</v>
      </c>
      <c r="K154" t="str">
        <f>Raumbuch!O170</f>
        <v>O4.BL2</v>
      </c>
      <c r="L154" s="11">
        <v>0.33333333333333331</v>
      </c>
      <c r="M154" s="11">
        <f t="shared" si="8"/>
        <v>69.666666666666714</v>
      </c>
      <c r="N154" s="14">
        <f t="shared" si="6"/>
        <v>70</v>
      </c>
      <c r="O154" s="15" t="str">
        <f t="shared" si="7"/>
        <v>RK70</v>
      </c>
      <c r="P154" t="s">
        <v>205</v>
      </c>
      <c r="Q154" t="s">
        <v>185</v>
      </c>
      <c r="R154" t="s">
        <v>142</v>
      </c>
      <c r="S154" t="s">
        <v>206</v>
      </c>
    </row>
    <row r="155" spans="2:19" x14ac:dyDescent="0.25">
      <c r="B155" t="str">
        <f>Raumbuch!B171</f>
        <v>Obergeschoss</v>
      </c>
      <c r="C155" t="str">
        <f>Raumbuch!D171</f>
        <v>O4</v>
      </c>
      <c r="D155" t="str">
        <f>Raumbuch!F171</f>
        <v>Treppenhaus</v>
      </c>
      <c r="E155" t="str">
        <f>Raumbuch!G171</f>
        <v>2.4</v>
      </c>
      <c r="F155" t="str">
        <f>Raumbuch!H171</f>
        <v>Anschluss Rolladen Nord</v>
      </c>
      <c r="G155" t="str">
        <f>Raumbuch!I171</f>
        <v>Beschattung</v>
      </c>
      <c r="H155" t="str">
        <f>Raumbuch!J171</f>
        <v>Rollladen</v>
      </c>
      <c r="I155" t="str">
        <f>Raumbuch!K171</f>
        <v>230 V AC - Beschattung</v>
      </c>
      <c r="J155" t="str">
        <f>Raumbuch!N171</f>
        <v>R1</v>
      </c>
      <c r="K155" t="str">
        <f>Raumbuch!O171</f>
        <v>O4.R1</v>
      </c>
      <c r="L155" s="11">
        <v>0.33333333333333331</v>
      </c>
      <c r="M155" s="11">
        <f t="shared" si="8"/>
        <v>70.000000000000043</v>
      </c>
      <c r="N155" s="14">
        <f t="shared" si="6"/>
        <v>70</v>
      </c>
      <c r="O155" s="15" t="str">
        <f t="shared" si="7"/>
        <v>RK70</v>
      </c>
      <c r="P155" t="s">
        <v>205</v>
      </c>
      <c r="Q155" t="s">
        <v>186</v>
      </c>
      <c r="R155" t="s">
        <v>142</v>
      </c>
      <c r="S155" t="s">
        <v>206</v>
      </c>
    </row>
    <row r="156" spans="2:19" x14ac:dyDescent="0.25">
      <c r="B156" t="str">
        <f>Raumbuch!B172</f>
        <v>Obergeschoss</v>
      </c>
      <c r="C156" t="str">
        <f>Raumbuch!D172</f>
        <v>O4</v>
      </c>
      <c r="D156" t="str">
        <f>Raumbuch!F172</f>
        <v>Treppenhaus</v>
      </c>
      <c r="E156" t="str">
        <f>Raumbuch!G172</f>
        <v>2.4</v>
      </c>
      <c r="F156" t="str">
        <f>Raumbuch!H172</f>
        <v>Bewegungsmelder oben</v>
      </c>
      <c r="G156" t="str">
        <f>Raumbuch!I172</f>
        <v>Sensoren</v>
      </c>
      <c r="H156" t="str">
        <f>Raumbuch!J172</f>
        <v>Bewegungsmelder</v>
      </c>
      <c r="I156" t="str">
        <f>Raumbuch!K172</f>
        <v>KNX</v>
      </c>
      <c r="J156" t="str">
        <f>Raumbuch!N172</f>
        <v>BM1</v>
      </c>
      <c r="K156" t="str">
        <f>Raumbuch!O172</f>
        <v>O4.BM1</v>
      </c>
      <c r="L156" s="11">
        <v>0.5</v>
      </c>
      <c r="M156" s="11">
        <f t="shared" si="8"/>
        <v>70.500000000000043</v>
      </c>
      <c r="N156" s="14">
        <f t="shared" si="6"/>
        <v>71</v>
      </c>
      <c r="O156" s="15" t="str">
        <f t="shared" si="7"/>
        <v>RK71</v>
      </c>
      <c r="P156" t="s">
        <v>205</v>
      </c>
      <c r="Q156" t="s">
        <v>188</v>
      </c>
      <c r="R156" t="s">
        <v>142</v>
      </c>
      <c r="S156" t="s">
        <v>207</v>
      </c>
    </row>
    <row r="157" spans="2:19" x14ac:dyDescent="0.25">
      <c r="B157" t="str">
        <f>Raumbuch!B173</f>
        <v>Obergeschoss</v>
      </c>
      <c r="C157" t="str">
        <f>Raumbuch!D173</f>
        <v>O4</v>
      </c>
      <c r="D157" t="str">
        <f>Raumbuch!F173</f>
        <v>Treppenhaus</v>
      </c>
      <c r="E157" t="str">
        <f>Raumbuch!G173</f>
        <v>2.4</v>
      </c>
      <c r="F157" t="str">
        <f>Raumbuch!H173</f>
        <v>Bewegungsmelder unten</v>
      </c>
      <c r="G157" t="str">
        <f>Raumbuch!I173</f>
        <v>Sensoren</v>
      </c>
      <c r="H157" t="str">
        <f>Raumbuch!J173</f>
        <v>Bewegungsmelder</v>
      </c>
      <c r="I157" t="str">
        <f>Raumbuch!K173</f>
        <v>KNX</v>
      </c>
      <c r="J157" t="str">
        <f>Raumbuch!N173</f>
        <v>BM2</v>
      </c>
      <c r="K157" t="str">
        <f>Raumbuch!O173</f>
        <v>O4.BM2</v>
      </c>
      <c r="L157" s="11">
        <v>0.5</v>
      </c>
      <c r="M157" s="11">
        <f t="shared" si="8"/>
        <v>71.000000000000043</v>
      </c>
      <c r="N157" s="14">
        <f t="shared" si="6"/>
        <v>71</v>
      </c>
      <c r="O157" s="15" t="str">
        <f t="shared" si="7"/>
        <v>RK71</v>
      </c>
      <c r="P157" t="s">
        <v>205</v>
      </c>
      <c r="Q157" t="s">
        <v>192</v>
      </c>
      <c r="R157" t="s">
        <v>142</v>
      </c>
      <c r="S157" t="s">
        <v>207</v>
      </c>
    </row>
    <row r="158" spans="2:19" x14ac:dyDescent="0.25">
      <c r="B158" t="str">
        <f>Raumbuch!B161</f>
        <v>Erdgeschoss</v>
      </c>
      <c r="C158" t="str">
        <f>Raumbuch!D161</f>
        <v>E4</v>
      </c>
      <c r="D158" t="str">
        <f>Raumbuch!F161</f>
        <v>Esszimmer</v>
      </c>
      <c r="E158" t="str">
        <f>Raumbuch!G161</f>
        <v>1.4</v>
      </c>
      <c r="F158" t="str">
        <f>Raumbuch!H161</f>
        <v>Steckdose Süd 1</v>
      </c>
      <c r="G158" t="str">
        <f>Raumbuch!I161</f>
        <v>Steckdosen</v>
      </c>
      <c r="H158" t="str">
        <f>Raumbuch!J161</f>
        <v>ohne Schaltaktor</v>
      </c>
      <c r="I158" t="str">
        <f>Raumbuch!K161</f>
        <v>230 V AC</v>
      </c>
      <c r="J158" t="str">
        <f>Raumbuch!N161</f>
        <v>SD7</v>
      </c>
      <c r="K158" t="str">
        <f>Raumbuch!O161</f>
        <v>E4.SD7</v>
      </c>
      <c r="L158" s="11">
        <v>0</v>
      </c>
      <c r="M158" s="11">
        <f t="shared" si="8"/>
        <v>71.000000000000043</v>
      </c>
      <c r="N158" s="14">
        <f t="shared" si="6"/>
        <v>71</v>
      </c>
      <c r="O158" s="15" t="str">
        <f t="shared" si="7"/>
        <v>-</v>
      </c>
      <c r="P158" t="s">
        <v>137</v>
      </c>
      <c r="Q158" s="13" t="s">
        <v>138</v>
      </c>
      <c r="R158" s="13" t="s">
        <v>138</v>
      </c>
      <c r="S158" s="13" t="s">
        <v>138</v>
      </c>
    </row>
    <row r="159" spans="2:19" x14ac:dyDescent="0.25">
      <c r="B159" t="str">
        <f>Raumbuch!B163</f>
        <v>Erdgeschoss</v>
      </c>
      <c r="C159" t="str">
        <f>Raumbuch!D163</f>
        <v>E4</v>
      </c>
      <c r="D159" t="str">
        <f>Raumbuch!F163</f>
        <v>Esszimmer</v>
      </c>
      <c r="E159" t="str">
        <f>Raumbuch!G163</f>
        <v>1.4</v>
      </c>
      <c r="F159" t="str">
        <f>Raumbuch!H163</f>
        <v>Steckdose Süd 3</v>
      </c>
      <c r="G159" t="str">
        <f>Raumbuch!I163</f>
        <v>Steckdosen</v>
      </c>
      <c r="H159" t="str">
        <f>Raumbuch!J163</f>
        <v>ohne Schaltaktor</v>
      </c>
      <c r="I159" t="str">
        <f>Raumbuch!K163</f>
        <v>230 V AC</v>
      </c>
      <c r="J159" t="str">
        <f>Raumbuch!N163</f>
        <v>SD9</v>
      </c>
      <c r="K159" t="str">
        <f>Raumbuch!O163</f>
        <v>E4.SD9</v>
      </c>
      <c r="L159" s="11">
        <v>0.33333333333333331</v>
      </c>
      <c r="M159" s="11">
        <f t="shared" si="8"/>
        <v>71.333333333333371</v>
      </c>
      <c r="N159" s="14">
        <f t="shared" si="6"/>
        <v>72</v>
      </c>
      <c r="O159" s="15" t="str">
        <f t="shared" si="7"/>
        <v>RK72</v>
      </c>
      <c r="P159" t="s">
        <v>138</v>
      </c>
      <c r="Q159" s="13" t="s">
        <v>138</v>
      </c>
      <c r="R159" t="s">
        <v>142</v>
      </c>
      <c r="S159" t="s">
        <v>143</v>
      </c>
    </row>
    <row r="160" spans="2:19" x14ac:dyDescent="0.25">
      <c r="B160" t="str">
        <f>Raumbuch!B164</f>
        <v>Erdgeschoss</v>
      </c>
      <c r="C160" t="str">
        <f>Raumbuch!D164</f>
        <v>E4</v>
      </c>
      <c r="D160" t="str">
        <f>Raumbuch!F164</f>
        <v>Esszimmer</v>
      </c>
      <c r="E160" t="str">
        <f>Raumbuch!G164</f>
        <v>1.4</v>
      </c>
      <c r="F160" t="str">
        <f>Raumbuch!H164</f>
        <v>Steckdose Fenster West</v>
      </c>
      <c r="G160" t="str">
        <f>Raumbuch!I164</f>
        <v>Steckdosen</v>
      </c>
      <c r="H160" t="str">
        <f>Raumbuch!J164</f>
        <v>mit Schaltaktor</v>
      </c>
      <c r="I160" t="str">
        <f>Raumbuch!K164</f>
        <v>230 V AC</v>
      </c>
      <c r="J160" t="str">
        <f>Raumbuch!N164</f>
        <v>SD10</v>
      </c>
      <c r="K160" t="str">
        <f>Raumbuch!O164</f>
        <v>E4.SD10</v>
      </c>
      <c r="L160" s="11">
        <v>0.33333333333333331</v>
      </c>
      <c r="M160" s="11">
        <f t="shared" si="8"/>
        <v>71.6666666666667</v>
      </c>
      <c r="N160" s="14">
        <f t="shared" si="6"/>
        <v>72</v>
      </c>
      <c r="O160" s="15" t="str">
        <f t="shared" si="7"/>
        <v>RK72</v>
      </c>
      <c r="P160" t="s">
        <v>138</v>
      </c>
      <c r="Q160" s="13" t="s">
        <v>138</v>
      </c>
      <c r="R160" t="s">
        <v>142</v>
      </c>
      <c r="S160" t="s">
        <v>208</v>
      </c>
    </row>
    <row r="161" spans="2:19" x14ac:dyDescent="0.25">
      <c r="B161" t="str">
        <f>Raumbuch!B165</f>
        <v>Erdgeschoss</v>
      </c>
      <c r="C161" t="str">
        <f>Raumbuch!D165</f>
        <v>E4</v>
      </c>
      <c r="D161" t="str">
        <f>Raumbuch!F165</f>
        <v>Esszimmer</v>
      </c>
      <c r="E161" t="str">
        <f>Raumbuch!G165</f>
        <v>1.4</v>
      </c>
      <c r="F161" t="str">
        <f>Raumbuch!H165</f>
        <v>Steckdose West 1</v>
      </c>
      <c r="G161" t="str">
        <f>Raumbuch!I165</f>
        <v>Steckdosen</v>
      </c>
      <c r="H161" t="str">
        <f>Raumbuch!J165</f>
        <v>ohne Schaltaktor</v>
      </c>
      <c r="I161" t="str">
        <f>Raumbuch!K165</f>
        <v>230 V AC</v>
      </c>
      <c r="J161" t="str">
        <f>Raumbuch!N165</f>
        <v>SD11</v>
      </c>
      <c r="K161" t="str">
        <f>Raumbuch!O165</f>
        <v>E4.SD11</v>
      </c>
      <c r="L161" s="11">
        <v>0.33333333333333331</v>
      </c>
      <c r="M161" s="11">
        <f t="shared" si="8"/>
        <v>72.000000000000028</v>
      </c>
      <c r="N161" s="14">
        <f t="shared" si="6"/>
        <v>72</v>
      </c>
      <c r="O161" s="15" t="str">
        <f t="shared" si="7"/>
        <v>RK72</v>
      </c>
      <c r="P161" t="s">
        <v>138</v>
      </c>
      <c r="Q161" s="13" t="s">
        <v>138</v>
      </c>
      <c r="R161" t="s">
        <v>142</v>
      </c>
      <c r="S161" t="s">
        <v>208</v>
      </c>
    </row>
    <row r="162" spans="2:19" x14ac:dyDescent="0.25">
      <c r="B162" t="str">
        <f>Raumbuch!B166</f>
        <v>Erdgeschoss</v>
      </c>
      <c r="C162" t="str">
        <f>Raumbuch!D166</f>
        <v>E4</v>
      </c>
      <c r="D162" t="str">
        <f>Raumbuch!F166</f>
        <v>Esszimmer</v>
      </c>
      <c r="E162" t="str">
        <f>Raumbuch!G166</f>
        <v>1.4</v>
      </c>
      <c r="F162" t="str">
        <f>Raumbuch!H166</f>
        <v>Steckdose West 2</v>
      </c>
      <c r="G162" t="str">
        <f>Raumbuch!I166</f>
        <v>Steckdosen</v>
      </c>
      <c r="H162" t="str">
        <f>Raumbuch!J166</f>
        <v>ohne Schaltaktor</v>
      </c>
      <c r="I162" t="str">
        <f>Raumbuch!K166</f>
        <v>230 V AC</v>
      </c>
      <c r="J162" t="str">
        <f>Raumbuch!N166</f>
        <v>SD12</v>
      </c>
      <c r="K162" t="str">
        <f>Raumbuch!O166</f>
        <v>E4.SD12</v>
      </c>
      <c r="L162" s="11">
        <v>0.33333333333333331</v>
      </c>
      <c r="M162" s="11">
        <f t="shared" si="8"/>
        <v>72.333333333333357</v>
      </c>
      <c r="N162" s="14">
        <f t="shared" si="6"/>
        <v>73</v>
      </c>
      <c r="O162" s="15" t="str">
        <f t="shared" si="7"/>
        <v>RK73</v>
      </c>
      <c r="P162" t="s">
        <v>205</v>
      </c>
      <c r="Q162" t="s">
        <v>172</v>
      </c>
      <c r="R162" t="s">
        <v>142</v>
      </c>
      <c r="S162" t="s">
        <v>208</v>
      </c>
    </row>
    <row r="163" spans="2:19" x14ac:dyDescent="0.25">
      <c r="B163" t="str">
        <f>Raumbuch!B167</f>
        <v>Erdgeschoss</v>
      </c>
      <c r="C163" t="str">
        <f>Raumbuch!D167</f>
        <v>E4</v>
      </c>
      <c r="D163" t="str">
        <f>Raumbuch!F167</f>
        <v>Esszimmer</v>
      </c>
      <c r="E163" t="str">
        <f>Raumbuch!G167</f>
        <v>1.4</v>
      </c>
      <c r="F163" t="str">
        <f>Raumbuch!H167</f>
        <v>DALI EVG Spots</v>
      </c>
      <c r="G163" t="str">
        <f>Raumbuch!I167</f>
        <v>Zentral</v>
      </c>
      <c r="H163" t="str">
        <f>Raumbuch!J167</f>
        <v>DALI DT8 EVG</v>
      </c>
      <c r="I163" t="str">
        <f>Raumbuch!K167</f>
        <v>24 V DC</v>
      </c>
      <c r="J163" t="str">
        <f>Raumbuch!N167</f>
        <v>DA1</v>
      </c>
      <c r="K163" t="str">
        <f>Raumbuch!O167</f>
        <v>E4.DA1</v>
      </c>
      <c r="L163" s="11">
        <v>0.33333333333333331</v>
      </c>
      <c r="M163" s="11">
        <f t="shared" si="8"/>
        <v>72.666666666666686</v>
      </c>
      <c r="N163" s="14">
        <f t="shared" si="6"/>
        <v>73</v>
      </c>
      <c r="O163" s="15" t="str">
        <f t="shared" si="7"/>
        <v>RK73</v>
      </c>
      <c r="P163" t="s">
        <v>205</v>
      </c>
      <c r="Q163" t="s">
        <v>173</v>
      </c>
      <c r="R163" s="13" t="s">
        <v>138</v>
      </c>
      <c r="S163" s="13" t="s">
        <v>138</v>
      </c>
    </row>
    <row r="164" spans="2:19" x14ac:dyDescent="0.25">
      <c r="B164" t="str">
        <f>Raumbuch!B168</f>
        <v>Erdgeschoss</v>
      </c>
      <c r="C164" t="str">
        <f>Raumbuch!D168</f>
        <v>E4</v>
      </c>
      <c r="D164" t="str">
        <f>Raumbuch!F168</f>
        <v>Esszimmer</v>
      </c>
      <c r="E164" t="str">
        <f>Raumbuch!G168</f>
        <v>1.4</v>
      </c>
      <c r="F164" t="str">
        <f>Raumbuch!H168</f>
        <v>DALI EVG Ambiente</v>
      </c>
      <c r="G164" t="str">
        <f>Raumbuch!I168</f>
        <v>Zentral</v>
      </c>
      <c r="H164" t="str">
        <f>Raumbuch!J168</f>
        <v>DALI DT8 EVG</v>
      </c>
      <c r="I164" t="str">
        <f>Raumbuch!K168</f>
        <v>24 V DC</v>
      </c>
      <c r="J164" t="str">
        <f>Raumbuch!N168</f>
        <v>DA2</v>
      </c>
      <c r="K164" t="str">
        <f>Raumbuch!O168</f>
        <v>E4.DA2</v>
      </c>
      <c r="L164" s="11">
        <v>0.33333333333333331</v>
      </c>
      <c r="M164" s="11">
        <f t="shared" si="8"/>
        <v>73.000000000000014</v>
      </c>
      <c r="N164" s="14">
        <f t="shared" si="6"/>
        <v>73</v>
      </c>
      <c r="O164" s="15" t="str">
        <f t="shared" si="7"/>
        <v>RK73</v>
      </c>
      <c r="P164" t="s">
        <v>205</v>
      </c>
      <c r="Q164" t="s">
        <v>180</v>
      </c>
      <c r="R164" t="s">
        <v>142</v>
      </c>
      <c r="S164" t="s">
        <v>143</v>
      </c>
    </row>
    <row r="165" spans="2:19" x14ac:dyDescent="0.25">
      <c r="B165" t="str">
        <f>Raumbuch!B175</f>
        <v>Obergeschoss</v>
      </c>
      <c r="C165" t="str">
        <f>Raumbuch!D175</f>
        <v>O4</v>
      </c>
      <c r="D165" t="str">
        <f>Raumbuch!F175</f>
        <v>Treppenhaus</v>
      </c>
      <c r="E165" t="str">
        <f>Raumbuch!G175</f>
        <v>2.4</v>
      </c>
      <c r="F165" t="str">
        <f>Raumbuch!H175</f>
        <v>DALI UP-Dimmer Treppe</v>
      </c>
      <c r="G165" t="str">
        <f>Raumbuch!I175</f>
        <v>Zentral</v>
      </c>
      <c r="H165" t="str">
        <f>Raumbuch!J175</f>
        <v>DALI UP-Dimmer</v>
      </c>
      <c r="I165" t="str">
        <f>Raumbuch!K175</f>
        <v>230 V AC</v>
      </c>
      <c r="J165" t="str">
        <f>Raumbuch!N175</f>
        <v>DA1</v>
      </c>
      <c r="K165" t="str">
        <f>Raumbuch!O175</f>
        <v>O4.DA1</v>
      </c>
      <c r="L165" s="11">
        <v>0.5</v>
      </c>
      <c r="M165" s="11">
        <f t="shared" si="8"/>
        <v>73.500000000000014</v>
      </c>
      <c r="N165" s="14">
        <f t="shared" si="6"/>
        <v>74</v>
      </c>
      <c r="O165" s="15" t="str">
        <f t="shared" si="7"/>
        <v>RK74</v>
      </c>
      <c r="P165" t="s">
        <v>138</v>
      </c>
      <c r="Q165" s="13" t="s">
        <v>138</v>
      </c>
      <c r="R165" t="s">
        <v>142</v>
      </c>
      <c r="S165" t="s">
        <v>207</v>
      </c>
    </row>
    <row r="166" spans="2:19" x14ac:dyDescent="0.25">
      <c r="B166" t="str">
        <f>Raumbuch!B174</f>
        <v>Obergeschoss</v>
      </c>
      <c r="C166" t="str">
        <f>Raumbuch!D174</f>
        <v>O4</v>
      </c>
      <c r="D166" t="str">
        <f>Raumbuch!F174</f>
        <v>Treppenhaus</v>
      </c>
      <c r="E166" t="str">
        <f>Raumbuch!G174</f>
        <v>2.4</v>
      </c>
      <c r="F166" t="str">
        <f>Raumbuch!H174</f>
        <v>Steckdose Fenster Nord</v>
      </c>
      <c r="G166" t="str">
        <f>Raumbuch!I174</f>
        <v>Steckdosen</v>
      </c>
      <c r="H166" t="str">
        <f>Raumbuch!J174</f>
        <v>mit Schaltaktor</v>
      </c>
      <c r="I166" t="str">
        <f>Raumbuch!K174</f>
        <v>230 V AC</v>
      </c>
      <c r="J166" t="str">
        <f>Raumbuch!N174</f>
        <v>SD1</v>
      </c>
      <c r="K166" t="str">
        <f>Raumbuch!O174</f>
        <v>O4.SD1</v>
      </c>
      <c r="L166" s="11">
        <v>0.5</v>
      </c>
      <c r="M166" s="11">
        <f t="shared" si="8"/>
        <v>74.000000000000014</v>
      </c>
      <c r="N166" s="14">
        <f t="shared" si="6"/>
        <v>74</v>
      </c>
      <c r="O166" s="15" t="str">
        <f t="shared" si="7"/>
        <v>RK74</v>
      </c>
      <c r="P166" t="s">
        <v>145</v>
      </c>
      <c r="Q166" t="s">
        <v>188</v>
      </c>
      <c r="R166" t="s">
        <v>142</v>
      </c>
      <c r="S166" t="s">
        <v>207</v>
      </c>
    </row>
    <row r="167" spans="2:19" x14ac:dyDescent="0.25">
      <c r="B167" t="str">
        <f>Raumbuch!B181</f>
        <v>Obergeschoss</v>
      </c>
      <c r="C167" t="str">
        <f>Raumbuch!D181</f>
        <v>O5</v>
      </c>
      <c r="D167" t="str">
        <f>Raumbuch!F181</f>
        <v>Bad</v>
      </c>
      <c r="E167" t="str">
        <f>Raumbuch!G181</f>
        <v>2.5</v>
      </c>
      <c r="F167" t="str">
        <f>Raumbuch!H181</f>
        <v>LED Stripe Dusche innen</v>
      </c>
      <c r="G167" t="str">
        <f>Raumbuch!I181</f>
        <v>Beleuchtung</v>
      </c>
      <c r="H167" t="str">
        <f>Raumbuch!J181</f>
        <v>dimmbar</v>
      </c>
      <c r="I167" t="str">
        <f>Raumbuch!K181</f>
        <v>DALI</v>
      </c>
      <c r="J167" t="str">
        <f>Raumbuch!N181</f>
        <v>BL3</v>
      </c>
      <c r="K167" t="str">
        <f>Raumbuch!O181</f>
        <v>O5.BL3</v>
      </c>
      <c r="L167" s="11">
        <v>1</v>
      </c>
      <c r="M167" s="11">
        <f t="shared" si="8"/>
        <v>75.000000000000014</v>
      </c>
      <c r="N167" s="14">
        <f t="shared" si="6"/>
        <v>75</v>
      </c>
      <c r="O167" s="15" t="str">
        <f t="shared" si="7"/>
        <v>RK75</v>
      </c>
      <c r="P167" t="s">
        <v>140</v>
      </c>
      <c r="Q167" t="s">
        <v>209</v>
      </c>
      <c r="R167" s="13" t="s">
        <v>138</v>
      </c>
      <c r="S167" s="13" t="s">
        <v>138</v>
      </c>
    </row>
    <row r="168" spans="2:19" x14ac:dyDescent="0.25">
      <c r="B168" t="str">
        <f>Raumbuch!B182</f>
        <v>Obergeschoss</v>
      </c>
      <c r="C168" t="str">
        <f>Raumbuch!D182</f>
        <v>O5</v>
      </c>
      <c r="D168" t="str">
        <f>Raumbuch!F182</f>
        <v>Bad</v>
      </c>
      <c r="E168" t="str">
        <f>Raumbuch!G182</f>
        <v>2.5</v>
      </c>
      <c r="F168" t="str">
        <f>Raumbuch!H182</f>
        <v>LED Stripe Duschwand oben</v>
      </c>
      <c r="G168" t="str">
        <f>Raumbuch!I182</f>
        <v>Beleuchtung</v>
      </c>
      <c r="H168" t="str">
        <f>Raumbuch!J182</f>
        <v>dimmbar</v>
      </c>
      <c r="I168" t="str">
        <f>Raumbuch!K182</f>
        <v>DALI</v>
      </c>
      <c r="J168" t="str">
        <f>Raumbuch!N182</f>
        <v>BL4</v>
      </c>
      <c r="K168" t="str">
        <f>Raumbuch!O182</f>
        <v>O5.BL4</v>
      </c>
      <c r="L168" s="11">
        <v>1</v>
      </c>
      <c r="M168" s="11">
        <f t="shared" si="8"/>
        <v>76.000000000000014</v>
      </c>
      <c r="N168" s="14">
        <f t="shared" si="6"/>
        <v>76</v>
      </c>
      <c r="O168" s="15" t="str">
        <f t="shared" si="7"/>
        <v>RK76</v>
      </c>
      <c r="P168" t="s">
        <v>140</v>
      </c>
      <c r="Q168" t="s">
        <v>181</v>
      </c>
      <c r="R168" s="13" t="s">
        <v>138</v>
      </c>
      <c r="S168" s="13" t="s">
        <v>138</v>
      </c>
    </row>
    <row r="169" spans="2:19" x14ac:dyDescent="0.25">
      <c r="B169" t="str">
        <f>Raumbuch!B176</f>
        <v>Obergeschoss</v>
      </c>
      <c r="C169" t="str">
        <f>Raumbuch!D176</f>
        <v>O4</v>
      </c>
      <c r="D169" t="str">
        <f>Raumbuch!F176</f>
        <v>Treppenhaus</v>
      </c>
      <c r="E169" t="str">
        <f>Raumbuch!G176</f>
        <v>2.4</v>
      </c>
      <c r="F169" t="str">
        <f>Raumbuch!H176</f>
        <v>DALI EVG Handlauf</v>
      </c>
      <c r="G169" t="str">
        <f>Raumbuch!I176</f>
        <v>Zentral</v>
      </c>
      <c r="H169" t="str">
        <f>Raumbuch!J176</f>
        <v>DALI DT6 EVG</v>
      </c>
      <c r="I169" t="str">
        <f>Raumbuch!K176</f>
        <v>24 V DC</v>
      </c>
      <c r="J169" t="str">
        <f>Raumbuch!N176</f>
        <v>DA2</v>
      </c>
      <c r="K169" t="str">
        <f>Raumbuch!O176</f>
        <v>O4.DA2</v>
      </c>
      <c r="L169" s="11">
        <v>0</v>
      </c>
      <c r="M169" s="11">
        <f t="shared" si="8"/>
        <v>76.000000000000014</v>
      </c>
      <c r="N169" s="14">
        <f t="shared" si="6"/>
        <v>76</v>
      </c>
      <c r="O169" s="15" t="str">
        <f t="shared" si="7"/>
        <v>-</v>
      </c>
      <c r="P169" t="s">
        <v>137</v>
      </c>
      <c r="Q169" s="13" t="s">
        <v>138</v>
      </c>
      <c r="R169" t="s">
        <v>142</v>
      </c>
      <c r="S169" t="s">
        <v>207</v>
      </c>
    </row>
    <row r="170" spans="2:19" x14ac:dyDescent="0.25">
      <c r="B170" t="str">
        <f>Raumbuch!B177</f>
        <v>Obergeschoss</v>
      </c>
      <c r="C170" t="str">
        <f>Raumbuch!D177</f>
        <v>O5</v>
      </c>
      <c r="D170" t="str">
        <f>Raumbuch!F177</f>
        <v>Bad</v>
      </c>
      <c r="E170" t="str">
        <f>Raumbuch!G177</f>
        <v>2.5</v>
      </c>
      <c r="F170" t="str">
        <f>Raumbuch!H177</f>
        <v>Deckenlautsprecher 1</v>
      </c>
      <c r="G170" t="str">
        <f>Raumbuch!I177</f>
        <v>Audio</v>
      </c>
      <c r="H170">
        <f>Raumbuch!J177</f>
        <v>0</v>
      </c>
      <c r="I170" t="str">
        <f>Raumbuch!K177</f>
        <v>DIGITAL (potentialfrei)</v>
      </c>
      <c r="J170" t="str">
        <f>Raumbuch!N177</f>
        <v>DL1</v>
      </c>
      <c r="K170" t="str">
        <f>Raumbuch!O177</f>
        <v>O5.DL1</v>
      </c>
      <c r="L170" s="11">
        <v>0</v>
      </c>
      <c r="M170" s="11">
        <f t="shared" si="8"/>
        <v>76.000000000000014</v>
      </c>
      <c r="N170" s="14">
        <f t="shared" si="6"/>
        <v>76</v>
      </c>
      <c r="O170" s="15" t="str">
        <f t="shared" si="7"/>
        <v>-</v>
      </c>
      <c r="P170" t="s">
        <v>137</v>
      </c>
      <c r="Q170" s="13" t="s">
        <v>138</v>
      </c>
      <c r="R170" t="s">
        <v>142</v>
      </c>
      <c r="S170" t="s">
        <v>207</v>
      </c>
    </row>
    <row r="171" spans="2:19" x14ac:dyDescent="0.25">
      <c r="B171" t="str">
        <f>Raumbuch!B178</f>
        <v>Obergeschoss</v>
      </c>
      <c r="C171" t="str">
        <f>Raumbuch!D178</f>
        <v>O5</v>
      </c>
      <c r="D171" t="str">
        <f>Raumbuch!F178</f>
        <v>Bad</v>
      </c>
      <c r="E171" t="str">
        <f>Raumbuch!G178</f>
        <v>2.5</v>
      </c>
      <c r="F171" t="str">
        <f>Raumbuch!H178</f>
        <v>Deckenlautsprecher 2</v>
      </c>
      <c r="G171" t="str">
        <f>Raumbuch!I178</f>
        <v>Audio</v>
      </c>
      <c r="H171">
        <f>Raumbuch!J178</f>
        <v>0</v>
      </c>
      <c r="I171" t="str">
        <f>Raumbuch!K178</f>
        <v>DIGITAL (potentialfrei)</v>
      </c>
      <c r="J171" t="str">
        <f>Raumbuch!N178</f>
        <v>DL2</v>
      </c>
      <c r="K171" t="str">
        <f>Raumbuch!O178</f>
        <v>O5.DL2</v>
      </c>
      <c r="L171" s="11">
        <v>0</v>
      </c>
      <c r="M171" s="11">
        <f t="shared" si="8"/>
        <v>76.000000000000014</v>
      </c>
      <c r="N171" s="14">
        <f t="shared" si="6"/>
        <v>76</v>
      </c>
      <c r="O171" s="15" t="str">
        <f t="shared" si="7"/>
        <v>-</v>
      </c>
      <c r="P171" t="s">
        <v>154</v>
      </c>
      <c r="Q171" t="s">
        <v>105</v>
      </c>
      <c r="R171" t="s">
        <v>142</v>
      </c>
      <c r="S171" t="s">
        <v>207</v>
      </c>
    </row>
    <row r="172" spans="2:19" x14ac:dyDescent="0.25">
      <c r="B172" t="str">
        <f>Raumbuch!B179</f>
        <v>Obergeschoss</v>
      </c>
      <c r="C172" t="str">
        <f>Raumbuch!D179</f>
        <v>O5</v>
      </c>
      <c r="D172" t="str">
        <f>Raumbuch!F179</f>
        <v>Bad</v>
      </c>
      <c r="E172" t="str">
        <f>Raumbuch!G179</f>
        <v>2.5</v>
      </c>
      <c r="F172" t="str">
        <f>Raumbuch!H179</f>
        <v>Spots n</v>
      </c>
      <c r="G172" t="str">
        <f>Raumbuch!I179</f>
        <v>Beleuchtung</v>
      </c>
      <c r="H172" t="str">
        <f>Raumbuch!J179</f>
        <v>tunable white</v>
      </c>
      <c r="I172" t="str">
        <f>Raumbuch!K179</f>
        <v>DALI</v>
      </c>
      <c r="J172" t="str">
        <f>Raumbuch!N179</f>
        <v>BL1</v>
      </c>
      <c r="K172" t="str">
        <f>Raumbuch!O179</f>
        <v>O5.BL1</v>
      </c>
      <c r="L172" s="11">
        <v>0</v>
      </c>
      <c r="M172" s="11">
        <f t="shared" si="8"/>
        <v>76.000000000000014</v>
      </c>
      <c r="N172" s="14">
        <f t="shared" si="6"/>
        <v>76</v>
      </c>
      <c r="O172" s="15" t="str">
        <f t="shared" si="7"/>
        <v>-</v>
      </c>
      <c r="P172" t="s">
        <v>154</v>
      </c>
      <c r="Q172" t="s">
        <v>178</v>
      </c>
      <c r="R172" t="s">
        <v>142</v>
      </c>
      <c r="S172" t="s">
        <v>207</v>
      </c>
    </row>
    <row r="173" spans="2:19" x14ac:dyDescent="0.25">
      <c r="B173" t="str">
        <f>Raumbuch!B180</f>
        <v>Obergeschoss</v>
      </c>
      <c r="C173" t="str">
        <f>Raumbuch!D180</f>
        <v>O5</v>
      </c>
      <c r="D173" t="str">
        <f>Raumbuch!F180</f>
        <v>Bad</v>
      </c>
      <c r="E173" t="str">
        <f>Raumbuch!G180</f>
        <v>2.5</v>
      </c>
      <c r="F173" t="str">
        <f>Raumbuch!H180</f>
        <v>LED Stripe Badewanne</v>
      </c>
      <c r="G173" t="str">
        <f>Raumbuch!I180</f>
        <v>Beleuchtung</v>
      </c>
      <c r="H173" t="str">
        <f>Raumbuch!J180</f>
        <v>dimmbar</v>
      </c>
      <c r="I173" t="str">
        <f>Raumbuch!K180</f>
        <v>DALI</v>
      </c>
      <c r="J173" t="str">
        <f>Raumbuch!N180</f>
        <v>BL2</v>
      </c>
      <c r="K173" t="str">
        <f>Raumbuch!O180</f>
        <v>O5.BL2</v>
      </c>
      <c r="L173" s="11">
        <v>1</v>
      </c>
      <c r="M173" s="11">
        <f t="shared" si="8"/>
        <v>77.000000000000014</v>
      </c>
      <c r="N173" s="14">
        <f t="shared" si="6"/>
        <v>77</v>
      </c>
      <c r="O173" s="15" t="str">
        <f t="shared" si="7"/>
        <v>RK77</v>
      </c>
      <c r="P173" t="s">
        <v>85</v>
      </c>
      <c r="Q173" t="s">
        <v>148</v>
      </c>
      <c r="R173" t="s">
        <v>142</v>
      </c>
      <c r="S173" t="s">
        <v>206</v>
      </c>
    </row>
    <row r="174" spans="2:19" x14ac:dyDescent="0.25">
      <c r="B174" t="str">
        <f>Raumbuch!B183</f>
        <v>Obergeschoss</v>
      </c>
      <c r="C174" t="str">
        <f>Raumbuch!D183</f>
        <v>O5</v>
      </c>
      <c r="D174" t="str">
        <f>Raumbuch!F183</f>
        <v>Bad</v>
      </c>
      <c r="E174" t="str">
        <f>Raumbuch!G183</f>
        <v>2.5</v>
      </c>
      <c r="F174" t="str">
        <f>Raumbuch!H183</f>
        <v>LED Stripe WC Wand</v>
      </c>
      <c r="G174" t="str">
        <f>Raumbuch!I183</f>
        <v>Beleuchtung</v>
      </c>
      <c r="H174" t="str">
        <f>Raumbuch!J183</f>
        <v>dimmbar</v>
      </c>
      <c r="I174" t="str">
        <f>Raumbuch!K183</f>
        <v>DALI</v>
      </c>
      <c r="J174" t="str">
        <f>Raumbuch!N183</f>
        <v>BL5</v>
      </c>
      <c r="K174" t="str">
        <f>Raumbuch!O183</f>
        <v>O5.BL5</v>
      </c>
      <c r="L174" s="11">
        <v>1</v>
      </c>
      <c r="M174" s="11">
        <f t="shared" si="8"/>
        <v>78.000000000000014</v>
      </c>
      <c r="N174" s="14">
        <f t="shared" si="6"/>
        <v>78</v>
      </c>
      <c r="O174" s="15" t="str">
        <f t="shared" si="7"/>
        <v>RK78</v>
      </c>
      <c r="P174" t="s">
        <v>200</v>
      </c>
      <c r="Q174" t="s">
        <v>178</v>
      </c>
      <c r="R174" s="13" t="s">
        <v>138</v>
      </c>
      <c r="S174" s="13" t="s">
        <v>138</v>
      </c>
    </row>
    <row r="175" spans="2:19" x14ac:dyDescent="0.25">
      <c r="B175" t="str">
        <f>Raumbuch!B184</f>
        <v>Obergeschoss</v>
      </c>
      <c r="C175" t="str">
        <f>Raumbuch!D184</f>
        <v>O5</v>
      </c>
      <c r="D175" t="str">
        <f>Raumbuch!F184</f>
        <v>Bad</v>
      </c>
      <c r="E175" t="str">
        <f>Raumbuch!G184</f>
        <v>2.5</v>
      </c>
      <c r="F175" t="str">
        <f>Raumbuch!H184</f>
        <v>LED Stripe Spiegelschrank</v>
      </c>
      <c r="G175" t="str">
        <f>Raumbuch!I184</f>
        <v>Beleuchtung</v>
      </c>
      <c r="H175" t="str">
        <f>Raumbuch!J184</f>
        <v>dimmbar</v>
      </c>
      <c r="I175" t="str">
        <f>Raumbuch!K184</f>
        <v>DALI</v>
      </c>
      <c r="J175" t="str">
        <f>Raumbuch!N184</f>
        <v>BL6</v>
      </c>
      <c r="K175" t="str">
        <f>Raumbuch!O184</f>
        <v>O5.BL6</v>
      </c>
      <c r="L175" s="11">
        <v>1</v>
      </c>
      <c r="M175" s="11">
        <f t="shared" si="8"/>
        <v>79.000000000000014</v>
      </c>
      <c r="N175" s="14">
        <f t="shared" si="6"/>
        <v>79</v>
      </c>
      <c r="O175" s="15" t="str">
        <f t="shared" si="7"/>
        <v>RK79</v>
      </c>
      <c r="P175" t="s">
        <v>200</v>
      </c>
      <c r="Q175" t="s">
        <v>187</v>
      </c>
      <c r="R175" s="13" t="s">
        <v>138</v>
      </c>
      <c r="S175" s="13" t="s">
        <v>138</v>
      </c>
    </row>
    <row r="176" spans="2:19" x14ac:dyDescent="0.25">
      <c r="B176" t="str">
        <f>Raumbuch!B187</f>
        <v>Obergeschoss</v>
      </c>
      <c r="C176" t="str">
        <f>Raumbuch!D187</f>
        <v>O5</v>
      </c>
      <c r="D176" t="str">
        <f>Raumbuch!F187</f>
        <v>Bad</v>
      </c>
      <c r="E176" t="str">
        <f>Raumbuch!G187</f>
        <v>2.5</v>
      </c>
      <c r="F176" t="str">
        <f>Raumbuch!H187</f>
        <v>Fensterkontakt Nord</v>
      </c>
      <c r="G176" t="str">
        <f>Raumbuch!I187</f>
        <v>Sensoren</v>
      </c>
      <c r="H176" t="str">
        <f>Raumbuch!J187</f>
        <v>Fensterkontakt Reed</v>
      </c>
      <c r="I176" t="str">
        <f>Raumbuch!K187</f>
        <v>DIGITAL (potentialfrei)</v>
      </c>
      <c r="J176" t="str">
        <f>Raumbuch!N187</f>
        <v>FK1</v>
      </c>
      <c r="K176" t="str">
        <f>Raumbuch!O187</f>
        <v>O5.FK1</v>
      </c>
      <c r="L176" s="11">
        <v>0.2</v>
      </c>
      <c r="M176" s="11">
        <f t="shared" si="8"/>
        <v>79.200000000000017</v>
      </c>
      <c r="N176" s="14">
        <f t="shared" si="6"/>
        <v>80</v>
      </c>
      <c r="O176" s="15" t="str">
        <f t="shared" si="7"/>
        <v>RK80</v>
      </c>
      <c r="P176" t="s">
        <v>138</v>
      </c>
      <c r="Q176" s="13" t="s">
        <v>138</v>
      </c>
      <c r="R176" t="s">
        <v>210</v>
      </c>
      <c r="S176" t="s">
        <v>211</v>
      </c>
    </row>
    <row r="177" spans="2:19" x14ac:dyDescent="0.25">
      <c r="B177" t="str">
        <f>Raumbuch!B188</f>
        <v>Obergeschoss</v>
      </c>
      <c r="C177" t="str">
        <f>Raumbuch!D188</f>
        <v>O5</v>
      </c>
      <c r="D177" t="str">
        <f>Raumbuch!F188</f>
        <v>Bad</v>
      </c>
      <c r="E177" t="str">
        <f>Raumbuch!G188</f>
        <v>2.5</v>
      </c>
      <c r="F177" t="str">
        <f>Raumbuch!H188</f>
        <v>Fensterkontakt Ost</v>
      </c>
      <c r="G177" t="str">
        <f>Raumbuch!I188</f>
        <v>Sensoren</v>
      </c>
      <c r="H177" t="str">
        <f>Raumbuch!J188</f>
        <v>Fensterkontakt Reed</v>
      </c>
      <c r="I177" t="str">
        <f>Raumbuch!K188</f>
        <v>DIGITAL (potentialfrei)</v>
      </c>
      <c r="J177" t="str">
        <f>Raumbuch!N188</f>
        <v>FK2</v>
      </c>
      <c r="K177" t="str">
        <f>Raumbuch!O188</f>
        <v>O5.FK2</v>
      </c>
      <c r="L177" s="11">
        <v>0.2</v>
      </c>
      <c r="M177" s="11">
        <f t="shared" si="8"/>
        <v>79.40000000000002</v>
      </c>
      <c r="N177" s="14">
        <f t="shared" si="6"/>
        <v>80</v>
      </c>
      <c r="O177" s="15" t="str">
        <f t="shared" si="7"/>
        <v>RK80</v>
      </c>
      <c r="P177" t="s">
        <v>138</v>
      </c>
      <c r="Q177" s="13" t="s">
        <v>138</v>
      </c>
      <c r="R177" t="s">
        <v>210</v>
      </c>
      <c r="S177" t="s">
        <v>212</v>
      </c>
    </row>
    <row r="178" spans="2:19" x14ac:dyDescent="0.25">
      <c r="B178" t="str">
        <f>Raumbuch!B189</f>
        <v>Obergeschoss</v>
      </c>
      <c r="C178" t="str">
        <f>Raumbuch!D189</f>
        <v>O5</v>
      </c>
      <c r="D178" t="str">
        <f>Raumbuch!F189</f>
        <v>Bad</v>
      </c>
      <c r="E178" t="str">
        <f>Raumbuch!G189</f>
        <v>2.5</v>
      </c>
      <c r="F178" t="str">
        <f>Raumbuch!H189</f>
        <v>Tastsensor</v>
      </c>
      <c r="G178" t="str">
        <f>Raumbuch!I189</f>
        <v>Sensoren</v>
      </c>
      <c r="H178" t="str">
        <f>Raumbuch!J189</f>
        <v>Taster mit Temperaturmesser</v>
      </c>
      <c r="I178" t="str">
        <f>Raumbuch!K189</f>
        <v>KNX</v>
      </c>
      <c r="J178" t="str">
        <f>Raumbuch!N189</f>
        <v>TS1</v>
      </c>
      <c r="K178" t="str">
        <f>Raumbuch!O189</f>
        <v>O5.TS1</v>
      </c>
      <c r="L178" s="11">
        <v>0.2</v>
      </c>
      <c r="M178" s="11">
        <f t="shared" si="8"/>
        <v>79.600000000000023</v>
      </c>
      <c r="N178" s="14">
        <f t="shared" si="6"/>
        <v>80</v>
      </c>
      <c r="O178" s="15" t="str">
        <f t="shared" si="7"/>
        <v>RK80</v>
      </c>
      <c r="P178" t="s">
        <v>138</v>
      </c>
      <c r="Q178" s="13" t="s">
        <v>138</v>
      </c>
    </row>
    <row r="179" spans="2:19" x14ac:dyDescent="0.25">
      <c r="B179" t="str">
        <f>Raumbuch!B190</f>
        <v>Obergeschoss</v>
      </c>
      <c r="C179" t="str">
        <f>Raumbuch!D190</f>
        <v>O5</v>
      </c>
      <c r="D179" t="str">
        <f>Raumbuch!F190</f>
        <v>Bad</v>
      </c>
      <c r="E179" t="str">
        <f>Raumbuch!G190</f>
        <v>2.5</v>
      </c>
      <c r="F179" t="str">
        <f>Raumbuch!H190</f>
        <v>Präsenzmelder</v>
      </c>
      <c r="G179" t="str">
        <f>Raumbuch!I190</f>
        <v>Sensoren</v>
      </c>
      <c r="H179" t="str">
        <f>Raumbuch!J190</f>
        <v>Präsenzmelder mit KLR</v>
      </c>
      <c r="I179" t="str">
        <f>Raumbuch!K190</f>
        <v>KNX</v>
      </c>
      <c r="J179" t="str">
        <f>Raumbuch!N190</f>
        <v>PM1</v>
      </c>
      <c r="K179" t="str">
        <f>Raumbuch!O190</f>
        <v>O5.PM1</v>
      </c>
      <c r="L179" s="11">
        <v>0.2</v>
      </c>
      <c r="M179" s="11">
        <f t="shared" si="8"/>
        <v>79.800000000000026</v>
      </c>
      <c r="N179" s="14">
        <f t="shared" si="6"/>
        <v>80</v>
      </c>
      <c r="O179" s="15" t="str">
        <f t="shared" si="7"/>
        <v>RK80</v>
      </c>
      <c r="P179" t="s">
        <v>138</v>
      </c>
      <c r="Q179" s="13" t="s">
        <v>138</v>
      </c>
      <c r="R179" t="s">
        <v>210</v>
      </c>
      <c r="S179" t="s">
        <v>213</v>
      </c>
    </row>
    <row r="180" spans="2:19" x14ac:dyDescent="0.25">
      <c r="B180" t="str">
        <f>Raumbuch!B191</f>
        <v>Obergeschoss</v>
      </c>
      <c r="C180" t="str">
        <f>Raumbuch!D191</f>
        <v>O5</v>
      </c>
      <c r="D180" t="str">
        <f>Raumbuch!F191</f>
        <v>Bad</v>
      </c>
      <c r="E180" t="str">
        <f>Raumbuch!G191</f>
        <v>2.5</v>
      </c>
      <c r="F180" t="str">
        <f>Raumbuch!H191</f>
        <v>Steckdose Fenster Nord</v>
      </c>
      <c r="G180" t="str">
        <f>Raumbuch!I191</f>
        <v>Steckdosen</v>
      </c>
      <c r="H180" t="str">
        <f>Raumbuch!J191</f>
        <v>mit Schaltaktor</v>
      </c>
      <c r="I180" t="str">
        <f>Raumbuch!K191</f>
        <v>230 V AC</v>
      </c>
      <c r="J180" t="str">
        <f>Raumbuch!N191</f>
        <v>SD1</v>
      </c>
      <c r="K180" t="str">
        <f>Raumbuch!O191</f>
        <v>O5.SD1</v>
      </c>
      <c r="L180" s="11">
        <v>0.2</v>
      </c>
      <c r="M180" s="11">
        <f t="shared" si="8"/>
        <v>80.000000000000028</v>
      </c>
      <c r="N180" s="14">
        <f t="shared" si="6"/>
        <v>80</v>
      </c>
      <c r="O180" s="15" t="str">
        <f t="shared" si="7"/>
        <v>RK80</v>
      </c>
      <c r="P180" t="s">
        <v>138</v>
      </c>
      <c r="Q180" s="13" t="s">
        <v>138</v>
      </c>
      <c r="R180" t="s">
        <v>210</v>
      </c>
      <c r="S180" t="s">
        <v>213</v>
      </c>
    </row>
    <row r="181" spans="2:19" x14ac:dyDescent="0.25">
      <c r="B181" t="str">
        <f>Raumbuch!B185</f>
        <v>Obergeschoss</v>
      </c>
      <c r="C181" t="str">
        <f>Raumbuch!D185</f>
        <v>O5</v>
      </c>
      <c r="D181" t="str">
        <f>Raumbuch!F185</f>
        <v>Bad</v>
      </c>
      <c r="E181" t="str">
        <f>Raumbuch!G185</f>
        <v>2.5</v>
      </c>
      <c r="F181" t="str">
        <f>Raumbuch!H185</f>
        <v>Anschluss Rolladen Nord</v>
      </c>
      <c r="G181" t="str">
        <f>Raumbuch!I185</f>
        <v>Beschattung</v>
      </c>
      <c r="H181" t="str">
        <f>Raumbuch!J185</f>
        <v>Rollladen</v>
      </c>
      <c r="I181" t="str">
        <f>Raumbuch!K185</f>
        <v>230 V AC - Beschattung</v>
      </c>
      <c r="J181" t="str">
        <f>Raumbuch!N185</f>
        <v>R1</v>
      </c>
      <c r="K181" t="str">
        <f>Raumbuch!O185</f>
        <v>O5.R1</v>
      </c>
      <c r="L181" s="11">
        <v>0.5</v>
      </c>
      <c r="M181" s="11">
        <f t="shared" si="8"/>
        <v>80.500000000000028</v>
      </c>
      <c r="N181" s="14">
        <f t="shared" si="6"/>
        <v>81</v>
      </c>
      <c r="O181" s="15" t="str">
        <f t="shared" si="7"/>
        <v>RK81</v>
      </c>
      <c r="P181" t="s">
        <v>145</v>
      </c>
      <c r="Q181" t="s">
        <v>192</v>
      </c>
      <c r="R181" s="13" t="s">
        <v>138</v>
      </c>
      <c r="S181" s="13" t="s">
        <v>138</v>
      </c>
    </row>
    <row r="182" spans="2:19" x14ac:dyDescent="0.25">
      <c r="B182" t="str">
        <f>Raumbuch!B186</f>
        <v>Obergeschoss</v>
      </c>
      <c r="C182" t="str">
        <f>Raumbuch!D186</f>
        <v>O5</v>
      </c>
      <c r="D182" t="str">
        <f>Raumbuch!F186</f>
        <v>Bad</v>
      </c>
      <c r="E182" t="str">
        <f>Raumbuch!G186</f>
        <v>2.5</v>
      </c>
      <c r="F182" t="str">
        <f>Raumbuch!H186</f>
        <v>Anschluss Rolladen Ost</v>
      </c>
      <c r="G182" t="str">
        <f>Raumbuch!I186</f>
        <v>Beschattung</v>
      </c>
      <c r="H182" t="str">
        <f>Raumbuch!J186</f>
        <v>Rollladen</v>
      </c>
      <c r="I182" t="str">
        <f>Raumbuch!K186</f>
        <v>230 V AC - Beschattung</v>
      </c>
      <c r="J182" t="str">
        <f>Raumbuch!N186</f>
        <v>R2</v>
      </c>
      <c r="K182" t="str">
        <f>Raumbuch!O186</f>
        <v>O5.R2</v>
      </c>
      <c r="L182" s="11">
        <v>0.5</v>
      </c>
      <c r="M182" s="11">
        <f t="shared" si="8"/>
        <v>81.000000000000028</v>
      </c>
      <c r="N182" s="14">
        <f t="shared" si="6"/>
        <v>81</v>
      </c>
      <c r="O182" s="15" t="str">
        <f t="shared" si="7"/>
        <v>RK81</v>
      </c>
      <c r="P182" t="s">
        <v>145</v>
      </c>
      <c r="Q182" t="s">
        <v>192</v>
      </c>
      <c r="R182" s="13" t="s">
        <v>138</v>
      </c>
      <c r="S182" s="13" t="s">
        <v>138</v>
      </c>
    </row>
    <row r="183" spans="2:19" x14ac:dyDescent="0.25">
      <c r="B183" t="str">
        <f>Raumbuch!B194</f>
        <v>Obergeschoss</v>
      </c>
      <c r="C183" t="str">
        <f>Raumbuch!D194</f>
        <v>O5</v>
      </c>
      <c r="D183" t="str">
        <f>Raumbuch!F194</f>
        <v>Bad</v>
      </c>
      <c r="E183" t="str">
        <f>Raumbuch!G194</f>
        <v>2.5</v>
      </c>
      <c r="F183" t="str">
        <f>Raumbuch!H194</f>
        <v>Steckdose Fenster Ost</v>
      </c>
      <c r="G183" t="str">
        <f>Raumbuch!I194</f>
        <v>Steckdosen</v>
      </c>
      <c r="H183" t="str">
        <f>Raumbuch!J194</f>
        <v>mit Schaltaktor</v>
      </c>
      <c r="I183" t="str">
        <f>Raumbuch!K194</f>
        <v>230 V AC</v>
      </c>
      <c r="J183" t="str">
        <f>Raumbuch!N194</f>
        <v>SD5</v>
      </c>
      <c r="K183" t="str">
        <f>Raumbuch!O194</f>
        <v>O5.SD5</v>
      </c>
      <c r="L183" s="11">
        <v>0.33333333333333331</v>
      </c>
      <c r="M183" s="11">
        <f t="shared" si="8"/>
        <v>81.333333333333357</v>
      </c>
      <c r="N183" s="14">
        <f t="shared" si="6"/>
        <v>82</v>
      </c>
      <c r="O183" s="15" t="str">
        <f t="shared" si="7"/>
        <v>RK82</v>
      </c>
      <c r="P183" t="s">
        <v>140</v>
      </c>
      <c r="Q183" t="s">
        <v>214</v>
      </c>
      <c r="R183" t="s">
        <v>210</v>
      </c>
      <c r="S183" t="s">
        <v>215</v>
      </c>
    </row>
    <row r="184" spans="2:19" x14ac:dyDescent="0.25">
      <c r="B184" t="str">
        <f>Raumbuch!B195</f>
        <v>Obergeschoss</v>
      </c>
      <c r="C184" t="str">
        <f>Raumbuch!D195</f>
        <v>O5</v>
      </c>
      <c r="D184" t="str">
        <f>Raumbuch!F195</f>
        <v>Bad</v>
      </c>
      <c r="E184" t="str">
        <f>Raumbuch!G195</f>
        <v>2.5</v>
      </c>
      <c r="F184" t="str">
        <f>Raumbuch!H195</f>
        <v>Steckdose Handtuchtrockner</v>
      </c>
      <c r="G184" t="str">
        <f>Raumbuch!I195</f>
        <v>Steckdosen</v>
      </c>
      <c r="H184" t="str">
        <f>Raumbuch!J195</f>
        <v>ohne Schaltaktor</v>
      </c>
      <c r="I184" t="str">
        <f>Raumbuch!K195</f>
        <v>230 V AC</v>
      </c>
      <c r="J184" t="str">
        <f>Raumbuch!N195</f>
        <v>SD5</v>
      </c>
      <c r="K184" t="str">
        <f>Raumbuch!O195</f>
        <v>O5.SD5</v>
      </c>
      <c r="L184" s="11">
        <v>0.33333333333333331</v>
      </c>
      <c r="M184" s="11">
        <f t="shared" si="8"/>
        <v>81.666666666666686</v>
      </c>
      <c r="N184" s="14">
        <f t="shared" si="6"/>
        <v>82</v>
      </c>
      <c r="O184" s="15" t="str">
        <f t="shared" si="7"/>
        <v>RK82</v>
      </c>
      <c r="P184" t="s">
        <v>140</v>
      </c>
      <c r="Q184" t="s">
        <v>214</v>
      </c>
      <c r="R184" t="s">
        <v>210</v>
      </c>
      <c r="S184" t="s">
        <v>215</v>
      </c>
    </row>
    <row r="185" spans="2:19" x14ac:dyDescent="0.25">
      <c r="B185" t="str">
        <f>Raumbuch!B196</f>
        <v>Obergeschoss</v>
      </c>
      <c r="C185" t="str">
        <f>Raumbuch!D196</f>
        <v>O5</v>
      </c>
      <c r="D185" t="str">
        <f>Raumbuch!F196</f>
        <v>Bad</v>
      </c>
      <c r="E185" t="str">
        <f>Raumbuch!G196</f>
        <v>2.5</v>
      </c>
      <c r="F185" t="str">
        <f>Raumbuch!H196</f>
        <v>Steckdose Süd 1</v>
      </c>
      <c r="G185" t="str">
        <f>Raumbuch!I196</f>
        <v>Steckdosen</v>
      </c>
      <c r="H185" t="str">
        <f>Raumbuch!J196</f>
        <v>ohne Schaltaktor</v>
      </c>
      <c r="I185" t="str">
        <f>Raumbuch!K196</f>
        <v>230 V AC</v>
      </c>
      <c r="J185" t="str">
        <f>Raumbuch!N196</f>
        <v>SD6</v>
      </c>
      <c r="K185" t="str">
        <f>Raumbuch!O196</f>
        <v>O5.SD6</v>
      </c>
      <c r="L185" s="11">
        <v>0.33333333333333331</v>
      </c>
      <c r="M185" s="11">
        <f t="shared" si="8"/>
        <v>82.000000000000014</v>
      </c>
      <c r="N185" s="14">
        <f t="shared" si="6"/>
        <v>82</v>
      </c>
      <c r="O185" s="15" t="str">
        <f t="shared" si="7"/>
        <v>RK82</v>
      </c>
      <c r="P185" t="s">
        <v>140</v>
      </c>
      <c r="Q185" t="s">
        <v>214</v>
      </c>
      <c r="R185" t="s">
        <v>210</v>
      </c>
      <c r="S185" t="s">
        <v>215</v>
      </c>
    </row>
    <row r="186" spans="2:19" x14ac:dyDescent="0.25">
      <c r="B186" t="str">
        <f>Raumbuch!B192</f>
        <v>Obergeschoss</v>
      </c>
      <c r="C186" t="str">
        <f>Raumbuch!D192</f>
        <v>O5</v>
      </c>
      <c r="D186" t="str">
        <f>Raumbuch!F192</f>
        <v>Bad</v>
      </c>
      <c r="E186" t="str">
        <f>Raumbuch!G192</f>
        <v>2.5</v>
      </c>
      <c r="F186" t="str">
        <f>Raumbuch!H192</f>
        <v>Steckdose Nord 1</v>
      </c>
      <c r="G186" t="str">
        <f>Raumbuch!I192</f>
        <v>Steckdosen</v>
      </c>
      <c r="H186" t="str">
        <f>Raumbuch!J192</f>
        <v>ohne Schaltaktor</v>
      </c>
      <c r="I186" t="str">
        <f>Raumbuch!K192</f>
        <v>230 V AC</v>
      </c>
      <c r="J186" t="str">
        <f>Raumbuch!N192</f>
        <v>SD2</v>
      </c>
      <c r="K186" t="str">
        <f>Raumbuch!O192</f>
        <v>O5.SD2</v>
      </c>
      <c r="L186" s="11">
        <v>0</v>
      </c>
      <c r="M186" s="11">
        <f t="shared" si="8"/>
        <v>82.000000000000014</v>
      </c>
      <c r="N186" s="14">
        <f t="shared" si="6"/>
        <v>82</v>
      </c>
      <c r="O186" s="15" t="str">
        <f t="shared" si="7"/>
        <v>-</v>
      </c>
      <c r="P186" t="s">
        <v>137</v>
      </c>
      <c r="Q186" s="13" t="s">
        <v>138</v>
      </c>
      <c r="R186" t="s">
        <v>210</v>
      </c>
      <c r="S186" t="s">
        <v>216</v>
      </c>
    </row>
    <row r="187" spans="2:19" x14ac:dyDescent="0.25">
      <c r="B187" t="str">
        <f>Raumbuch!B193</f>
        <v>Obergeschoss</v>
      </c>
      <c r="C187" t="str">
        <f>Raumbuch!D193</f>
        <v>O5</v>
      </c>
      <c r="D187" t="str">
        <f>Raumbuch!F193</f>
        <v>Bad</v>
      </c>
      <c r="E187" t="str">
        <f>Raumbuch!G193</f>
        <v>2.5</v>
      </c>
      <c r="F187" t="str">
        <f>Raumbuch!H193</f>
        <v>Anschluss Dusch-WC</v>
      </c>
      <c r="G187" t="str">
        <f>Raumbuch!I193</f>
        <v>Steckdosen</v>
      </c>
      <c r="H187" t="str">
        <f>Raumbuch!J193</f>
        <v>Anschluss ohne Steckdose</v>
      </c>
      <c r="I187" t="str">
        <f>Raumbuch!K193</f>
        <v>230 V AC</v>
      </c>
      <c r="J187" t="str">
        <f>Raumbuch!N193</f>
        <v>SD4</v>
      </c>
      <c r="K187" t="str">
        <f>Raumbuch!O193</f>
        <v>O5.SD4</v>
      </c>
      <c r="L187" s="11">
        <v>0</v>
      </c>
      <c r="M187" s="11">
        <f t="shared" si="8"/>
        <v>82.000000000000014</v>
      </c>
      <c r="N187" s="14">
        <f t="shared" si="6"/>
        <v>82</v>
      </c>
      <c r="O187" s="15" t="str">
        <f t="shared" si="7"/>
        <v>-</v>
      </c>
      <c r="P187" t="s">
        <v>138</v>
      </c>
      <c r="Q187" s="13" t="s">
        <v>138</v>
      </c>
      <c r="R187" t="s">
        <v>210</v>
      </c>
      <c r="S187" t="s">
        <v>216</v>
      </c>
    </row>
    <row r="188" spans="2:19" x14ac:dyDescent="0.25">
      <c r="B188" t="str">
        <f>Raumbuch!B197</f>
        <v>Obergeschoss</v>
      </c>
      <c r="C188" t="str">
        <f>Raumbuch!D197</f>
        <v>O5</v>
      </c>
      <c r="D188" t="str">
        <f>Raumbuch!F197</f>
        <v>Bad</v>
      </c>
      <c r="E188" t="str">
        <f>Raumbuch!G197</f>
        <v>2.5</v>
      </c>
      <c r="F188" t="str">
        <f>Raumbuch!H197</f>
        <v>Steckdose Süd 2</v>
      </c>
      <c r="G188" t="str">
        <f>Raumbuch!I197</f>
        <v>Steckdosen</v>
      </c>
      <c r="H188" t="str">
        <f>Raumbuch!J197</f>
        <v>ohne Schaltaktor</v>
      </c>
      <c r="I188" t="str">
        <f>Raumbuch!K197</f>
        <v>230 V AC</v>
      </c>
      <c r="J188" t="str">
        <f>Raumbuch!N197</f>
        <v>SD7</v>
      </c>
      <c r="K188" t="str">
        <f>Raumbuch!O197</f>
        <v>O5.SD7</v>
      </c>
      <c r="L188" s="11">
        <v>1</v>
      </c>
      <c r="M188" s="11">
        <f t="shared" si="8"/>
        <v>83.000000000000014</v>
      </c>
      <c r="N188" s="14">
        <f t="shared" si="6"/>
        <v>83</v>
      </c>
      <c r="O188" s="15" t="str">
        <f t="shared" si="7"/>
        <v>RK83</v>
      </c>
      <c r="P188" t="s">
        <v>138</v>
      </c>
      <c r="Q188" s="13" t="s">
        <v>138</v>
      </c>
      <c r="R188" t="s">
        <v>210</v>
      </c>
      <c r="S188" t="s">
        <v>215</v>
      </c>
    </row>
    <row r="189" spans="2:19" x14ac:dyDescent="0.25">
      <c r="B189" t="str">
        <f>Raumbuch!B211</f>
        <v>Erdgeschoss</v>
      </c>
      <c r="C189" t="str">
        <f>Raumbuch!D211</f>
        <v>E5</v>
      </c>
      <c r="D189" t="str">
        <f>Raumbuch!F211</f>
        <v>Küche</v>
      </c>
      <c r="E189" t="str">
        <f>Raumbuch!G211</f>
        <v>1.5</v>
      </c>
      <c r="F189" t="str">
        <f>Raumbuch!H211</f>
        <v>Spots Hochschränke</v>
      </c>
      <c r="G189" t="str">
        <f>Raumbuch!I211</f>
        <v>Beleuchtung</v>
      </c>
      <c r="H189" t="str">
        <f>Raumbuch!J211</f>
        <v>tunable white</v>
      </c>
      <c r="I189" t="str">
        <f>Raumbuch!K211</f>
        <v>DALI</v>
      </c>
      <c r="J189" t="str">
        <f>Raumbuch!N211</f>
        <v>BL3</v>
      </c>
      <c r="K189" t="str">
        <f>Raumbuch!O211</f>
        <v>E5.BL3</v>
      </c>
      <c r="L189" s="11">
        <v>1</v>
      </c>
      <c r="M189" s="11">
        <f t="shared" si="8"/>
        <v>84.000000000000014</v>
      </c>
      <c r="N189" s="14">
        <f t="shared" si="6"/>
        <v>84</v>
      </c>
      <c r="O189" s="15" t="str">
        <f t="shared" si="7"/>
        <v>RK84</v>
      </c>
      <c r="P189" t="s">
        <v>140</v>
      </c>
      <c r="Q189" t="s">
        <v>217</v>
      </c>
      <c r="R189" t="s">
        <v>218</v>
      </c>
      <c r="S189" t="s">
        <v>219</v>
      </c>
    </row>
    <row r="190" spans="2:19" x14ac:dyDescent="0.25">
      <c r="B190" t="str">
        <f>Raumbuch!B198</f>
        <v>Obergeschoss</v>
      </c>
      <c r="C190" t="str">
        <f>Raumbuch!D198</f>
        <v>O5</v>
      </c>
      <c r="D190" t="str">
        <f>Raumbuch!F198</f>
        <v>Bad</v>
      </c>
      <c r="E190" t="str">
        <f>Raumbuch!G198</f>
        <v>2.5</v>
      </c>
      <c r="F190" t="str">
        <f>Raumbuch!H198</f>
        <v>Steckdose Süd 3</v>
      </c>
      <c r="G190" t="str">
        <f>Raumbuch!I198</f>
        <v>Steckdosen</v>
      </c>
      <c r="H190" t="str">
        <f>Raumbuch!J198</f>
        <v>ohne Schaltaktor</v>
      </c>
      <c r="I190" t="str">
        <f>Raumbuch!K198</f>
        <v>230 V AC</v>
      </c>
      <c r="J190" t="str">
        <f>Raumbuch!N198</f>
        <v>SD8</v>
      </c>
      <c r="K190" t="str">
        <f>Raumbuch!O198</f>
        <v>O5.SD8</v>
      </c>
      <c r="L190" s="11">
        <v>0</v>
      </c>
      <c r="M190" s="11">
        <f t="shared" si="8"/>
        <v>84.000000000000014</v>
      </c>
      <c r="N190" s="14">
        <f t="shared" si="6"/>
        <v>84</v>
      </c>
      <c r="O190" s="15" t="str">
        <f t="shared" si="7"/>
        <v>-</v>
      </c>
      <c r="P190" t="s">
        <v>137</v>
      </c>
      <c r="Q190" s="13" t="s">
        <v>138</v>
      </c>
      <c r="R190" t="s">
        <v>210</v>
      </c>
      <c r="S190" t="s">
        <v>212</v>
      </c>
    </row>
    <row r="191" spans="2:19" x14ac:dyDescent="0.25">
      <c r="B191" t="str">
        <f>Raumbuch!B199</f>
        <v>Obergeschoss</v>
      </c>
      <c r="C191" t="str">
        <f>Raumbuch!D199</f>
        <v>O5</v>
      </c>
      <c r="D191" t="str">
        <f>Raumbuch!F199</f>
        <v>Bad</v>
      </c>
      <c r="E191" t="str">
        <f>Raumbuch!G199</f>
        <v>2.5</v>
      </c>
      <c r="F191" t="str">
        <f>Raumbuch!H199</f>
        <v>Steckdose West 1</v>
      </c>
      <c r="G191" t="str">
        <f>Raumbuch!I199</f>
        <v>Steckdosen</v>
      </c>
      <c r="H191" t="str">
        <f>Raumbuch!J199</f>
        <v>ohne Schaltaktor</v>
      </c>
      <c r="I191" t="str">
        <f>Raumbuch!K199</f>
        <v>230 V AC</v>
      </c>
      <c r="J191" t="str">
        <f>Raumbuch!N199</f>
        <v>SD9</v>
      </c>
      <c r="K191" t="str">
        <f>Raumbuch!O199</f>
        <v>O5.SD9</v>
      </c>
      <c r="L191" s="11">
        <v>0</v>
      </c>
      <c r="M191" s="11">
        <f t="shared" si="8"/>
        <v>84.000000000000014</v>
      </c>
      <c r="N191" s="14">
        <f t="shared" si="6"/>
        <v>84</v>
      </c>
      <c r="O191" s="15" t="str">
        <f t="shared" si="7"/>
        <v>-</v>
      </c>
      <c r="P191" t="s">
        <v>154</v>
      </c>
      <c r="Q191" t="s">
        <v>187</v>
      </c>
      <c r="R191" t="s">
        <v>210</v>
      </c>
      <c r="S191" t="s">
        <v>212</v>
      </c>
    </row>
    <row r="192" spans="2:19" x14ac:dyDescent="0.25">
      <c r="B192" t="str">
        <f>Raumbuch!B200</f>
        <v>Obergeschoss</v>
      </c>
      <c r="C192" t="str">
        <f>Raumbuch!D200</f>
        <v>O5</v>
      </c>
      <c r="D192" t="str">
        <f>Raumbuch!F200</f>
        <v>Bad</v>
      </c>
      <c r="E192" t="str">
        <f>Raumbuch!G200</f>
        <v>2.5</v>
      </c>
      <c r="F192" t="str">
        <f>Raumbuch!H200</f>
        <v>Steckdose Waschtisch 1</v>
      </c>
      <c r="G192" t="str">
        <f>Raumbuch!I200</f>
        <v>Steckdosen</v>
      </c>
      <c r="H192" t="str">
        <f>Raumbuch!J200</f>
        <v>ohne Schaltaktor</v>
      </c>
      <c r="I192" t="str">
        <f>Raumbuch!K200</f>
        <v>230 V AC</v>
      </c>
      <c r="J192" t="str">
        <f>Raumbuch!N200</f>
        <v>SD10</v>
      </c>
      <c r="K192" t="str">
        <f>Raumbuch!O200</f>
        <v>O5.SD10</v>
      </c>
      <c r="L192" s="11">
        <v>0</v>
      </c>
      <c r="M192" s="11">
        <f t="shared" si="8"/>
        <v>84.000000000000014</v>
      </c>
      <c r="N192" s="14">
        <f t="shared" si="6"/>
        <v>84</v>
      </c>
      <c r="O192" s="15" t="str">
        <f t="shared" si="7"/>
        <v>-</v>
      </c>
      <c r="P192" t="s">
        <v>137</v>
      </c>
      <c r="Q192" s="13" t="s">
        <v>138</v>
      </c>
      <c r="R192" s="13" t="s">
        <v>138</v>
      </c>
      <c r="S192" s="13" t="s">
        <v>138</v>
      </c>
    </row>
    <row r="193" spans="2:19" x14ac:dyDescent="0.25">
      <c r="B193" t="str">
        <f>Raumbuch!B201</f>
        <v>Obergeschoss</v>
      </c>
      <c r="C193" t="str">
        <f>Raumbuch!D201</f>
        <v>O5</v>
      </c>
      <c r="D193" t="str">
        <f>Raumbuch!F201</f>
        <v>Bad</v>
      </c>
      <c r="E193" t="str">
        <f>Raumbuch!G201</f>
        <v>2.5</v>
      </c>
      <c r="F193" t="str">
        <f>Raumbuch!H201</f>
        <v>Steckdose Waschtisch 2</v>
      </c>
      <c r="G193" t="str">
        <f>Raumbuch!I201</f>
        <v>Steckdosen</v>
      </c>
      <c r="H193" t="str">
        <f>Raumbuch!J201</f>
        <v>ohne Schaltaktor</v>
      </c>
      <c r="I193" t="str">
        <f>Raumbuch!K201</f>
        <v>230 V AC</v>
      </c>
      <c r="J193" t="str">
        <f>Raumbuch!N201</f>
        <v>SD11</v>
      </c>
      <c r="K193" t="str">
        <f>Raumbuch!O201</f>
        <v>O5.SD11</v>
      </c>
      <c r="L193" s="11">
        <v>1</v>
      </c>
      <c r="M193" s="11">
        <f t="shared" si="8"/>
        <v>85.000000000000014</v>
      </c>
      <c r="N193" s="14">
        <f t="shared" si="6"/>
        <v>85</v>
      </c>
      <c r="O193" s="15" t="str">
        <f t="shared" si="7"/>
        <v>RK85</v>
      </c>
      <c r="P193" t="s">
        <v>85</v>
      </c>
      <c r="Q193" t="s">
        <v>151</v>
      </c>
      <c r="R193" s="13" t="s">
        <v>138</v>
      </c>
      <c r="S193" s="13" t="s">
        <v>138</v>
      </c>
    </row>
    <row r="194" spans="2:19" x14ac:dyDescent="0.25">
      <c r="B194" t="str">
        <f>Raumbuch!B202</f>
        <v>Obergeschoss</v>
      </c>
      <c r="C194" t="str">
        <f>Raumbuch!D202</f>
        <v>O5</v>
      </c>
      <c r="D194" t="str">
        <f>Raumbuch!F202</f>
        <v>Bad</v>
      </c>
      <c r="E194" t="str">
        <f>Raumbuch!G202</f>
        <v>2.5</v>
      </c>
      <c r="F194" t="str">
        <f>Raumbuch!H202</f>
        <v>Steckdose Waschtisch 3</v>
      </c>
      <c r="G194" t="str">
        <f>Raumbuch!I202</f>
        <v>Steckdosen</v>
      </c>
      <c r="H194" t="str">
        <f>Raumbuch!J202</f>
        <v>ohne Schaltaktor</v>
      </c>
      <c r="I194" t="str">
        <f>Raumbuch!K202</f>
        <v>230 V AC</v>
      </c>
      <c r="J194" t="str">
        <f>Raumbuch!N202</f>
        <v>SD12</v>
      </c>
      <c r="K194" t="str">
        <f>Raumbuch!O202</f>
        <v>O5.SD12</v>
      </c>
      <c r="L194" s="11">
        <v>0.2</v>
      </c>
      <c r="M194" s="11">
        <f t="shared" si="8"/>
        <v>85.200000000000017</v>
      </c>
      <c r="N194" s="14">
        <f t="shared" si="6"/>
        <v>86</v>
      </c>
      <c r="O194" s="15" t="str">
        <f t="shared" si="7"/>
        <v>RK86</v>
      </c>
      <c r="P194" t="s">
        <v>220</v>
      </c>
      <c r="Q194" t="s">
        <v>196</v>
      </c>
      <c r="R194" t="s">
        <v>221</v>
      </c>
      <c r="S194" t="s">
        <v>222</v>
      </c>
    </row>
    <row r="195" spans="2:19" x14ac:dyDescent="0.25">
      <c r="B195" t="str">
        <f>Raumbuch!B203</f>
        <v>Obergeschoss</v>
      </c>
      <c r="C195" t="str">
        <f>Raumbuch!D203</f>
        <v>O5</v>
      </c>
      <c r="D195" t="str">
        <f>Raumbuch!F203</f>
        <v>Bad</v>
      </c>
      <c r="E195" t="str">
        <f>Raumbuch!G203</f>
        <v>2.5</v>
      </c>
      <c r="F195" t="str">
        <f>Raumbuch!H203</f>
        <v>Steckdose Waschtisch 4</v>
      </c>
      <c r="G195" t="str">
        <f>Raumbuch!I203</f>
        <v>Steckdosen</v>
      </c>
      <c r="H195" t="str">
        <f>Raumbuch!J203</f>
        <v>ohne Schaltaktor</v>
      </c>
      <c r="I195" t="str">
        <f>Raumbuch!K203</f>
        <v>230 V AC</v>
      </c>
      <c r="J195" t="str">
        <f>Raumbuch!N203</f>
        <v>SD13</v>
      </c>
      <c r="K195" t="str">
        <f>Raumbuch!O203</f>
        <v>O5.SD13</v>
      </c>
      <c r="L195" s="11">
        <v>0.2</v>
      </c>
      <c r="M195" s="11">
        <f t="shared" si="8"/>
        <v>85.40000000000002</v>
      </c>
      <c r="N195" s="14">
        <f t="shared" si="6"/>
        <v>86</v>
      </c>
      <c r="O195" s="15" t="str">
        <f t="shared" si="7"/>
        <v>RK86</v>
      </c>
      <c r="P195" t="s">
        <v>220</v>
      </c>
      <c r="Q195" t="s">
        <v>196</v>
      </c>
      <c r="R195" t="s">
        <v>221</v>
      </c>
      <c r="S195" t="s">
        <v>222</v>
      </c>
    </row>
    <row r="196" spans="2:19" x14ac:dyDescent="0.25">
      <c r="B196" t="str">
        <f>Raumbuch!B204</f>
        <v>Obergeschoss</v>
      </c>
      <c r="C196" t="str">
        <f>Raumbuch!D204</f>
        <v>O5</v>
      </c>
      <c r="D196" t="str">
        <f>Raumbuch!F204</f>
        <v>Bad</v>
      </c>
      <c r="E196" t="str">
        <f>Raumbuch!G204</f>
        <v>2.5</v>
      </c>
      <c r="F196" t="str">
        <f>Raumbuch!H204</f>
        <v>Anschluss elektrisches Türschloss</v>
      </c>
      <c r="G196" t="str">
        <f>Raumbuch!I204</f>
        <v>Steckdosen</v>
      </c>
      <c r="H196" t="str">
        <f>Raumbuch!J204</f>
        <v>Anschluss ohne Steckdose</v>
      </c>
      <c r="I196" t="str">
        <f>Raumbuch!K204</f>
        <v>24 V DC</v>
      </c>
      <c r="J196" t="str">
        <f>Raumbuch!N204</f>
        <v>SD14</v>
      </c>
      <c r="K196" t="str">
        <f>Raumbuch!O204</f>
        <v>O5.SD14</v>
      </c>
      <c r="L196" s="11">
        <v>0.2</v>
      </c>
      <c r="M196" s="11">
        <f t="shared" si="8"/>
        <v>85.600000000000023</v>
      </c>
      <c r="N196" s="14">
        <f t="shared" ref="N196:N259" si="9">ROUNDUP(M196,0)</f>
        <v>86</v>
      </c>
      <c r="O196" s="15" t="str">
        <f t="shared" ref="O196:O259" si="10">IF(L196&gt;0,"RK"&amp;N196,"-")</f>
        <v>RK86</v>
      </c>
      <c r="P196" t="s">
        <v>220</v>
      </c>
      <c r="Q196" t="s">
        <v>196</v>
      </c>
      <c r="R196" t="s">
        <v>221</v>
      </c>
      <c r="S196" t="s">
        <v>222</v>
      </c>
    </row>
    <row r="197" spans="2:19" x14ac:dyDescent="0.25">
      <c r="B197" t="str">
        <f>Raumbuch!B205</f>
        <v>Obergeschoss</v>
      </c>
      <c r="C197" t="str">
        <f>Raumbuch!D205</f>
        <v>O5</v>
      </c>
      <c r="D197" t="str">
        <f>Raumbuch!F205</f>
        <v>Bad</v>
      </c>
      <c r="E197" t="str">
        <f>Raumbuch!G205</f>
        <v>2.5</v>
      </c>
      <c r="F197" t="str">
        <f>Raumbuch!H205</f>
        <v>DALI EVG Spots</v>
      </c>
      <c r="G197" t="str">
        <f>Raumbuch!I205</f>
        <v>Zentral</v>
      </c>
      <c r="H197" t="str">
        <f>Raumbuch!J205</f>
        <v>DALI DT8 EVG</v>
      </c>
      <c r="I197" t="str">
        <f>Raumbuch!K205</f>
        <v>24 V DC</v>
      </c>
      <c r="J197" t="str">
        <f>Raumbuch!N205</f>
        <v>DA1</v>
      </c>
      <c r="K197" t="str">
        <f>Raumbuch!O205</f>
        <v>O5.DA1</v>
      </c>
      <c r="L197" s="11">
        <v>0.2</v>
      </c>
      <c r="M197" s="11">
        <f t="shared" ref="M197:M260" si="11">M196+L197</f>
        <v>85.800000000000026</v>
      </c>
      <c r="N197" s="14">
        <f t="shared" si="9"/>
        <v>86</v>
      </c>
      <c r="O197" s="15" t="str">
        <f t="shared" si="10"/>
        <v>RK86</v>
      </c>
      <c r="P197" t="s">
        <v>220</v>
      </c>
      <c r="Q197" t="s">
        <v>196</v>
      </c>
      <c r="R197" t="s">
        <v>221</v>
      </c>
      <c r="S197" t="s">
        <v>223</v>
      </c>
    </row>
    <row r="198" spans="2:19" x14ac:dyDescent="0.25">
      <c r="B198" t="str">
        <f>Raumbuch!B206</f>
        <v>Obergeschoss</v>
      </c>
      <c r="C198" t="str">
        <f>Raumbuch!D206</f>
        <v>O5</v>
      </c>
      <c r="D198" t="str">
        <f>Raumbuch!F206</f>
        <v>Bad</v>
      </c>
      <c r="E198" t="str">
        <f>Raumbuch!G206</f>
        <v>2.5</v>
      </c>
      <c r="F198" t="str">
        <f>Raumbuch!H206</f>
        <v>DALI EVG LED Stripes</v>
      </c>
      <c r="G198" t="str">
        <f>Raumbuch!I206</f>
        <v>Zentral</v>
      </c>
      <c r="H198" t="str">
        <f>Raumbuch!J206</f>
        <v>DALI DT6 EVG</v>
      </c>
      <c r="I198" t="str">
        <f>Raumbuch!K206</f>
        <v>24 V DC</v>
      </c>
      <c r="J198" t="str">
        <f>Raumbuch!N206</f>
        <v>DA2</v>
      </c>
      <c r="K198" t="str">
        <f>Raumbuch!O206</f>
        <v>O5.DA2</v>
      </c>
      <c r="L198" s="11">
        <v>0.2</v>
      </c>
      <c r="M198" s="11">
        <f t="shared" si="11"/>
        <v>86.000000000000028</v>
      </c>
      <c r="N198" s="14">
        <f t="shared" si="9"/>
        <v>86</v>
      </c>
      <c r="O198" s="15" t="str">
        <f t="shared" si="10"/>
        <v>RK86</v>
      </c>
      <c r="P198" t="s">
        <v>220</v>
      </c>
      <c r="Q198" t="s">
        <v>196</v>
      </c>
      <c r="R198" s="13" t="s">
        <v>138</v>
      </c>
      <c r="S198" s="13" t="s">
        <v>138</v>
      </c>
    </row>
    <row r="199" spans="2:19" x14ac:dyDescent="0.25">
      <c r="B199" t="str">
        <f>Raumbuch!B207</f>
        <v>Erdgeschoss</v>
      </c>
      <c r="C199" t="str">
        <f>Raumbuch!D207</f>
        <v>E5</v>
      </c>
      <c r="D199" t="str">
        <f>Raumbuch!F207</f>
        <v>Küche</v>
      </c>
      <c r="E199" t="str">
        <f>Raumbuch!G207</f>
        <v>1.5</v>
      </c>
      <c r="F199" t="str">
        <f>Raumbuch!H207</f>
        <v>Deckenlautsprecher 1</v>
      </c>
      <c r="G199" t="str">
        <f>Raumbuch!I207</f>
        <v>Audio</v>
      </c>
      <c r="H199">
        <f>Raumbuch!J207</f>
        <v>0</v>
      </c>
      <c r="I199" t="str">
        <f>Raumbuch!K207</f>
        <v>DIGITAL (potentialfrei)</v>
      </c>
      <c r="J199" t="str">
        <f>Raumbuch!N207</f>
        <v>DL1</v>
      </c>
      <c r="K199" t="str">
        <f>Raumbuch!O207</f>
        <v>E5.DL1</v>
      </c>
      <c r="L199" s="11">
        <v>0.2</v>
      </c>
      <c r="M199" s="11">
        <f t="shared" si="11"/>
        <v>86.200000000000031</v>
      </c>
      <c r="N199" s="14">
        <f t="shared" si="9"/>
        <v>87</v>
      </c>
      <c r="O199" s="15" t="str">
        <f t="shared" si="10"/>
        <v>RK87</v>
      </c>
      <c r="P199" t="s">
        <v>138</v>
      </c>
      <c r="Q199" s="13" t="s">
        <v>138</v>
      </c>
      <c r="R199" s="13" t="s">
        <v>138</v>
      </c>
      <c r="S199" s="13" t="s">
        <v>138</v>
      </c>
    </row>
    <row r="200" spans="2:19" x14ac:dyDescent="0.25">
      <c r="B200" t="str">
        <f>Raumbuch!B208</f>
        <v>Erdgeschoss</v>
      </c>
      <c r="C200" t="str">
        <f>Raumbuch!D208</f>
        <v>E5</v>
      </c>
      <c r="D200" t="str">
        <f>Raumbuch!F208</f>
        <v>Küche</v>
      </c>
      <c r="E200" t="str">
        <f>Raumbuch!G208</f>
        <v>1.5</v>
      </c>
      <c r="F200" t="str">
        <f>Raumbuch!H208</f>
        <v>Deckenlautsprecher 2</v>
      </c>
      <c r="G200" t="str">
        <f>Raumbuch!I208</f>
        <v>Audio</v>
      </c>
      <c r="H200">
        <f>Raumbuch!J208</f>
        <v>0</v>
      </c>
      <c r="I200" t="str">
        <f>Raumbuch!K208</f>
        <v>DIGITAL (potentialfrei)</v>
      </c>
      <c r="J200" t="str">
        <f>Raumbuch!N208</f>
        <v>DL2</v>
      </c>
      <c r="K200" t="str">
        <f>Raumbuch!O208</f>
        <v>E5.DL2</v>
      </c>
      <c r="L200" s="11">
        <v>0.2</v>
      </c>
      <c r="M200" s="11">
        <f t="shared" si="11"/>
        <v>86.400000000000034</v>
      </c>
      <c r="N200" s="14">
        <f t="shared" si="9"/>
        <v>87</v>
      </c>
      <c r="O200" s="15" t="str">
        <f t="shared" si="10"/>
        <v>RK87</v>
      </c>
      <c r="P200" t="s">
        <v>138</v>
      </c>
      <c r="Q200" s="13" t="s">
        <v>138</v>
      </c>
      <c r="R200" s="13" t="s">
        <v>138</v>
      </c>
      <c r="S200" s="13" t="s">
        <v>138</v>
      </c>
    </row>
    <row r="201" spans="2:19" x14ac:dyDescent="0.25">
      <c r="B201" t="str">
        <f>Raumbuch!B209</f>
        <v>Erdgeschoss</v>
      </c>
      <c r="C201" t="str">
        <f>Raumbuch!D209</f>
        <v>E5</v>
      </c>
      <c r="D201" t="str">
        <f>Raumbuch!F209</f>
        <v>Küche</v>
      </c>
      <c r="E201" t="str">
        <f>Raumbuch!G209</f>
        <v>1.5</v>
      </c>
      <c r="F201" t="str">
        <f>Raumbuch!H209</f>
        <v>LED Stripe Insel</v>
      </c>
      <c r="G201" t="str">
        <f>Raumbuch!I209</f>
        <v>Beleuchtung</v>
      </c>
      <c r="H201" t="str">
        <f>Raumbuch!J209</f>
        <v>dimmbar</v>
      </c>
      <c r="I201" t="str">
        <f>Raumbuch!K209</f>
        <v>DALI</v>
      </c>
      <c r="J201" t="str">
        <f>Raumbuch!N209</f>
        <v>BL1</v>
      </c>
      <c r="K201" t="str">
        <f>Raumbuch!O209</f>
        <v>E5.BL1</v>
      </c>
      <c r="L201" s="11">
        <v>0.2</v>
      </c>
      <c r="M201" s="11">
        <f t="shared" si="11"/>
        <v>86.600000000000037</v>
      </c>
      <c r="N201" s="14">
        <f t="shared" si="9"/>
        <v>87</v>
      </c>
      <c r="O201" s="15" t="str">
        <f t="shared" si="10"/>
        <v>RK87</v>
      </c>
      <c r="P201" t="s">
        <v>138</v>
      </c>
      <c r="Q201" s="13" t="s">
        <v>138</v>
      </c>
      <c r="R201" s="13" t="s">
        <v>138</v>
      </c>
      <c r="S201" s="13" t="s">
        <v>138</v>
      </c>
    </row>
    <row r="202" spans="2:19" x14ac:dyDescent="0.25">
      <c r="B202" t="str">
        <f>Raumbuch!B210</f>
        <v>Erdgeschoss</v>
      </c>
      <c r="C202" t="str">
        <f>Raumbuch!D210</f>
        <v>E5</v>
      </c>
      <c r="D202" t="str">
        <f>Raumbuch!F210</f>
        <v>Küche</v>
      </c>
      <c r="E202" t="str">
        <f>Raumbuch!G210</f>
        <v>1.5</v>
      </c>
      <c r="F202" t="str">
        <f>Raumbuch!H210</f>
        <v>Spots Insel</v>
      </c>
      <c r="G202" t="str">
        <f>Raumbuch!I210</f>
        <v>Beleuchtung</v>
      </c>
      <c r="H202" t="str">
        <f>Raumbuch!J210</f>
        <v>tunable white</v>
      </c>
      <c r="I202" t="str">
        <f>Raumbuch!K210</f>
        <v>DALI</v>
      </c>
      <c r="J202" t="str">
        <f>Raumbuch!N210</f>
        <v>BL2</v>
      </c>
      <c r="K202" t="str">
        <f>Raumbuch!O210</f>
        <v>E5.BL2</v>
      </c>
      <c r="L202" s="11">
        <v>0.2</v>
      </c>
      <c r="M202" s="11">
        <f t="shared" si="11"/>
        <v>86.80000000000004</v>
      </c>
      <c r="N202" s="14">
        <f t="shared" si="9"/>
        <v>87</v>
      </c>
      <c r="O202" s="15" t="str">
        <f t="shared" si="10"/>
        <v>RK87</v>
      </c>
      <c r="P202" t="s">
        <v>138</v>
      </c>
      <c r="Q202" s="13" t="s">
        <v>138</v>
      </c>
      <c r="R202" t="s">
        <v>218</v>
      </c>
      <c r="S202" t="s">
        <v>224</v>
      </c>
    </row>
    <row r="203" spans="2:19" x14ac:dyDescent="0.25">
      <c r="B203" t="str">
        <f>Raumbuch!B212</f>
        <v>Erdgeschoss</v>
      </c>
      <c r="C203" t="str">
        <f>Raumbuch!D212</f>
        <v>E5</v>
      </c>
      <c r="D203" t="str">
        <f>Raumbuch!F212</f>
        <v>Küche</v>
      </c>
      <c r="E203" t="str">
        <f>Raumbuch!G212</f>
        <v>1.5</v>
      </c>
      <c r="F203" t="str">
        <f>Raumbuch!H212</f>
        <v>LED Stripe Decke</v>
      </c>
      <c r="G203" t="str">
        <f>Raumbuch!I212</f>
        <v>Beleuchtung</v>
      </c>
      <c r="H203" t="str">
        <f>Raumbuch!J212</f>
        <v>tunable white</v>
      </c>
      <c r="I203" t="str">
        <f>Raumbuch!K212</f>
        <v>DALI</v>
      </c>
      <c r="J203" t="str">
        <f>Raumbuch!N212</f>
        <v>BL4</v>
      </c>
      <c r="K203" t="str">
        <f>Raumbuch!O212</f>
        <v>E5.BL4</v>
      </c>
      <c r="L203" s="11">
        <v>1</v>
      </c>
      <c r="M203" s="11">
        <f t="shared" si="11"/>
        <v>87.80000000000004</v>
      </c>
      <c r="N203" s="14">
        <f t="shared" si="9"/>
        <v>88</v>
      </c>
      <c r="O203" s="15" t="str">
        <f t="shared" si="10"/>
        <v>RK88</v>
      </c>
      <c r="P203" t="s">
        <v>200</v>
      </c>
      <c r="Q203" t="s">
        <v>191</v>
      </c>
      <c r="R203" t="s">
        <v>218</v>
      </c>
      <c r="S203" t="s">
        <v>219</v>
      </c>
    </row>
    <row r="204" spans="2:19" x14ac:dyDescent="0.25">
      <c r="B204" t="str">
        <f>Raumbuch!B213</f>
        <v>Erdgeschoss</v>
      </c>
      <c r="C204" t="str">
        <f>Raumbuch!D213</f>
        <v>E5</v>
      </c>
      <c r="D204" t="str">
        <f>Raumbuch!F213</f>
        <v>Küche</v>
      </c>
      <c r="E204" t="str">
        <f>Raumbuch!G213</f>
        <v>1.5</v>
      </c>
      <c r="F204" t="str">
        <f>Raumbuch!H213</f>
        <v>LED Stripe Hochschranknische</v>
      </c>
      <c r="G204" t="str">
        <f>Raumbuch!I213</f>
        <v>Beleuchtung</v>
      </c>
      <c r="H204" t="str">
        <f>Raumbuch!J213</f>
        <v>dimmbar</v>
      </c>
      <c r="I204" t="str">
        <f>Raumbuch!K213</f>
        <v>DALI</v>
      </c>
      <c r="J204" t="str">
        <f>Raumbuch!N213</f>
        <v>BL5</v>
      </c>
      <c r="K204" t="str">
        <f>Raumbuch!O213</f>
        <v>E5.BL5</v>
      </c>
      <c r="L204" s="11">
        <v>1</v>
      </c>
      <c r="M204" s="11">
        <f t="shared" si="11"/>
        <v>88.80000000000004</v>
      </c>
      <c r="N204" s="14">
        <f t="shared" si="9"/>
        <v>89</v>
      </c>
      <c r="O204" s="15" t="str">
        <f t="shared" si="10"/>
        <v>RK89</v>
      </c>
      <c r="P204" t="s">
        <v>200</v>
      </c>
      <c r="Q204" t="s">
        <v>148</v>
      </c>
      <c r="R204" t="s">
        <v>218</v>
      </c>
      <c r="S204" t="s">
        <v>219</v>
      </c>
    </row>
    <row r="205" spans="2:19" x14ac:dyDescent="0.25">
      <c r="B205" t="str">
        <f>Raumbuch!B214</f>
        <v>Erdgeschoss</v>
      </c>
      <c r="C205" t="str">
        <f>Raumbuch!D214</f>
        <v>E5</v>
      </c>
      <c r="D205" t="str">
        <f>Raumbuch!F214</f>
        <v>Küche</v>
      </c>
      <c r="E205" t="str">
        <f>Raumbuch!G214</f>
        <v>1.5</v>
      </c>
      <c r="F205" t="str">
        <f>Raumbuch!H214</f>
        <v>Anschluss Rolladen Süd</v>
      </c>
      <c r="G205" t="str">
        <f>Raumbuch!I214</f>
        <v>Beschattung</v>
      </c>
      <c r="H205" t="str">
        <f>Raumbuch!J214</f>
        <v>Raffstore</v>
      </c>
      <c r="I205" t="str">
        <f>Raumbuch!K214</f>
        <v>230 V AC - Beschattung</v>
      </c>
      <c r="J205" t="str">
        <f>Raumbuch!N214</f>
        <v>RS1</v>
      </c>
      <c r="K205" t="str">
        <f>Raumbuch!O214</f>
        <v>E5.RS1</v>
      </c>
      <c r="L205" s="11">
        <v>0.2</v>
      </c>
      <c r="M205" s="11">
        <f t="shared" si="11"/>
        <v>89.000000000000043</v>
      </c>
      <c r="N205" s="14">
        <f t="shared" si="9"/>
        <v>89</v>
      </c>
      <c r="O205" s="15" t="str">
        <f t="shared" si="10"/>
        <v>RK89</v>
      </c>
      <c r="P205" t="s">
        <v>138</v>
      </c>
      <c r="Q205" s="13" t="s">
        <v>138</v>
      </c>
      <c r="R205" t="s">
        <v>218</v>
      </c>
      <c r="S205" t="s">
        <v>219</v>
      </c>
    </row>
    <row r="206" spans="2:19" x14ac:dyDescent="0.25">
      <c r="B206" t="str">
        <f>Raumbuch!B223</f>
        <v>Erdgeschoss</v>
      </c>
      <c r="C206" t="str">
        <f>Raumbuch!D223</f>
        <v>E5</v>
      </c>
      <c r="D206" t="str">
        <f>Raumbuch!F223</f>
        <v>Küche</v>
      </c>
      <c r="E206" t="str">
        <f>Raumbuch!G223</f>
        <v>1.5</v>
      </c>
      <c r="F206" t="str">
        <f>Raumbuch!H223</f>
        <v>Steckdose Kühlschrank</v>
      </c>
      <c r="G206" t="str">
        <f>Raumbuch!I223</f>
        <v>Steckdosen</v>
      </c>
      <c r="H206" t="str">
        <f>Raumbuch!J223</f>
        <v>ohne Schaltaktor</v>
      </c>
      <c r="I206" t="str">
        <f>Raumbuch!K223</f>
        <v>230 V AC</v>
      </c>
      <c r="J206" t="str">
        <f>Raumbuch!N223</f>
        <v>SD6</v>
      </c>
      <c r="K206" t="str">
        <f>Raumbuch!O223</f>
        <v>E5.SD6</v>
      </c>
      <c r="L206" s="11">
        <v>1</v>
      </c>
      <c r="M206" s="11">
        <f t="shared" si="11"/>
        <v>90.000000000000043</v>
      </c>
      <c r="N206" s="14">
        <f t="shared" si="9"/>
        <v>90</v>
      </c>
      <c r="O206" s="15" t="str">
        <f t="shared" si="10"/>
        <v>RK90</v>
      </c>
      <c r="P206" t="s">
        <v>140</v>
      </c>
      <c r="Q206" t="s">
        <v>225</v>
      </c>
      <c r="R206" s="13" t="s">
        <v>138</v>
      </c>
      <c r="S206" s="13" t="s">
        <v>138</v>
      </c>
    </row>
    <row r="207" spans="2:19" x14ac:dyDescent="0.25">
      <c r="B207" t="str">
        <f>Raumbuch!B215</f>
        <v>Erdgeschoss</v>
      </c>
      <c r="C207" t="str">
        <f>Raumbuch!D215</f>
        <v>E5</v>
      </c>
      <c r="D207" t="str">
        <f>Raumbuch!F215</f>
        <v>Küche</v>
      </c>
      <c r="E207" t="str">
        <f>Raumbuch!G215</f>
        <v>1.5</v>
      </c>
      <c r="F207" t="str">
        <f>Raumbuch!H215</f>
        <v>Tastsensor Ost</v>
      </c>
      <c r="G207" t="str">
        <f>Raumbuch!I215</f>
        <v>Sensoren</v>
      </c>
      <c r="H207" t="str">
        <f>Raumbuch!J215</f>
        <v>Taster</v>
      </c>
      <c r="I207" t="str">
        <f>Raumbuch!K215</f>
        <v>KNX</v>
      </c>
      <c r="J207" t="str">
        <f>Raumbuch!N215</f>
        <v>TS1</v>
      </c>
      <c r="K207" t="str">
        <f>Raumbuch!O215</f>
        <v>E5.TS1</v>
      </c>
      <c r="L207" s="11">
        <v>0</v>
      </c>
      <c r="M207" s="11">
        <f t="shared" si="11"/>
        <v>90.000000000000043</v>
      </c>
      <c r="N207" s="14">
        <f t="shared" si="9"/>
        <v>90</v>
      </c>
      <c r="O207" s="15" t="str">
        <f t="shared" si="10"/>
        <v>-</v>
      </c>
      <c r="P207" t="s">
        <v>137</v>
      </c>
      <c r="Q207" s="13" t="s">
        <v>138</v>
      </c>
      <c r="R207" t="s">
        <v>218</v>
      </c>
      <c r="S207" t="s">
        <v>226</v>
      </c>
    </row>
    <row r="208" spans="2:19" x14ac:dyDescent="0.25">
      <c r="B208" t="str">
        <f>Raumbuch!B216</f>
        <v>Erdgeschoss</v>
      </c>
      <c r="C208" t="str">
        <f>Raumbuch!D216</f>
        <v>E5</v>
      </c>
      <c r="D208" t="str">
        <f>Raumbuch!F216</f>
        <v>Küche</v>
      </c>
      <c r="E208" t="str">
        <f>Raumbuch!G216</f>
        <v>1.5</v>
      </c>
      <c r="F208" t="str">
        <f>Raumbuch!H216</f>
        <v>Tastsensor Süd</v>
      </c>
      <c r="G208" t="str">
        <f>Raumbuch!I216</f>
        <v>Sensoren</v>
      </c>
      <c r="H208" t="str">
        <f>Raumbuch!J216</f>
        <v>Taster</v>
      </c>
      <c r="I208" t="str">
        <f>Raumbuch!K216</f>
        <v>KNX</v>
      </c>
      <c r="J208" t="str">
        <f>Raumbuch!N216</f>
        <v>TS2</v>
      </c>
      <c r="K208" t="str">
        <f>Raumbuch!O216</f>
        <v>E5.TS2</v>
      </c>
      <c r="L208" s="11">
        <v>0</v>
      </c>
      <c r="M208" s="11">
        <f t="shared" si="11"/>
        <v>90.000000000000043</v>
      </c>
      <c r="N208" s="14">
        <f t="shared" si="9"/>
        <v>90</v>
      </c>
      <c r="O208" s="15" t="str">
        <f t="shared" si="10"/>
        <v>-</v>
      </c>
      <c r="P208" t="s">
        <v>154</v>
      </c>
      <c r="Q208" t="s">
        <v>191</v>
      </c>
      <c r="R208" t="s">
        <v>218</v>
      </c>
      <c r="S208" t="s">
        <v>226</v>
      </c>
    </row>
    <row r="209" spans="2:19" x14ac:dyDescent="0.25">
      <c r="B209" t="str">
        <f>Raumbuch!B217</f>
        <v>Erdgeschoss</v>
      </c>
      <c r="C209" t="str">
        <f>Raumbuch!D217</f>
        <v>E5</v>
      </c>
      <c r="D209" t="str">
        <f>Raumbuch!F217</f>
        <v>Küche</v>
      </c>
      <c r="E209" t="str">
        <f>Raumbuch!G217</f>
        <v>1.5</v>
      </c>
      <c r="F209" t="str">
        <f>Raumbuch!H217</f>
        <v>Fensterkontakt Süd</v>
      </c>
      <c r="G209" t="str">
        <f>Raumbuch!I217</f>
        <v>Sensoren</v>
      </c>
      <c r="H209" t="str">
        <f>Raumbuch!J217</f>
        <v>Fensterkontakt Reed</v>
      </c>
      <c r="I209" t="str">
        <f>Raumbuch!K217</f>
        <v>DIGITAL (potentialfrei)</v>
      </c>
      <c r="J209" t="str">
        <f>Raumbuch!N217</f>
        <v>FK1</v>
      </c>
      <c r="K209" t="str">
        <f>Raumbuch!O217</f>
        <v>E5.FK1</v>
      </c>
      <c r="L209" s="11">
        <v>0</v>
      </c>
      <c r="M209" s="11">
        <f t="shared" si="11"/>
        <v>90.000000000000043</v>
      </c>
      <c r="N209" s="14">
        <f t="shared" si="9"/>
        <v>90</v>
      </c>
      <c r="O209" s="15" t="str">
        <f t="shared" si="10"/>
        <v>-</v>
      </c>
      <c r="P209" t="s">
        <v>137</v>
      </c>
      <c r="Q209" s="13" t="s">
        <v>138</v>
      </c>
      <c r="R209" t="s">
        <v>218</v>
      </c>
      <c r="S209" t="s">
        <v>227</v>
      </c>
    </row>
    <row r="210" spans="2:19" x14ac:dyDescent="0.25">
      <c r="B210" t="e">
        <f>Raumbuch!#REF!</f>
        <v>#REF!</v>
      </c>
      <c r="C210" t="e">
        <f>Raumbuch!#REF!</f>
        <v>#REF!</v>
      </c>
      <c r="D210" t="e">
        <f>Raumbuch!#REF!</f>
        <v>#REF!</v>
      </c>
      <c r="E210" t="e">
        <f>Raumbuch!#REF!</f>
        <v>#REF!</v>
      </c>
      <c r="F210" t="e">
        <f>Raumbuch!#REF!</f>
        <v>#REF!</v>
      </c>
      <c r="G210" t="e">
        <f>Raumbuch!#REF!</f>
        <v>#REF!</v>
      </c>
      <c r="H210" t="e">
        <f>Raumbuch!#REF!</f>
        <v>#REF!</v>
      </c>
      <c r="I210" t="e">
        <f>Raumbuch!#REF!</f>
        <v>#REF!</v>
      </c>
      <c r="J210" t="e">
        <f>Raumbuch!#REF!</f>
        <v>#REF!</v>
      </c>
      <c r="K210" t="e">
        <f>Raumbuch!#REF!</f>
        <v>#REF!</v>
      </c>
      <c r="L210" s="11">
        <v>1</v>
      </c>
      <c r="M210" s="11">
        <f t="shared" si="11"/>
        <v>91.000000000000043</v>
      </c>
      <c r="N210" s="14">
        <f t="shared" si="9"/>
        <v>91</v>
      </c>
      <c r="O210" s="15" t="str">
        <f t="shared" si="10"/>
        <v>RK91</v>
      </c>
      <c r="P210" t="s">
        <v>85</v>
      </c>
      <c r="Q210" t="s">
        <v>198</v>
      </c>
      <c r="R210" t="s">
        <v>218</v>
      </c>
      <c r="S210" t="s">
        <v>227</v>
      </c>
    </row>
    <row r="211" spans="2:19" x14ac:dyDescent="0.25">
      <c r="B211" t="e">
        <f>Raumbuch!#REF!</f>
        <v>#REF!</v>
      </c>
      <c r="C211" t="e">
        <f>Raumbuch!#REF!</f>
        <v>#REF!</v>
      </c>
      <c r="D211" t="e">
        <f>Raumbuch!#REF!</f>
        <v>#REF!</v>
      </c>
      <c r="E211" t="e">
        <f>Raumbuch!#REF!</f>
        <v>#REF!</v>
      </c>
      <c r="F211" t="e">
        <f>Raumbuch!#REF!</f>
        <v>#REF!</v>
      </c>
      <c r="G211" t="e">
        <f>Raumbuch!#REF!</f>
        <v>#REF!</v>
      </c>
      <c r="H211" t="e">
        <f>Raumbuch!#REF!</f>
        <v>#REF!</v>
      </c>
      <c r="I211" t="e">
        <f>Raumbuch!#REF!</f>
        <v>#REF!</v>
      </c>
      <c r="J211" t="e">
        <f>Raumbuch!#REF!</f>
        <v>#REF!</v>
      </c>
      <c r="K211" t="e">
        <f>Raumbuch!#REF!</f>
        <v>#REF!</v>
      </c>
      <c r="L211" s="11">
        <v>0.33333333333333331</v>
      </c>
      <c r="M211" s="11">
        <f t="shared" si="11"/>
        <v>91.333333333333371</v>
      </c>
      <c r="N211" s="14">
        <f t="shared" si="9"/>
        <v>92</v>
      </c>
      <c r="O211" s="15" t="str">
        <f t="shared" si="10"/>
        <v>RK92</v>
      </c>
      <c r="P211" t="s">
        <v>138</v>
      </c>
      <c r="Q211" s="13" t="s">
        <v>138</v>
      </c>
      <c r="R211" t="s">
        <v>218</v>
      </c>
      <c r="S211" t="s">
        <v>219</v>
      </c>
    </row>
    <row r="212" spans="2:19" x14ac:dyDescent="0.25">
      <c r="B212" t="str">
        <f>Raumbuch!B218</f>
        <v>Erdgeschoss</v>
      </c>
      <c r="C212" t="str">
        <f>Raumbuch!D218</f>
        <v>E5</v>
      </c>
      <c r="D212" t="str">
        <f>Raumbuch!F218</f>
        <v>Küche</v>
      </c>
      <c r="E212" t="str">
        <f>Raumbuch!G218</f>
        <v>1.5</v>
      </c>
      <c r="F212" t="str">
        <f>Raumbuch!H218</f>
        <v>Steckdose Geschirrspüler</v>
      </c>
      <c r="G212" t="str">
        <f>Raumbuch!I218</f>
        <v>Steckdosen</v>
      </c>
      <c r="H212" t="str">
        <f>Raumbuch!J218</f>
        <v>ohne Schaltaktor</v>
      </c>
      <c r="I212" t="str">
        <f>Raumbuch!K218</f>
        <v>230 V AC</v>
      </c>
      <c r="J212" t="str">
        <f>Raumbuch!N218</f>
        <v>SD1</v>
      </c>
      <c r="K212" t="str">
        <f>Raumbuch!O218</f>
        <v>E5.SD1</v>
      </c>
      <c r="L212" s="11">
        <v>0.33333333333333331</v>
      </c>
      <c r="M212" s="11">
        <f t="shared" si="11"/>
        <v>91.6666666666667</v>
      </c>
      <c r="N212" s="14">
        <f t="shared" si="9"/>
        <v>92</v>
      </c>
      <c r="O212" s="15" t="str">
        <f t="shared" si="10"/>
        <v>RK92</v>
      </c>
      <c r="P212" t="s">
        <v>138</v>
      </c>
      <c r="Q212" s="13" t="s">
        <v>138</v>
      </c>
      <c r="R212" t="s">
        <v>218</v>
      </c>
      <c r="S212" t="s">
        <v>228</v>
      </c>
    </row>
    <row r="213" spans="2:19" x14ac:dyDescent="0.25">
      <c r="B213" t="str">
        <f>Raumbuch!B219</f>
        <v>Erdgeschoss</v>
      </c>
      <c r="C213" t="str">
        <f>Raumbuch!D219</f>
        <v>E5</v>
      </c>
      <c r="D213" t="str">
        <f>Raumbuch!F219</f>
        <v>Küche</v>
      </c>
      <c r="E213" t="str">
        <f>Raumbuch!G219</f>
        <v>1.5</v>
      </c>
      <c r="F213" t="str">
        <f>Raumbuch!H219</f>
        <v>Steckdose Backofen</v>
      </c>
      <c r="G213" t="str">
        <f>Raumbuch!I219</f>
        <v>Steckdosen</v>
      </c>
      <c r="H213" t="str">
        <f>Raumbuch!J219</f>
        <v>ohne Schaltaktor</v>
      </c>
      <c r="I213" t="str">
        <f>Raumbuch!K219</f>
        <v>230 V AC</v>
      </c>
      <c r="J213" t="str">
        <f>Raumbuch!N219</f>
        <v>SD2</v>
      </c>
      <c r="K213" t="str">
        <f>Raumbuch!O219</f>
        <v>E5.SD2</v>
      </c>
      <c r="L213" s="11">
        <v>0.33333333333333331</v>
      </c>
      <c r="M213" s="11">
        <f t="shared" si="11"/>
        <v>92.000000000000028</v>
      </c>
      <c r="N213" s="14">
        <f t="shared" si="9"/>
        <v>92</v>
      </c>
      <c r="O213" s="15" t="str">
        <f t="shared" si="10"/>
        <v>RK92</v>
      </c>
      <c r="P213" t="s">
        <v>138</v>
      </c>
      <c r="Q213" s="13" t="s">
        <v>138</v>
      </c>
      <c r="R213" t="s">
        <v>218</v>
      </c>
      <c r="S213" t="s">
        <v>228</v>
      </c>
    </row>
    <row r="214" spans="2:19" x14ac:dyDescent="0.25">
      <c r="B214" t="str">
        <f>Raumbuch!B220</f>
        <v>Erdgeschoss</v>
      </c>
      <c r="C214" t="str">
        <f>Raumbuch!D220</f>
        <v>E5</v>
      </c>
      <c r="D214" t="str">
        <f>Raumbuch!F220</f>
        <v>Küche</v>
      </c>
      <c r="E214" t="str">
        <f>Raumbuch!G220</f>
        <v>1.5</v>
      </c>
      <c r="F214" t="str">
        <f>Raumbuch!H220</f>
        <v>Steckdose Nische 1</v>
      </c>
      <c r="G214" t="str">
        <f>Raumbuch!I220</f>
        <v>Steckdosen</v>
      </c>
      <c r="H214" t="str">
        <f>Raumbuch!J220</f>
        <v>ohne Schaltaktor</v>
      </c>
      <c r="I214" t="str">
        <f>Raumbuch!K220</f>
        <v>230 V AC</v>
      </c>
      <c r="J214" t="str">
        <f>Raumbuch!N220</f>
        <v>SD3</v>
      </c>
      <c r="K214" t="str">
        <f>Raumbuch!O220</f>
        <v>E5.SD3</v>
      </c>
      <c r="L214" s="11">
        <v>0.33333333333333331</v>
      </c>
      <c r="M214" s="11">
        <f t="shared" si="11"/>
        <v>92.333333333333357</v>
      </c>
      <c r="N214" s="14">
        <f t="shared" si="9"/>
        <v>93</v>
      </c>
      <c r="O214" s="15" t="str">
        <f t="shared" si="10"/>
        <v>RK93</v>
      </c>
      <c r="P214" t="s">
        <v>220</v>
      </c>
      <c r="Q214" t="s">
        <v>201</v>
      </c>
      <c r="R214" t="s">
        <v>218</v>
      </c>
      <c r="S214" t="s">
        <v>228</v>
      </c>
    </row>
    <row r="215" spans="2:19" x14ac:dyDescent="0.25">
      <c r="B215" t="str">
        <f>Raumbuch!B221</f>
        <v>Erdgeschoss</v>
      </c>
      <c r="C215" t="str">
        <f>Raumbuch!D221</f>
        <v>E5</v>
      </c>
      <c r="D215" t="str">
        <f>Raumbuch!F221</f>
        <v>Küche</v>
      </c>
      <c r="E215" t="str">
        <f>Raumbuch!G221</f>
        <v>1.5</v>
      </c>
      <c r="F215" t="str">
        <f>Raumbuch!H221</f>
        <v>Steckdose Nische 2</v>
      </c>
      <c r="G215" t="str">
        <f>Raumbuch!I221</f>
        <v>Steckdosen</v>
      </c>
      <c r="H215" t="str">
        <f>Raumbuch!J221</f>
        <v>ohne Schaltaktor</v>
      </c>
      <c r="I215" t="str">
        <f>Raumbuch!K221</f>
        <v>230 V AC</v>
      </c>
      <c r="J215" t="str">
        <f>Raumbuch!N221</f>
        <v>SD4</v>
      </c>
      <c r="K215" t="str">
        <f>Raumbuch!O221</f>
        <v>E5.SD4</v>
      </c>
      <c r="L215" s="11">
        <v>0.33333333333333331</v>
      </c>
      <c r="M215" s="11">
        <f t="shared" si="11"/>
        <v>92.666666666666686</v>
      </c>
      <c r="N215" s="14">
        <f t="shared" si="9"/>
        <v>93</v>
      </c>
      <c r="O215" s="15" t="str">
        <f t="shared" si="10"/>
        <v>RK93</v>
      </c>
      <c r="P215" t="s">
        <v>220</v>
      </c>
      <c r="Q215" t="s">
        <v>201</v>
      </c>
      <c r="R215" t="s">
        <v>218</v>
      </c>
      <c r="S215" t="s">
        <v>227</v>
      </c>
    </row>
    <row r="216" spans="2:19" x14ac:dyDescent="0.25">
      <c r="B216" t="str">
        <f>Raumbuch!B222</f>
        <v>Erdgeschoss</v>
      </c>
      <c r="C216" t="str">
        <f>Raumbuch!D222</f>
        <v>E5</v>
      </c>
      <c r="D216" t="str">
        <f>Raumbuch!F222</f>
        <v>Küche</v>
      </c>
      <c r="E216" t="str">
        <f>Raumbuch!G222</f>
        <v>1.5</v>
      </c>
      <c r="F216" t="str">
        <f>Raumbuch!H222</f>
        <v>Steckdose Nische 3</v>
      </c>
      <c r="G216" t="str">
        <f>Raumbuch!I222</f>
        <v>Steckdosen</v>
      </c>
      <c r="H216" t="str">
        <f>Raumbuch!J222</f>
        <v>ohne Schaltaktor</v>
      </c>
      <c r="I216" t="str">
        <f>Raumbuch!K222</f>
        <v>230 V AC</v>
      </c>
      <c r="J216" t="str">
        <f>Raumbuch!N222</f>
        <v>SD5</v>
      </c>
      <c r="K216" t="str">
        <f>Raumbuch!O222</f>
        <v>E5.SD5</v>
      </c>
      <c r="L216" s="11">
        <v>0.33333333333333331</v>
      </c>
      <c r="M216" s="11">
        <f t="shared" si="11"/>
        <v>93.000000000000014</v>
      </c>
      <c r="N216" s="14">
        <f t="shared" si="9"/>
        <v>93</v>
      </c>
      <c r="O216" s="15" t="str">
        <f t="shared" si="10"/>
        <v>RK93</v>
      </c>
      <c r="P216" t="s">
        <v>220</v>
      </c>
      <c r="Q216" t="s">
        <v>201</v>
      </c>
      <c r="R216" s="13" t="s">
        <v>138</v>
      </c>
      <c r="S216" s="13" t="s">
        <v>138</v>
      </c>
    </row>
    <row r="217" spans="2:19" x14ac:dyDescent="0.25">
      <c r="B217" t="str">
        <f>Raumbuch!B224</f>
        <v>Erdgeschoss</v>
      </c>
      <c r="C217" t="str">
        <f>Raumbuch!D224</f>
        <v>E5</v>
      </c>
      <c r="D217" t="str">
        <f>Raumbuch!F224</f>
        <v>Küche</v>
      </c>
      <c r="E217" t="str">
        <f>Raumbuch!G224</f>
        <v>1.5</v>
      </c>
      <c r="F217" t="str">
        <f>Raumbuch!H224</f>
        <v>Steckdose Ost 1</v>
      </c>
      <c r="G217" t="str">
        <f>Raumbuch!I224</f>
        <v>Steckdosen</v>
      </c>
      <c r="H217" t="str">
        <f>Raumbuch!J224</f>
        <v>ohne Schaltaktor</v>
      </c>
      <c r="I217" t="str">
        <f>Raumbuch!K224</f>
        <v>230 V AC</v>
      </c>
      <c r="J217" t="str">
        <f>Raumbuch!N224</f>
        <v>SD7</v>
      </c>
      <c r="K217" t="str">
        <f>Raumbuch!O224</f>
        <v>E5.SD7</v>
      </c>
      <c r="L217" s="11">
        <v>1</v>
      </c>
      <c r="M217" s="11">
        <f t="shared" si="11"/>
        <v>94.000000000000014</v>
      </c>
      <c r="N217" s="14">
        <f t="shared" si="9"/>
        <v>94</v>
      </c>
      <c r="O217" s="15" t="str">
        <f t="shared" si="10"/>
        <v>RK94</v>
      </c>
      <c r="P217" t="s">
        <v>200</v>
      </c>
      <c r="Q217" t="s">
        <v>151</v>
      </c>
      <c r="R217" s="13" t="s">
        <v>138</v>
      </c>
      <c r="S217" s="13" t="s">
        <v>138</v>
      </c>
    </row>
    <row r="218" spans="2:19" x14ac:dyDescent="0.25">
      <c r="B218" t="str">
        <f>Raumbuch!B228</f>
        <v>Erdgeschoss</v>
      </c>
      <c r="C218" t="str">
        <f>Raumbuch!D228</f>
        <v>E5</v>
      </c>
      <c r="D218" t="str">
        <f>Raumbuch!F228</f>
        <v>Küche</v>
      </c>
      <c r="E218" t="str">
        <f>Raumbuch!G228</f>
        <v>1.5</v>
      </c>
      <c r="F218" t="str">
        <f>Raumbuch!H228</f>
        <v>HDMI</v>
      </c>
      <c r="G218" t="str">
        <f>Raumbuch!I228</f>
        <v>Steckdosen</v>
      </c>
      <c r="H218" t="str">
        <f>Raumbuch!J228</f>
        <v>Anschluss ohne Steckdose</v>
      </c>
      <c r="I218" t="str">
        <f>Raumbuch!K228</f>
        <v>HDMI</v>
      </c>
      <c r="J218" t="str">
        <f>Raumbuch!N228</f>
        <v>HD1</v>
      </c>
      <c r="K218" t="str">
        <f>Raumbuch!O228</f>
        <v>E5.HD1</v>
      </c>
      <c r="L218" s="11">
        <v>0.25</v>
      </c>
      <c r="M218" s="11">
        <f t="shared" si="11"/>
        <v>94.250000000000014</v>
      </c>
      <c r="N218" s="14">
        <f t="shared" si="9"/>
        <v>95</v>
      </c>
      <c r="O218" s="15" t="str">
        <f t="shared" si="10"/>
        <v>RK95</v>
      </c>
      <c r="P218" t="s">
        <v>140</v>
      </c>
      <c r="Q218" t="s">
        <v>229</v>
      </c>
      <c r="R218" t="s">
        <v>221</v>
      </c>
      <c r="S218" t="s">
        <v>223</v>
      </c>
    </row>
    <row r="219" spans="2:19" x14ac:dyDescent="0.25">
      <c r="B219" t="str">
        <f>Raumbuch!B229</f>
        <v>Erdgeschoss</v>
      </c>
      <c r="C219" t="str">
        <f>Raumbuch!D229</f>
        <v>E5</v>
      </c>
      <c r="D219" t="str">
        <f>Raumbuch!F229</f>
        <v>Küche</v>
      </c>
      <c r="E219" t="str">
        <f>Raumbuch!G229</f>
        <v>1.5</v>
      </c>
      <c r="F219" t="str">
        <f>Raumbuch!H229</f>
        <v>Netzwerkdose</v>
      </c>
      <c r="G219" t="str">
        <f>Raumbuch!I229</f>
        <v>Steckdosen</v>
      </c>
      <c r="H219" t="str">
        <f>Raumbuch!J229</f>
        <v>Anschluss ohne Steckdose</v>
      </c>
      <c r="I219" t="str">
        <f>Raumbuch!K229</f>
        <v>Ethernet</v>
      </c>
      <c r="J219" t="str">
        <f>Raumbuch!N229</f>
        <v>ND1</v>
      </c>
      <c r="K219" t="str">
        <f>Raumbuch!O229</f>
        <v>E5.ND1</v>
      </c>
      <c r="L219" s="11">
        <v>0.25</v>
      </c>
      <c r="M219" s="11">
        <f t="shared" si="11"/>
        <v>94.500000000000014</v>
      </c>
      <c r="N219" s="14">
        <f t="shared" si="9"/>
        <v>95</v>
      </c>
      <c r="O219" s="15" t="str">
        <f t="shared" si="10"/>
        <v>RK95</v>
      </c>
      <c r="P219" t="s">
        <v>140</v>
      </c>
      <c r="Q219" t="s">
        <v>229</v>
      </c>
      <c r="R219" t="s">
        <v>221</v>
      </c>
      <c r="S219" t="s">
        <v>223</v>
      </c>
    </row>
    <row r="220" spans="2:19" x14ac:dyDescent="0.25">
      <c r="B220" t="str">
        <f>Raumbuch!B230</f>
        <v>Erdgeschoss</v>
      </c>
      <c r="C220" t="str">
        <f>Raumbuch!D230</f>
        <v>E5</v>
      </c>
      <c r="D220" t="str">
        <f>Raumbuch!F230</f>
        <v>Küche</v>
      </c>
      <c r="E220" t="str">
        <f>Raumbuch!G230</f>
        <v>1.5</v>
      </c>
      <c r="F220" t="str">
        <f>Raumbuch!H230</f>
        <v>Steckdose Insel 1</v>
      </c>
      <c r="G220" t="str">
        <f>Raumbuch!I230</f>
        <v>Steckdosen</v>
      </c>
      <c r="H220" t="str">
        <f>Raumbuch!J230</f>
        <v>ohne Schaltaktor</v>
      </c>
      <c r="I220" t="str">
        <f>Raumbuch!K230</f>
        <v>230 V AC</v>
      </c>
      <c r="J220" t="str">
        <f>Raumbuch!N230</f>
        <v>SD11</v>
      </c>
      <c r="K220" t="str">
        <f>Raumbuch!O230</f>
        <v>E5.SD11</v>
      </c>
      <c r="L220" s="11">
        <v>0.25</v>
      </c>
      <c r="M220" s="11">
        <f t="shared" si="11"/>
        <v>94.750000000000014</v>
      </c>
      <c r="N220" s="14">
        <f t="shared" si="9"/>
        <v>95</v>
      </c>
      <c r="O220" s="15" t="str">
        <f t="shared" si="10"/>
        <v>RK95</v>
      </c>
      <c r="P220" t="s">
        <v>140</v>
      </c>
      <c r="Q220" t="s">
        <v>229</v>
      </c>
      <c r="R220" t="s">
        <v>221</v>
      </c>
      <c r="S220" t="s">
        <v>230</v>
      </c>
    </row>
    <row r="221" spans="2:19" x14ac:dyDescent="0.25">
      <c r="B221" t="str">
        <f>Raumbuch!B231</f>
        <v>Erdgeschoss</v>
      </c>
      <c r="C221" t="str">
        <f>Raumbuch!D231</f>
        <v>E5</v>
      </c>
      <c r="D221" t="str">
        <f>Raumbuch!F231</f>
        <v>Küche</v>
      </c>
      <c r="E221" t="str">
        <f>Raumbuch!G231</f>
        <v>1.5</v>
      </c>
      <c r="F221" t="str">
        <f>Raumbuch!H231</f>
        <v>Steckdose Insel 2</v>
      </c>
      <c r="G221" t="str">
        <f>Raumbuch!I231</f>
        <v>Steckdosen</v>
      </c>
      <c r="H221" t="str">
        <f>Raumbuch!J231</f>
        <v>ohne Schaltaktor</v>
      </c>
      <c r="I221" t="str">
        <f>Raumbuch!K231</f>
        <v>230 V AC</v>
      </c>
      <c r="J221" t="str">
        <f>Raumbuch!N231</f>
        <v>SD12</v>
      </c>
      <c r="K221" t="str">
        <f>Raumbuch!O231</f>
        <v>E5.SD12</v>
      </c>
      <c r="L221" s="11">
        <v>0.25</v>
      </c>
      <c r="M221" s="11">
        <f t="shared" si="11"/>
        <v>95.000000000000014</v>
      </c>
      <c r="N221" s="14">
        <f t="shared" si="9"/>
        <v>95</v>
      </c>
      <c r="O221" s="15" t="str">
        <f t="shared" si="10"/>
        <v>RK95</v>
      </c>
      <c r="P221" t="s">
        <v>140</v>
      </c>
      <c r="Q221" t="s">
        <v>229</v>
      </c>
      <c r="R221" t="s">
        <v>221</v>
      </c>
      <c r="S221" t="s">
        <v>230</v>
      </c>
    </row>
    <row r="222" spans="2:19" x14ac:dyDescent="0.25">
      <c r="B222" t="str">
        <f>Raumbuch!B232</f>
        <v>Erdgeschoss</v>
      </c>
      <c r="C222" t="str">
        <f>Raumbuch!D232</f>
        <v>E5</v>
      </c>
      <c r="D222" t="str">
        <f>Raumbuch!F232</f>
        <v>Küche</v>
      </c>
      <c r="E222" t="str">
        <f>Raumbuch!G232</f>
        <v>1.5</v>
      </c>
      <c r="F222" t="str">
        <f>Raumbuch!H232</f>
        <v>Steckdose Insel 3</v>
      </c>
      <c r="G222" t="str">
        <f>Raumbuch!I232</f>
        <v>Steckdosen</v>
      </c>
      <c r="H222" t="str">
        <f>Raumbuch!J232</f>
        <v>ohne Schaltaktor</v>
      </c>
      <c r="I222" t="str">
        <f>Raumbuch!K232</f>
        <v>230 V AC</v>
      </c>
      <c r="J222" t="str">
        <f>Raumbuch!N232</f>
        <v>SD13</v>
      </c>
      <c r="K222" t="str">
        <f>Raumbuch!O232</f>
        <v>E5.SD13</v>
      </c>
      <c r="L222" s="11">
        <v>1</v>
      </c>
      <c r="M222" s="11">
        <f t="shared" si="11"/>
        <v>96.000000000000014</v>
      </c>
      <c r="N222" s="14">
        <f t="shared" si="9"/>
        <v>96</v>
      </c>
      <c r="O222" s="15" t="str">
        <f t="shared" si="10"/>
        <v>RK96</v>
      </c>
      <c r="P222" t="s">
        <v>140</v>
      </c>
      <c r="Q222" t="s">
        <v>231</v>
      </c>
      <c r="R222" t="s">
        <v>221</v>
      </c>
      <c r="S222" t="s">
        <v>230</v>
      </c>
    </row>
    <row r="223" spans="2:19" x14ac:dyDescent="0.25">
      <c r="B223" t="str">
        <f>Raumbuch!B233</f>
        <v>Erdgeschoss</v>
      </c>
      <c r="C223" t="str">
        <f>Raumbuch!D233</f>
        <v>E5</v>
      </c>
      <c r="D223" t="str">
        <f>Raumbuch!F233</f>
        <v>Küche</v>
      </c>
      <c r="E223" t="str">
        <f>Raumbuch!G233</f>
        <v>1.5</v>
      </c>
      <c r="F223" t="str">
        <f>Raumbuch!H233</f>
        <v>Anschluss Induktionsherd</v>
      </c>
      <c r="G223" t="str">
        <f>Raumbuch!I233</f>
        <v>Steckdosen</v>
      </c>
      <c r="H223" t="str">
        <f>Raumbuch!J233</f>
        <v>Anschluss ohne Steckdose</v>
      </c>
      <c r="I223" t="str">
        <f>Raumbuch!K233</f>
        <v>230 V AC</v>
      </c>
      <c r="J223" t="str">
        <f>Raumbuch!N233</f>
        <v>SD14</v>
      </c>
      <c r="K223" t="str">
        <f>Raumbuch!O233</f>
        <v>E5.SD14</v>
      </c>
      <c r="L223" s="11">
        <v>1</v>
      </c>
      <c r="M223" s="11">
        <f t="shared" si="11"/>
        <v>97.000000000000014</v>
      </c>
      <c r="N223" s="14">
        <f t="shared" si="9"/>
        <v>97</v>
      </c>
      <c r="O223" s="15" t="str">
        <f t="shared" si="10"/>
        <v>RK97</v>
      </c>
      <c r="P223" t="s">
        <v>145</v>
      </c>
      <c r="Q223" t="s">
        <v>197</v>
      </c>
      <c r="R223" t="s">
        <v>221</v>
      </c>
      <c r="S223" t="s">
        <v>230</v>
      </c>
    </row>
    <row r="224" spans="2:19" x14ac:dyDescent="0.25">
      <c r="B224" t="str">
        <f>Raumbuch!B225</f>
        <v>Erdgeschoss</v>
      </c>
      <c r="C224" t="str">
        <f>Raumbuch!D225</f>
        <v>E5</v>
      </c>
      <c r="D224" t="str">
        <f>Raumbuch!F225</f>
        <v>Küche</v>
      </c>
      <c r="E224" t="str">
        <f>Raumbuch!G225</f>
        <v>1.5</v>
      </c>
      <c r="F224" t="str">
        <f>Raumbuch!H225</f>
        <v>Steckdose Ost 2</v>
      </c>
      <c r="G224" t="str">
        <f>Raumbuch!I225</f>
        <v>Steckdosen</v>
      </c>
      <c r="H224" t="str">
        <f>Raumbuch!J225</f>
        <v>ohne Schaltaktor</v>
      </c>
      <c r="I224" t="str">
        <f>Raumbuch!K225</f>
        <v>230 V AC</v>
      </c>
      <c r="J224" t="str">
        <f>Raumbuch!N225</f>
        <v>SD8</v>
      </c>
      <c r="K224" t="str">
        <f>Raumbuch!O225</f>
        <v>E5.SD8</v>
      </c>
      <c r="L224" s="11">
        <v>0</v>
      </c>
      <c r="M224" s="11">
        <f t="shared" si="11"/>
        <v>97.000000000000014</v>
      </c>
      <c r="N224" s="14">
        <f t="shared" si="9"/>
        <v>97</v>
      </c>
      <c r="O224" s="15" t="str">
        <f t="shared" si="10"/>
        <v>-</v>
      </c>
      <c r="P224" t="s">
        <v>137</v>
      </c>
      <c r="Q224" s="13" t="s">
        <v>138</v>
      </c>
      <c r="R224" s="13" t="s">
        <v>138</v>
      </c>
      <c r="S224" s="13" t="s">
        <v>138</v>
      </c>
    </row>
    <row r="225" spans="2:19" x14ac:dyDescent="0.25">
      <c r="B225" t="str">
        <f>Raumbuch!B226</f>
        <v>Erdgeschoss</v>
      </c>
      <c r="C225" t="str">
        <f>Raumbuch!D226</f>
        <v>E5</v>
      </c>
      <c r="D225" t="str">
        <f>Raumbuch!F226</f>
        <v>Küche</v>
      </c>
      <c r="E225" t="str">
        <f>Raumbuch!G226</f>
        <v>1.5</v>
      </c>
      <c r="F225" t="str">
        <f>Raumbuch!H226</f>
        <v>Steckdose Ost 3</v>
      </c>
      <c r="G225" t="str">
        <f>Raumbuch!I226</f>
        <v>Steckdosen</v>
      </c>
      <c r="H225" t="str">
        <f>Raumbuch!J226</f>
        <v>ohne Schaltaktor</v>
      </c>
      <c r="I225" t="str">
        <f>Raumbuch!K226</f>
        <v>230 V AC</v>
      </c>
      <c r="J225" t="str">
        <f>Raumbuch!N226</f>
        <v>SD9</v>
      </c>
      <c r="K225" t="str">
        <f>Raumbuch!O226</f>
        <v>E5.SD9</v>
      </c>
      <c r="L225" s="11">
        <v>0</v>
      </c>
      <c r="M225" s="11">
        <f t="shared" si="11"/>
        <v>97.000000000000014</v>
      </c>
      <c r="N225" s="14">
        <f t="shared" si="9"/>
        <v>97</v>
      </c>
      <c r="O225" s="15" t="str">
        <f t="shared" si="10"/>
        <v>-</v>
      </c>
      <c r="P225" t="s">
        <v>154</v>
      </c>
      <c r="Q225" t="s">
        <v>148</v>
      </c>
      <c r="R225" t="s">
        <v>221</v>
      </c>
      <c r="S225" t="s">
        <v>232</v>
      </c>
    </row>
    <row r="226" spans="2:19" x14ac:dyDescent="0.25">
      <c r="B226" t="str">
        <f>Raumbuch!B227</f>
        <v>Erdgeschoss</v>
      </c>
      <c r="C226" t="str">
        <f>Raumbuch!D227</f>
        <v>E5</v>
      </c>
      <c r="D226" t="str">
        <f>Raumbuch!F227</f>
        <v>Küche</v>
      </c>
      <c r="E226" t="str">
        <f>Raumbuch!G227</f>
        <v>1.5</v>
      </c>
      <c r="F226" t="str">
        <f>Raumbuch!H227</f>
        <v>Anschluss Wallscreen</v>
      </c>
      <c r="G226" t="str">
        <f>Raumbuch!I227</f>
        <v>Steckdosen</v>
      </c>
      <c r="H226" t="str">
        <f>Raumbuch!J227</f>
        <v>Anschluss ohne Steckdose</v>
      </c>
      <c r="I226" t="str">
        <f>Raumbuch!K227</f>
        <v>230 V AC</v>
      </c>
      <c r="J226" t="str">
        <f>Raumbuch!N227</f>
        <v>SD10</v>
      </c>
      <c r="K226" t="str">
        <f>Raumbuch!O227</f>
        <v>E5.SD10</v>
      </c>
      <c r="L226" s="11">
        <v>0</v>
      </c>
      <c r="M226" s="11">
        <f t="shared" si="11"/>
        <v>97.000000000000014</v>
      </c>
      <c r="N226" s="14">
        <f t="shared" si="9"/>
        <v>97</v>
      </c>
      <c r="O226" s="15" t="str">
        <f t="shared" si="10"/>
        <v>-</v>
      </c>
      <c r="P226" t="s">
        <v>138</v>
      </c>
      <c r="Q226" s="13" t="s">
        <v>138</v>
      </c>
      <c r="R226" t="s">
        <v>221</v>
      </c>
      <c r="S226" t="s">
        <v>223</v>
      </c>
    </row>
    <row r="227" spans="2:19" x14ac:dyDescent="0.25">
      <c r="B227" t="str">
        <f>Raumbuch!B234</f>
        <v>Erdgeschoss</v>
      </c>
      <c r="C227" t="str">
        <f>Raumbuch!D234</f>
        <v>E5</v>
      </c>
      <c r="D227" t="str">
        <f>Raumbuch!F234</f>
        <v>Küche</v>
      </c>
      <c r="E227" t="str">
        <f>Raumbuch!G234</f>
        <v>1.5</v>
      </c>
      <c r="F227" t="str">
        <f>Raumbuch!H234</f>
        <v>Anschluss Wasseraufbereiter</v>
      </c>
      <c r="G227" t="str">
        <f>Raumbuch!I234</f>
        <v>Steckdosen</v>
      </c>
      <c r="H227" t="str">
        <f>Raumbuch!J234</f>
        <v>Anschluss ohne Steckdose</v>
      </c>
      <c r="I227" t="str">
        <f>Raumbuch!K234</f>
        <v>230 V AC</v>
      </c>
      <c r="J227" t="str">
        <f>Raumbuch!N234</f>
        <v>SD15</v>
      </c>
      <c r="K227" t="str">
        <f>Raumbuch!O234</f>
        <v>E5.SD15</v>
      </c>
      <c r="L227" s="11">
        <v>1</v>
      </c>
      <c r="M227" s="11">
        <f t="shared" si="11"/>
        <v>98.000000000000014</v>
      </c>
      <c r="N227" s="14">
        <f t="shared" si="9"/>
        <v>98</v>
      </c>
      <c r="O227" s="15" t="str">
        <f t="shared" si="10"/>
        <v>RK98</v>
      </c>
      <c r="P227" t="s">
        <v>145</v>
      </c>
      <c r="Q227" t="s">
        <v>203</v>
      </c>
      <c r="R227" t="s">
        <v>221</v>
      </c>
      <c r="S227" t="s">
        <v>233</v>
      </c>
    </row>
    <row r="228" spans="2:19" x14ac:dyDescent="0.25">
      <c r="B228" t="str">
        <f>Raumbuch!B235</f>
        <v>Erdgeschoss</v>
      </c>
      <c r="C228" t="str">
        <f>Raumbuch!D235</f>
        <v>E5</v>
      </c>
      <c r="D228" t="str">
        <f>Raumbuch!F235</f>
        <v>Küche</v>
      </c>
      <c r="E228" t="str">
        <f>Raumbuch!G235</f>
        <v>1.5</v>
      </c>
      <c r="F228" t="str">
        <f>Raumbuch!H235</f>
        <v>Steckdose Süd 1</v>
      </c>
      <c r="G228" t="str">
        <f>Raumbuch!I235</f>
        <v>Steckdosen</v>
      </c>
      <c r="H228" t="str">
        <f>Raumbuch!J235</f>
        <v>ohne Schaltaktor</v>
      </c>
      <c r="I228" t="str">
        <f>Raumbuch!K235</f>
        <v>230 V AC</v>
      </c>
      <c r="J228" t="str">
        <f>Raumbuch!N235</f>
        <v>SD16</v>
      </c>
      <c r="K228" t="str">
        <f>Raumbuch!O235</f>
        <v>E5.SD16</v>
      </c>
      <c r="L228" s="11">
        <v>1</v>
      </c>
      <c r="M228" s="11">
        <f t="shared" si="11"/>
        <v>99.000000000000014</v>
      </c>
      <c r="N228" s="14">
        <f t="shared" si="9"/>
        <v>99</v>
      </c>
      <c r="O228" s="15" t="str">
        <f t="shared" si="10"/>
        <v>RK99</v>
      </c>
      <c r="P228" t="s">
        <v>200</v>
      </c>
      <c r="Q228" t="s">
        <v>198</v>
      </c>
      <c r="R228" s="13" t="s">
        <v>138</v>
      </c>
      <c r="S228" s="13" t="s">
        <v>138</v>
      </c>
    </row>
    <row r="229" spans="2:19" x14ac:dyDescent="0.25">
      <c r="B229" t="str">
        <f>Raumbuch!B249</f>
        <v>Obergeschoss</v>
      </c>
      <c r="C229" t="str">
        <f>Raumbuch!D249</f>
        <v>O6</v>
      </c>
      <c r="D229" t="str">
        <f>Raumbuch!F249</f>
        <v>Ankleide</v>
      </c>
      <c r="E229" t="str">
        <f>Raumbuch!G249</f>
        <v>2.6</v>
      </c>
      <c r="F229" t="str">
        <f>Raumbuch!H249</f>
        <v>Fensterkontakt Ost</v>
      </c>
      <c r="G229" t="str">
        <f>Raumbuch!I249</f>
        <v>Sensoren</v>
      </c>
      <c r="H229" t="str">
        <f>Raumbuch!J249</f>
        <v>Fensterkontakt Reed</v>
      </c>
      <c r="I229" t="str">
        <f>Raumbuch!K249</f>
        <v>DIGITAL (potentialfrei)</v>
      </c>
      <c r="J229" t="str">
        <f>Raumbuch!N249</f>
        <v>FK1</v>
      </c>
      <c r="K229" t="str">
        <f>Raumbuch!O249</f>
        <v>O6.FK1</v>
      </c>
      <c r="L229" s="11">
        <v>1</v>
      </c>
      <c r="M229" s="11">
        <f t="shared" si="11"/>
        <v>100.00000000000001</v>
      </c>
      <c r="N229" s="14">
        <f t="shared" si="9"/>
        <v>100</v>
      </c>
      <c r="O229" s="15" t="str">
        <f t="shared" si="10"/>
        <v>RK100</v>
      </c>
      <c r="P229" t="s">
        <v>205</v>
      </c>
      <c r="Q229" t="s">
        <v>141</v>
      </c>
      <c r="R229" s="13" t="s">
        <v>138</v>
      </c>
      <c r="S229" s="13" t="s">
        <v>138</v>
      </c>
    </row>
    <row r="230" spans="2:19" x14ac:dyDescent="0.25">
      <c r="B230" t="str">
        <f>Raumbuch!B250</f>
        <v>Obergeschoss</v>
      </c>
      <c r="C230" t="str">
        <f>Raumbuch!D250</f>
        <v>O6</v>
      </c>
      <c r="D230" t="str">
        <f>Raumbuch!F250</f>
        <v>Ankleide</v>
      </c>
      <c r="E230" t="str">
        <f>Raumbuch!G250</f>
        <v>2.6</v>
      </c>
      <c r="F230" t="str">
        <f>Raumbuch!H250</f>
        <v>Tastsensor</v>
      </c>
      <c r="G230" t="str">
        <f>Raumbuch!I250</f>
        <v>Sensoren</v>
      </c>
      <c r="H230" t="str">
        <f>Raumbuch!J250</f>
        <v>Taster</v>
      </c>
      <c r="I230" t="str">
        <f>Raumbuch!K250</f>
        <v>KNX</v>
      </c>
      <c r="J230" t="str">
        <f>Raumbuch!N250</f>
        <v>TS1</v>
      </c>
      <c r="K230" t="str">
        <f>Raumbuch!O250</f>
        <v>O6.TS1</v>
      </c>
      <c r="L230" s="11">
        <v>1</v>
      </c>
      <c r="M230" s="11">
        <f t="shared" si="11"/>
        <v>101.00000000000001</v>
      </c>
      <c r="N230" s="14">
        <f t="shared" si="9"/>
        <v>101</v>
      </c>
      <c r="O230" s="15" t="str">
        <f t="shared" si="10"/>
        <v>RK101</v>
      </c>
      <c r="P230" t="s">
        <v>205</v>
      </c>
      <c r="Q230" t="s">
        <v>144</v>
      </c>
      <c r="R230" s="13" t="s">
        <v>138</v>
      </c>
      <c r="S230" s="13" t="s">
        <v>138</v>
      </c>
    </row>
    <row r="231" spans="2:19" x14ac:dyDescent="0.25">
      <c r="B231" t="str">
        <f>Raumbuch!B241</f>
        <v>Erdgeschoss</v>
      </c>
      <c r="C231" t="str">
        <f>Raumbuch!D241</f>
        <v>E5</v>
      </c>
      <c r="D231" t="str">
        <f>Raumbuch!F241</f>
        <v>Küche</v>
      </c>
      <c r="E231" t="str">
        <f>Raumbuch!G241</f>
        <v>1.5</v>
      </c>
      <c r="F231" t="str">
        <f>Raumbuch!H241</f>
        <v>DALI EVG Spots</v>
      </c>
      <c r="G231" t="str">
        <f>Raumbuch!I241</f>
        <v>Zentral</v>
      </c>
      <c r="H231" t="str">
        <f>Raumbuch!J241</f>
        <v>DALI DT8 EVG</v>
      </c>
      <c r="I231" t="str">
        <f>Raumbuch!K241</f>
        <v>24 V DC</v>
      </c>
      <c r="J231" t="str">
        <f>Raumbuch!N241</f>
        <v>DA2</v>
      </c>
      <c r="K231" t="str">
        <f>Raumbuch!O241</f>
        <v>E5.DA2</v>
      </c>
      <c r="L231" s="11">
        <v>0.5</v>
      </c>
      <c r="M231" s="11">
        <f t="shared" si="11"/>
        <v>101.50000000000001</v>
      </c>
      <c r="N231" s="14">
        <f t="shared" si="9"/>
        <v>102</v>
      </c>
      <c r="O231" s="15" t="str">
        <f t="shared" si="10"/>
        <v>RK102</v>
      </c>
      <c r="P231" t="s">
        <v>145</v>
      </c>
      <c r="Q231" t="s">
        <v>204</v>
      </c>
      <c r="R231" t="s">
        <v>218</v>
      </c>
      <c r="S231" t="s">
        <v>234</v>
      </c>
    </row>
    <row r="232" spans="2:19" x14ac:dyDescent="0.25">
      <c r="B232" t="str">
        <f>Raumbuch!B242</f>
        <v>Erdgeschoss</v>
      </c>
      <c r="C232" t="str">
        <f>Raumbuch!D242</f>
        <v>E5</v>
      </c>
      <c r="D232" t="str">
        <f>Raumbuch!F242</f>
        <v>Küche</v>
      </c>
      <c r="E232" t="str">
        <f>Raumbuch!G242</f>
        <v>1.5</v>
      </c>
      <c r="F232" t="str">
        <f>Raumbuch!H242</f>
        <v>DALI EVG Hochschranknische</v>
      </c>
      <c r="G232" t="str">
        <f>Raumbuch!I242</f>
        <v>Zentral</v>
      </c>
      <c r="H232" t="str">
        <f>Raumbuch!J242</f>
        <v>DALI DT6 EVG</v>
      </c>
      <c r="I232" t="str">
        <f>Raumbuch!K242</f>
        <v>24 V DC</v>
      </c>
      <c r="J232" t="str">
        <f>Raumbuch!N242</f>
        <v>DA3</v>
      </c>
      <c r="K232" t="str">
        <f>Raumbuch!O242</f>
        <v>E5.DA3</v>
      </c>
      <c r="L232" s="11">
        <v>0.5</v>
      </c>
      <c r="M232" s="11">
        <f t="shared" si="11"/>
        <v>102.00000000000001</v>
      </c>
      <c r="N232" s="14">
        <f t="shared" si="9"/>
        <v>102</v>
      </c>
      <c r="O232" s="15" t="str">
        <f t="shared" si="10"/>
        <v>RK102</v>
      </c>
      <c r="P232" t="s">
        <v>145</v>
      </c>
      <c r="Q232" t="s">
        <v>204</v>
      </c>
    </row>
    <row r="233" spans="2:19" x14ac:dyDescent="0.25">
      <c r="B233" t="str">
        <f>Raumbuch!B236</f>
        <v>Erdgeschoss</v>
      </c>
      <c r="C233" t="str">
        <f>Raumbuch!D236</f>
        <v>E5</v>
      </c>
      <c r="D233" t="str">
        <f>Raumbuch!F236</f>
        <v>Küche</v>
      </c>
      <c r="E233" t="str">
        <f>Raumbuch!G236</f>
        <v>1.5</v>
      </c>
      <c r="F233" t="str">
        <f>Raumbuch!H236</f>
        <v>Steckdose Süd 2</v>
      </c>
      <c r="G233" t="str">
        <f>Raumbuch!I236</f>
        <v>Steckdosen</v>
      </c>
      <c r="H233" t="str">
        <f>Raumbuch!J236</f>
        <v>ohne Schaltaktor</v>
      </c>
      <c r="I233" t="str">
        <f>Raumbuch!K236</f>
        <v>230 V AC</v>
      </c>
      <c r="J233" t="str">
        <f>Raumbuch!N236</f>
        <v>SD17</v>
      </c>
      <c r="K233" t="str">
        <f>Raumbuch!O236</f>
        <v>E5.SD17</v>
      </c>
      <c r="L233" s="11">
        <v>0</v>
      </c>
      <c r="M233" s="11">
        <f t="shared" si="11"/>
        <v>102.00000000000001</v>
      </c>
      <c r="N233" s="14">
        <f t="shared" si="9"/>
        <v>102</v>
      </c>
      <c r="O233" s="15" t="str">
        <f t="shared" si="10"/>
        <v>-</v>
      </c>
      <c r="P233" t="s">
        <v>137</v>
      </c>
      <c r="Q233" s="13" t="s">
        <v>138</v>
      </c>
      <c r="R233" s="13" t="s">
        <v>138</v>
      </c>
      <c r="S233" s="13" t="s">
        <v>138</v>
      </c>
    </row>
    <row r="234" spans="2:19" x14ac:dyDescent="0.25">
      <c r="B234" t="str">
        <f>Raumbuch!B237</f>
        <v>Erdgeschoss</v>
      </c>
      <c r="C234" t="str">
        <f>Raumbuch!D237</f>
        <v>E5</v>
      </c>
      <c r="D234" t="str">
        <f>Raumbuch!F237</f>
        <v>Küche</v>
      </c>
      <c r="E234" t="str">
        <f>Raumbuch!G237</f>
        <v>1.5</v>
      </c>
      <c r="F234" t="str">
        <f>Raumbuch!H237</f>
        <v>Steckdose Süd 3</v>
      </c>
      <c r="G234" t="str">
        <f>Raumbuch!I237</f>
        <v>Steckdosen</v>
      </c>
      <c r="H234" t="str">
        <f>Raumbuch!J237</f>
        <v>ohne Schaltaktor</v>
      </c>
      <c r="I234" t="str">
        <f>Raumbuch!K237</f>
        <v>230 V AC</v>
      </c>
      <c r="J234" t="str">
        <f>Raumbuch!N237</f>
        <v>SD18</v>
      </c>
      <c r="K234" t="str">
        <f>Raumbuch!O237</f>
        <v>E5.SD18</v>
      </c>
      <c r="L234" s="11">
        <v>0</v>
      </c>
      <c r="M234" s="11">
        <f t="shared" si="11"/>
        <v>102.00000000000001</v>
      </c>
      <c r="N234" s="14">
        <f t="shared" si="9"/>
        <v>102</v>
      </c>
      <c r="O234" s="15" t="str">
        <f t="shared" si="10"/>
        <v>-</v>
      </c>
      <c r="P234" t="s">
        <v>137</v>
      </c>
      <c r="Q234" s="13" t="s">
        <v>138</v>
      </c>
      <c r="R234" s="13" t="s">
        <v>138</v>
      </c>
      <c r="S234" s="13" t="s">
        <v>138</v>
      </c>
    </row>
    <row r="235" spans="2:19" x14ac:dyDescent="0.25">
      <c r="B235" t="str">
        <f>Raumbuch!B238</f>
        <v>Erdgeschoss</v>
      </c>
      <c r="C235" t="str">
        <f>Raumbuch!D238</f>
        <v>E5</v>
      </c>
      <c r="D235" t="str">
        <f>Raumbuch!F238</f>
        <v>Küche</v>
      </c>
      <c r="E235" t="str">
        <f>Raumbuch!G238</f>
        <v>1.5</v>
      </c>
      <c r="F235" t="str">
        <f>Raumbuch!H238</f>
        <v>Steckdose Süd 4</v>
      </c>
      <c r="G235" t="str">
        <f>Raumbuch!I238</f>
        <v>Steckdosen</v>
      </c>
      <c r="H235" t="str">
        <f>Raumbuch!J238</f>
        <v>ohne Schaltaktor</v>
      </c>
      <c r="I235" t="str">
        <f>Raumbuch!K238</f>
        <v>230 V AC</v>
      </c>
      <c r="J235" t="str">
        <f>Raumbuch!N238</f>
        <v>SD19</v>
      </c>
      <c r="K235" t="str">
        <f>Raumbuch!O238</f>
        <v>E5.SD19</v>
      </c>
      <c r="L235" s="11">
        <v>0</v>
      </c>
      <c r="M235" s="11">
        <f t="shared" si="11"/>
        <v>102.00000000000001</v>
      </c>
      <c r="N235" s="14">
        <f t="shared" si="9"/>
        <v>102</v>
      </c>
      <c r="O235" s="15" t="str">
        <f t="shared" si="10"/>
        <v>-</v>
      </c>
      <c r="P235" t="s">
        <v>154</v>
      </c>
      <c r="Q235" t="s">
        <v>151</v>
      </c>
      <c r="R235" s="13" t="s">
        <v>138</v>
      </c>
      <c r="S235" s="13" t="s">
        <v>138</v>
      </c>
    </row>
    <row r="236" spans="2:19" x14ac:dyDescent="0.25">
      <c r="B236" t="str">
        <f>Raumbuch!B239</f>
        <v>Erdgeschoss</v>
      </c>
      <c r="C236" t="str">
        <f>Raumbuch!D239</f>
        <v>E5</v>
      </c>
      <c r="D236" t="str">
        <f>Raumbuch!F239</f>
        <v>Küche</v>
      </c>
      <c r="E236" t="str">
        <f>Raumbuch!G239</f>
        <v>1.5</v>
      </c>
      <c r="F236" t="str">
        <f>Raumbuch!H239</f>
        <v>Steckdose Fenster Süd</v>
      </c>
      <c r="G236" t="str">
        <f>Raumbuch!I239</f>
        <v>Steckdosen</v>
      </c>
      <c r="H236" t="str">
        <f>Raumbuch!J239</f>
        <v>mit Schaltaktor</v>
      </c>
      <c r="I236" t="str">
        <f>Raumbuch!K239</f>
        <v>230 V AC</v>
      </c>
      <c r="J236" t="str">
        <f>Raumbuch!N239</f>
        <v>SD20</v>
      </c>
      <c r="K236" t="str">
        <f>Raumbuch!O239</f>
        <v>E5.SD20</v>
      </c>
      <c r="L236" s="11">
        <v>0</v>
      </c>
      <c r="M236" s="11">
        <f t="shared" si="11"/>
        <v>102.00000000000001</v>
      </c>
      <c r="N236" s="14">
        <f t="shared" si="9"/>
        <v>102</v>
      </c>
      <c r="O236" s="15" t="str">
        <f t="shared" si="10"/>
        <v>-</v>
      </c>
      <c r="P236" t="s">
        <v>154</v>
      </c>
      <c r="Q236" t="s">
        <v>198</v>
      </c>
      <c r="R236" t="s">
        <v>218</v>
      </c>
      <c r="S236" t="s">
        <v>234</v>
      </c>
    </row>
    <row r="237" spans="2:19" x14ac:dyDescent="0.25">
      <c r="B237" t="str">
        <f>Raumbuch!B240</f>
        <v>Erdgeschoss</v>
      </c>
      <c r="C237" t="str">
        <f>Raumbuch!D240</f>
        <v>E5</v>
      </c>
      <c r="D237" t="str">
        <f>Raumbuch!F240</f>
        <v>Küche</v>
      </c>
      <c r="E237" t="str">
        <f>Raumbuch!G240</f>
        <v>1.5</v>
      </c>
      <c r="F237" t="str">
        <f>Raumbuch!H240</f>
        <v>DALI EVG Insel</v>
      </c>
      <c r="G237" t="str">
        <f>Raumbuch!I240</f>
        <v>Zentral</v>
      </c>
      <c r="H237" t="str">
        <f>Raumbuch!J240</f>
        <v>DALI DT6 EVG</v>
      </c>
      <c r="I237" t="str">
        <f>Raumbuch!K240</f>
        <v>24 V DC</v>
      </c>
      <c r="J237" t="str">
        <f>Raumbuch!N240</f>
        <v>DA1</v>
      </c>
      <c r="K237" t="str">
        <f>Raumbuch!O240</f>
        <v>E5.DA1</v>
      </c>
      <c r="L237" s="11">
        <v>1</v>
      </c>
      <c r="M237" s="11">
        <f t="shared" si="11"/>
        <v>103.00000000000001</v>
      </c>
      <c r="N237" s="14">
        <f t="shared" si="9"/>
        <v>103</v>
      </c>
      <c r="O237" s="15" t="str">
        <f t="shared" si="10"/>
        <v>RK103</v>
      </c>
      <c r="P237" t="s">
        <v>235</v>
      </c>
      <c r="Q237" t="s">
        <v>162</v>
      </c>
      <c r="R237" t="s">
        <v>218</v>
      </c>
      <c r="S237" t="s">
        <v>234</v>
      </c>
    </row>
    <row r="238" spans="2:19" x14ac:dyDescent="0.25">
      <c r="B238" t="str">
        <f>Raumbuch!B243</f>
        <v>Erdgeschoss</v>
      </c>
      <c r="C238" t="str">
        <f>Raumbuch!D243</f>
        <v>E5</v>
      </c>
      <c r="D238" t="str">
        <f>Raumbuch!F243</f>
        <v>Küche</v>
      </c>
      <c r="E238" t="str">
        <f>Raumbuch!G243</f>
        <v>1.5</v>
      </c>
      <c r="F238" t="str">
        <f>Raumbuch!H243</f>
        <v>DALI EVG Decken Stripe</v>
      </c>
      <c r="G238" t="str">
        <f>Raumbuch!I243</f>
        <v>Zentral</v>
      </c>
      <c r="H238" t="str">
        <f>Raumbuch!J243</f>
        <v>DALI DT8 EVG</v>
      </c>
      <c r="I238" t="str">
        <f>Raumbuch!K243</f>
        <v>24 V DC</v>
      </c>
      <c r="J238" t="str">
        <f>Raumbuch!N243</f>
        <v>DA4</v>
      </c>
      <c r="K238" t="str">
        <f>Raumbuch!O243</f>
        <v>E5.DA4</v>
      </c>
      <c r="L238" s="11">
        <v>0.2</v>
      </c>
      <c r="M238" s="11">
        <f t="shared" si="11"/>
        <v>103.20000000000002</v>
      </c>
      <c r="N238" s="14">
        <f t="shared" si="9"/>
        <v>104</v>
      </c>
      <c r="O238" s="15" t="str">
        <f t="shared" si="10"/>
        <v>RK104</v>
      </c>
      <c r="P238" t="s">
        <v>138</v>
      </c>
      <c r="Q238" s="13" t="s">
        <v>138</v>
      </c>
      <c r="R238" t="s">
        <v>218</v>
      </c>
      <c r="S238" t="s">
        <v>236</v>
      </c>
    </row>
    <row r="239" spans="2:19" x14ac:dyDescent="0.25">
      <c r="B239" t="str">
        <f>Raumbuch!B244</f>
        <v>Obergeschoss</v>
      </c>
      <c r="C239" t="str">
        <f>Raumbuch!D244</f>
        <v>O6</v>
      </c>
      <c r="D239" t="str">
        <f>Raumbuch!F244</f>
        <v>Ankleide</v>
      </c>
      <c r="E239" t="str">
        <f>Raumbuch!G244</f>
        <v>2.6</v>
      </c>
      <c r="F239" t="str">
        <f>Raumbuch!H244</f>
        <v>Deckenlautsprecher 1</v>
      </c>
      <c r="G239" t="str">
        <f>Raumbuch!I244</f>
        <v>Audio</v>
      </c>
      <c r="H239">
        <f>Raumbuch!J244</f>
        <v>0</v>
      </c>
      <c r="I239" t="str">
        <f>Raumbuch!K244</f>
        <v>DIGITAL (potentialfrei)</v>
      </c>
      <c r="J239" t="str">
        <f>Raumbuch!N244</f>
        <v>DL1</v>
      </c>
      <c r="K239" t="str">
        <f>Raumbuch!O244</f>
        <v>O6.DL1</v>
      </c>
      <c r="L239" s="11">
        <v>0.2</v>
      </c>
      <c r="M239" s="11">
        <f t="shared" si="11"/>
        <v>103.40000000000002</v>
      </c>
      <c r="N239" s="14">
        <f t="shared" si="9"/>
        <v>104</v>
      </c>
      <c r="O239" s="15" t="str">
        <f t="shared" si="10"/>
        <v>RK104</v>
      </c>
      <c r="P239" t="s">
        <v>138</v>
      </c>
      <c r="Q239" s="13" t="s">
        <v>138</v>
      </c>
      <c r="R239" t="s">
        <v>218</v>
      </c>
      <c r="S239" t="s">
        <v>236</v>
      </c>
    </row>
    <row r="240" spans="2:19" x14ac:dyDescent="0.25">
      <c r="B240" t="str">
        <f>Raumbuch!B245</f>
        <v>Obergeschoss</v>
      </c>
      <c r="C240" t="str">
        <f>Raumbuch!D245</f>
        <v>O6</v>
      </c>
      <c r="D240" t="str">
        <f>Raumbuch!F245</f>
        <v>Ankleide</v>
      </c>
      <c r="E240" t="str">
        <f>Raumbuch!G245</f>
        <v>2.6</v>
      </c>
      <c r="F240" t="str">
        <f>Raumbuch!H245</f>
        <v>LED Stripe Decke</v>
      </c>
      <c r="G240" t="str">
        <f>Raumbuch!I245</f>
        <v>Beleuchtung</v>
      </c>
      <c r="H240" t="str">
        <f>Raumbuch!J245</f>
        <v>tunable white</v>
      </c>
      <c r="I240" t="str">
        <f>Raumbuch!K245</f>
        <v>DALI</v>
      </c>
      <c r="J240" t="str">
        <f>Raumbuch!N245</f>
        <v>BL1</v>
      </c>
      <c r="K240" t="str">
        <f>Raumbuch!O245</f>
        <v>O6.BL1</v>
      </c>
      <c r="L240" s="11">
        <v>0.2</v>
      </c>
      <c r="M240" s="11">
        <f t="shared" si="11"/>
        <v>103.60000000000002</v>
      </c>
      <c r="N240" s="14">
        <f t="shared" si="9"/>
        <v>104</v>
      </c>
      <c r="O240" s="15" t="str">
        <f t="shared" si="10"/>
        <v>RK104</v>
      </c>
      <c r="P240" t="s">
        <v>138</v>
      </c>
      <c r="Q240" s="13" t="s">
        <v>138</v>
      </c>
      <c r="R240" t="s">
        <v>218</v>
      </c>
      <c r="S240" t="s">
        <v>228</v>
      </c>
    </row>
    <row r="241" spans="2:19" x14ac:dyDescent="0.25">
      <c r="B241" t="str">
        <f>Raumbuch!B246</f>
        <v>Obergeschoss</v>
      </c>
      <c r="C241" t="str">
        <f>Raumbuch!D246</f>
        <v>O6</v>
      </c>
      <c r="D241" t="str">
        <f>Raumbuch!F246</f>
        <v>Ankleide</v>
      </c>
      <c r="E241" t="str">
        <f>Raumbuch!G246</f>
        <v>2.6</v>
      </c>
      <c r="F241" t="str">
        <f>Raumbuch!H246</f>
        <v>LED Schrankbeleuchtung Nord</v>
      </c>
      <c r="G241" t="str">
        <f>Raumbuch!I246</f>
        <v>Beleuchtung</v>
      </c>
      <c r="H241" t="str">
        <f>Raumbuch!J246</f>
        <v>dimmbar</v>
      </c>
      <c r="I241" t="str">
        <f>Raumbuch!K246</f>
        <v>DALI</v>
      </c>
      <c r="J241" t="str">
        <f>Raumbuch!N246</f>
        <v>BL2</v>
      </c>
      <c r="K241" t="str">
        <f>Raumbuch!O246</f>
        <v>O6.BL2</v>
      </c>
      <c r="L241" s="11">
        <v>0.2</v>
      </c>
      <c r="M241" s="11">
        <f t="shared" si="11"/>
        <v>103.80000000000003</v>
      </c>
      <c r="N241" s="14">
        <f t="shared" si="9"/>
        <v>104</v>
      </c>
      <c r="O241" s="15" t="str">
        <f t="shared" si="10"/>
        <v>RK104</v>
      </c>
      <c r="P241" t="s">
        <v>138</v>
      </c>
      <c r="Q241" s="13" t="s">
        <v>138</v>
      </c>
      <c r="R241" s="13" t="s">
        <v>138</v>
      </c>
      <c r="S241" s="13" t="s">
        <v>138</v>
      </c>
    </row>
    <row r="242" spans="2:19" x14ac:dyDescent="0.25">
      <c r="B242" t="str">
        <f>Raumbuch!B247</f>
        <v>Obergeschoss</v>
      </c>
      <c r="C242" t="str">
        <f>Raumbuch!D247</f>
        <v>O6</v>
      </c>
      <c r="D242" t="str">
        <f>Raumbuch!F247</f>
        <v>Ankleide</v>
      </c>
      <c r="E242" t="str">
        <f>Raumbuch!G247</f>
        <v>2.6</v>
      </c>
      <c r="F242" t="str">
        <f>Raumbuch!H247</f>
        <v>LED Schrankbeleuchtung Süd</v>
      </c>
      <c r="G242" t="str">
        <f>Raumbuch!I247</f>
        <v>Beleuchtung</v>
      </c>
      <c r="H242" t="str">
        <f>Raumbuch!J247</f>
        <v>dimmbar</v>
      </c>
      <c r="I242" t="str">
        <f>Raumbuch!K247</f>
        <v>DALI</v>
      </c>
      <c r="J242" t="str">
        <f>Raumbuch!N247</f>
        <v>BL3</v>
      </c>
      <c r="K242" t="str">
        <f>Raumbuch!O247</f>
        <v>O6.BL3</v>
      </c>
      <c r="L242" s="11">
        <v>0.2</v>
      </c>
      <c r="M242" s="11">
        <f t="shared" si="11"/>
        <v>104.00000000000003</v>
      </c>
      <c r="N242" s="14">
        <f t="shared" si="9"/>
        <v>104</v>
      </c>
      <c r="O242" s="15" t="str">
        <f t="shared" si="10"/>
        <v>RK104</v>
      </c>
      <c r="P242" t="s">
        <v>138</v>
      </c>
      <c r="Q242" s="13" t="s">
        <v>138</v>
      </c>
      <c r="R242" s="13" t="s">
        <v>138</v>
      </c>
      <c r="S242" s="13" t="s">
        <v>138</v>
      </c>
    </row>
    <row r="243" spans="2:19" x14ac:dyDescent="0.25">
      <c r="B243" t="str">
        <f>Raumbuch!B251</f>
        <v>Obergeschoss</v>
      </c>
      <c r="C243" t="str">
        <f>Raumbuch!D251</f>
        <v>O6</v>
      </c>
      <c r="D243" t="str">
        <f>Raumbuch!F251</f>
        <v>Ankleide</v>
      </c>
      <c r="E243" t="str">
        <f>Raumbuch!G251</f>
        <v>2.6</v>
      </c>
      <c r="F243" t="str">
        <f>Raumbuch!H251</f>
        <v>Bewegungsmelder</v>
      </c>
      <c r="G243" t="str">
        <f>Raumbuch!I251</f>
        <v>Sensoren</v>
      </c>
      <c r="H243" t="str">
        <f>Raumbuch!J251</f>
        <v>Bewegungsmelder</v>
      </c>
      <c r="I243" t="str">
        <f>Raumbuch!K251</f>
        <v>KNX</v>
      </c>
      <c r="J243" t="str">
        <f>Raumbuch!N251</f>
        <v>BM1</v>
      </c>
      <c r="K243" t="str">
        <f>Raumbuch!O251</f>
        <v>O6.BM1</v>
      </c>
      <c r="L243" s="11">
        <v>1</v>
      </c>
      <c r="M243" s="11">
        <f t="shared" si="11"/>
        <v>105.00000000000003</v>
      </c>
      <c r="N243" s="14">
        <f t="shared" si="9"/>
        <v>105</v>
      </c>
      <c r="O243" s="15" t="str">
        <f t="shared" si="10"/>
        <v>RK105</v>
      </c>
      <c r="P243" t="s">
        <v>147</v>
      </c>
      <c r="Q243" t="s">
        <v>162</v>
      </c>
      <c r="R243" s="13" t="s">
        <v>138</v>
      </c>
      <c r="S243" s="13" t="s">
        <v>138</v>
      </c>
    </row>
    <row r="244" spans="2:19" x14ac:dyDescent="0.25">
      <c r="B244" t="str">
        <f>Raumbuch!B252</f>
        <v>Obergeschoss</v>
      </c>
      <c r="C244" t="str">
        <f>Raumbuch!D252</f>
        <v>O6</v>
      </c>
      <c r="D244" t="str">
        <f>Raumbuch!F252</f>
        <v>Ankleide</v>
      </c>
      <c r="E244" t="str">
        <f>Raumbuch!G252</f>
        <v>2.6</v>
      </c>
      <c r="F244" t="str">
        <f>Raumbuch!H252</f>
        <v>Steckdose Nord 1</v>
      </c>
      <c r="G244" t="str">
        <f>Raumbuch!I252</f>
        <v>Steckdosen</v>
      </c>
      <c r="H244" t="str">
        <f>Raumbuch!J252</f>
        <v>ohne Schaltaktor</v>
      </c>
      <c r="I244" t="str">
        <f>Raumbuch!K252</f>
        <v>230 V AC</v>
      </c>
      <c r="J244" t="str">
        <f>Raumbuch!N252</f>
        <v>SD1</v>
      </c>
      <c r="K244" t="str">
        <f>Raumbuch!O252</f>
        <v>O6.SD1</v>
      </c>
      <c r="L244" s="11">
        <v>1</v>
      </c>
      <c r="M244" s="11">
        <f t="shared" si="11"/>
        <v>106.00000000000003</v>
      </c>
      <c r="N244" s="14">
        <f t="shared" si="9"/>
        <v>106</v>
      </c>
      <c r="O244" s="15" t="str">
        <f t="shared" si="10"/>
        <v>RK106</v>
      </c>
      <c r="P244" t="s">
        <v>147</v>
      </c>
      <c r="Q244" t="s">
        <v>105</v>
      </c>
      <c r="R244" s="13" t="s">
        <v>138</v>
      </c>
      <c r="S244" s="13" t="s">
        <v>138</v>
      </c>
    </row>
    <row r="245" spans="2:19" x14ac:dyDescent="0.25">
      <c r="B245" t="str">
        <f>Raumbuch!B258</f>
        <v>Obergeschoss</v>
      </c>
      <c r="C245" t="str">
        <f>Raumbuch!D258</f>
        <v>O6</v>
      </c>
      <c r="D245" t="str">
        <f>Raumbuch!F258</f>
        <v>Ankleide</v>
      </c>
      <c r="E245" t="str">
        <f>Raumbuch!G258</f>
        <v>2.6</v>
      </c>
      <c r="F245" t="str">
        <f>Raumbuch!H258</f>
        <v>Steckdose Süd 1</v>
      </c>
      <c r="G245" t="str">
        <f>Raumbuch!I258</f>
        <v>Steckdosen</v>
      </c>
      <c r="H245" t="str">
        <f>Raumbuch!J258</f>
        <v>ohne Schaltaktor</v>
      </c>
      <c r="I245" t="str">
        <f>Raumbuch!K258</f>
        <v>230 V AC</v>
      </c>
      <c r="J245" t="str">
        <f>Raumbuch!N258</f>
        <v>SD7</v>
      </c>
      <c r="K245" t="str">
        <f>Raumbuch!O258</f>
        <v>O6.SD7</v>
      </c>
      <c r="L245" s="11">
        <v>1</v>
      </c>
      <c r="M245" s="11">
        <f t="shared" si="11"/>
        <v>107.00000000000003</v>
      </c>
      <c r="N245" s="14">
        <f t="shared" si="9"/>
        <v>107</v>
      </c>
      <c r="O245" s="15" t="str">
        <f t="shared" si="10"/>
        <v>RK107</v>
      </c>
      <c r="P245" t="s">
        <v>205</v>
      </c>
      <c r="Q245" t="s">
        <v>150</v>
      </c>
      <c r="R245" t="s">
        <v>210</v>
      </c>
      <c r="S245" t="s">
        <v>237</v>
      </c>
    </row>
    <row r="246" spans="2:19" x14ac:dyDescent="0.25">
      <c r="B246" t="str">
        <f>Raumbuch!B253</f>
        <v>Obergeschoss</v>
      </c>
      <c r="C246" t="str">
        <f>Raumbuch!D253</f>
        <v>O6</v>
      </c>
      <c r="D246" t="str">
        <f>Raumbuch!F253</f>
        <v>Ankleide</v>
      </c>
      <c r="E246" t="str">
        <f>Raumbuch!G253</f>
        <v>2.6</v>
      </c>
      <c r="F246" t="str">
        <f>Raumbuch!H253</f>
        <v>Steckdose Nord 2</v>
      </c>
      <c r="G246" t="str">
        <f>Raumbuch!I253</f>
        <v>Steckdosen</v>
      </c>
      <c r="H246" t="str">
        <f>Raumbuch!J253</f>
        <v>ohne Schaltaktor</v>
      </c>
      <c r="I246" t="str">
        <f>Raumbuch!K253</f>
        <v>230 V AC</v>
      </c>
      <c r="J246" t="str">
        <f>Raumbuch!N253</f>
        <v>SD2</v>
      </c>
      <c r="K246" t="str">
        <f>Raumbuch!O253</f>
        <v>O6.SD2</v>
      </c>
      <c r="L246" s="11">
        <v>0</v>
      </c>
      <c r="M246" s="11">
        <f t="shared" si="11"/>
        <v>107.00000000000003</v>
      </c>
      <c r="N246" s="14">
        <f t="shared" si="9"/>
        <v>107</v>
      </c>
      <c r="O246" s="15" t="str">
        <f t="shared" si="10"/>
        <v>-</v>
      </c>
      <c r="P246" t="s">
        <v>137</v>
      </c>
      <c r="Q246" s="13" t="s">
        <v>138</v>
      </c>
      <c r="R246" s="13" t="s">
        <v>138</v>
      </c>
      <c r="S246" s="13" t="s">
        <v>138</v>
      </c>
    </row>
    <row r="247" spans="2:19" x14ac:dyDescent="0.25">
      <c r="B247" t="str">
        <f>Raumbuch!B254</f>
        <v>Obergeschoss</v>
      </c>
      <c r="C247" t="str">
        <f>Raumbuch!D254</f>
        <v>O6</v>
      </c>
      <c r="D247" t="str">
        <f>Raumbuch!F254</f>
        <v>Ankleide</v>
      </c>
      <c r="E247" t="str">
        <f>Raumbuch!G254</f>
        <v>2.6</v>
      </c>
      <c r="F247" t="str">
        <f>Raumbuch!H254</f>
        <v>Steckdose Nord 3</v>
      </c>
      <c r="G247" t="str">
        <f>Raumbuch!I254</f>
        <v>Steckdosen</v>
      </c>
      <c r="H247" t="str">
        <f>Raumbuch!J254</f>
        <v>ohne Schaltaktor</v>
      </c>
      <c r="I247" t="str">
        <f>Raumbuch!K254</f>
        <v>230 V AC</v>
      </c>
      <c r="J247" t="str">
        <f>Raumbuch!N254</f>
        <v>SD3</v>
      </c>
      <c r="K247" t="str">
        <f>Raumbuch!O254</f>
        <v>O6.SD3</v>
      </c>
      <c r="L247" s="11">
        <v>0</v>
      </c>
      <c r="M247" s="11">
        <f t="shared" si="11"/>
        <v>107.00000000000003</v>
      </c>
      <c r="N247" s="14">
        <f t="shared" si="9"/>
        <v>107</v>
      </c>
      <c r="O247" s="15" t="str">
        <f t="shared" si="10"/>
        <v>-</v>
      </c>
      <c r="P247" t="s">
        <v>154</v>
      </c>
      <c r="Q247" t="s">
        <v>238</v>
      </c>
      <c r="R247" t="s">
        <v>210</v>
      </c>
      <c r="S247" t="s">
        <v>211</v>
      </c>
    </row>
    <row r="248" spans="2:19" x14ac:dyDescent="0.25">
      <c r="B248" t="str">
        <f>Raumbuch!B255</f>
        <v>Obergeschoss</v>
      </c>
      <c r="C248" t="str">
        <f>Raumbuch!D255</f>
        <v>O6</v>
      </c>
      <c r="D248" t="str">
        <f>Raumbuch!F255</f>
        <v>Ankleide</v>
      </c>
      <c r="E248" t="str">
        <f>Raumbuch!G255</f>
        <v>2.6</v>
      </c>
      <c r="F248" t="str">
        <f>Raumbuch!H255</f>
        <v>Steckdose Nord 4</v>
      </c>
      <c r="G248" t="str">
        <f>Raumbuch!I255</f>
        <v>Steckdosen</v>
      </c>
      <c r="H248" t="str">
        <f>Raumbuch!J255</f>
        <v>ohne Schaltaktor</v>
      </c>
      <c r="I248" t="str">
        <f>Raumbuch!K255</f>
        <v>230 V AC</v>
      </c>
      <c r="J248" t="str">
        <f>Raumbuch!N255</f>
        <v>SD4</v>
      </c>
      <c r="K248" t="str">
        <f>Raumbuch!O255</f>
        <v>O6.SD4</v>
      </c>
      <c r="L248" s="11">
        <v>1</v>
      </c>
      <c r="M248" s="11">
        <f t="shared" si="11"/>
        <v>108.00000000000003</v>
      </c>
      <c r="N248" s="14">
        <f t="shared" si="9"/>
        <v>108</v>
      </c>
      <c r="O248" s="15" t="str">
        <f t="shared" si="10"/>
        <v>RK108</v>
      </c>
      <c r="P248" t="s">
        <v>235</v>
      </c>
      <c r="Q248" t="s">
        <v>105</v>
      </c>
      <c r="R248" t="s">
        <v>210</v>
      </c>
      <c r="S248" t="s">
        <v>237</v>
      </c>
    </row>
    <row r="249" spans="2:19" x14ac:dyDescent="0.25">
      <c r="B249" t="str">
        <f>Raumbuch!B256</f>
        <v>Obergeschoss</v>
      </c>
      <c r="C249" t="str">
        <f>Raumbuch!D256</f>
        <v>O6</v>
      </c>
      <c r="D249" t="str">
        <f>Raumbuch!F256</f>
        <v>Ankleide</v>
      </c>
      <c r="E249" t="str">
        <f>Raumbuch!G256</f>
        <v>2.6</v>
      </c>
      <c r="F249" t="str">
        <f>Raumbuch!H256</f>
        <v>Steckdose Fenster Ost</v>
      </c>
      <c r="G249" t="str">
        <f>Raumbuch!I256</f>
        <v>Steckdosen</v>
      </c>
      <c r="H249" t="str">
        <f>Raumbuch!J256</f>
        <v>mit Schaltaktor</v>
      </c>
      <c r="I249" t="str">
        <f>Raumbuch!K256</f>
        <v>230 V AC</v>
      </c>
      <c r="J249" t="str">
        <f>Raumbuch!N256</f>
        <v>SD5</v>
      </c>
      <c r="K249" t="str">
        <f>Raumbuch!O256</f>
        <v>O6.SD5</v>
      </c>
      <c r="L249" s="11">
        <v>0.5</v>
      </c>
      <c r="M249" s="11">
        <f t="shared" si="11"/>
        <v>108.50000000000003</v>
      </c>
      <c r="N249" s="14">
        <f t="shared" si="9"/>
        <v>109</v>
      </c>
      <c r="O249" s="15" t="str">
        <f t="shared" si="10"/>
        <v>RK109</v>
      </c>
      <c r="P249" t="s">
        <v>138</v>
      </c>
      <c r="Q249" s="13" t="s">
        <v>138</v>
      </c>
      <c r="R249" t="s">
        <v>210</v>
      </c>
      <c r="S249" t="s">
        <v>237</v>
      </c>
    </row>
    <row r="250" spans="2:19" x14ac:dyDescent="0.25">
      <c r="B250" t="str">
        <f>Raumbuch!B257</f>
        <v>Obergeschoss</v>
      </c>
      <c r="C250" t="str">
        <f>Raumbuch!D257</f>
        <v>O6</v>
      </c>
      <c r="D250" t="str">
        <f>Raumbuch!F257</f>
        <v>Ankleide</v>
      </c>
      <c r="E250" t="str">
        <f>Raumbuch!G257</f>
        <v>2.6</v>
      </c>
      <c r="F250" t="str">
        <f>Raumbuch!H257</f>
        <v>Steckdose Ost (Orientierungslicht)</v>
      </c>
      <c r="G250" t="str">
        <f>Raumbuch!I257</f>
        <v>Steckdosen</v>
      </c>
      <c r="H250" t="str">
        <f>Raumbuch!J257</f>
        <v>ohne Schaltaktor</v>
      </c>
      <c r="I250" t="str">
        <f>Raumbuch!K257</f>
        <v>230 V AC</v>
      </c>
      <c r="J250" t="str">
        <f>Raumbuch!N257</f>
        <v>SD6</v>
      </c>
      <c r="K250" t="str">
        <f>Raumbuch!O257</f>
        <v>O6.SD6</v>
      </c>
      <c r="L250" s="11">
        <v>0.5</v>
      </c>
      <c r="M250" s="11">
        <f t="shared" si="11"/>
        <v>109.00000000000003</v>
      </c>
      <c r="N250" s="14">
        <f t="shared" si="9"/>
        <v>109</v>
      </c>
      <c r="O250" s="15" t="str">
        <f t="shared" si="10"/>
        <v>RK109</v>
      </c>
      <c r="P250" t="s">
        <v>138</v>
      </c>
      <c r="Q250" s="13" t="s">
        <v>138</v>
      </c>
      <c r="R250" t="s">
        <v>210</v>
      </c>
      <c r="S250" t="s">
        <v>237</v>
      </c>
    </row>
    <row r="251" spans="2:19" x14ac:dyDescent="0.25">
      <c r="B251" t="str">
        <f>Raumbuch!B259</f>
        <v>Obergeschoss</v>
      </c>
      <c r="C251" t="str">
        <f>Raumbuch!D259</f>
        <v>O6</v>
      </c>
      <c r="D251" t="str">
        <f>Raumbuch!F259</f>
        <v>Ankleide</v>
      </c>
      <c r="E251" t="str">
        <f>Raumbuch!G259</f>
        <v>2.6</v>
      </c>
      <c r="F251" t="str">
        <f>Raumbuch!H259</f>
        <v>Steckdose Süd 2</v>
      </c>
      <c r="G251" t="str">
        <f>Raumbuch!I259</f>
        <v>Steckdosen</v>
      </c>
      <c r="H251" t="str">
        <f>Raumbuch!J259</f>
        <v>ohne Schaltaktor</v>
      </c>
      <c r="I251" t="str">
        <f>Raumbuch!K259</f>
        <v>230 V AC</v>
      </c>
      <c r="J251" t="str">
        <f>Raumbuch!N259</f>
        <v>SD8</v>
      </c>
      <c r="K251" t="str">
        <f>Raumbuch!O259</f>
        <v>O6.SD8</v>
      </c>
      <c r="L251" s="11">
        <v>1</v>
      </c>
      <c r="M251" s="11">
        <f t="shared" si="11"/>
        <v>110.00000000000003</v>
      </c>
      <c r="N251" s="14">
        <f t="shared" si="9"/>
        <v>110</v>
      </c>
      <c r="O251" s="15" t="str">
        <f t="shared" si="10"/>
        <v>RK110</v>
      </c>
      <c r="P251" t="s">
        <v>147</v>
      </c>
      <c r="Q251" t="s">
        <v>178</v>
      </c>
      <c r="R251" t="s">
        <v>210</v>
      </c>
      <c r="S251" t="s">
        <v>239</v>
      </c>
    </row>
    <row r="252" spans="2:19" x14ac:dyDescent="0.25">
      <c r="B252">
        <f>Raumbuch!B401</f>
        <v>0</v>
      </c>
      <c r="C252">
        <f>Raumbuch!D401</f>
        <v>0</v>
      </c>
      <c r="D252">
        <f>Raumbuch!F401</f>
        <v>0</v>
      </c>
      <c r="E252">
        <f>Raumbuch!G401</f>
        <v>0</v>
      </c>
      <c r="F252">
        <f>Raumbuch!H401</f>
        <v>0</v>
      </c>
      <c r="G252">
        <f>Raumbuch!I401</f>
        <v>0</v>
      </c>
      <c r="H252">
        <f>Raumbuch!J401</f>
        <v>0</v>
      </c>
      <c r="I252">
        <f>Raumbuch!K401</f>
        <v>0</v>
      </c>
      <c r="J252">
        <f>Raumbuch!N401</f>
        <v>0</v>
      </c>
      <c r="K252">
        <f>Raumbuch!O401</f>
        <v>0</v>
      </c>
      <c r="L252" s="11">
        <v>1</v>
      </c>
      <c r="M252" s="11">
        <f t="shared" si="11"/>
        <v>111.00000000000003</v>
      </c>
      <c r="N252" s="14">
        <f t="shared" si="9"/>
        <v>111</v>
      </c>
      <c r="O252" s="15" t="str">
        <f t="shared" si="10"/>
        <v>RK111</v>
      </c>
      <c r="P252" t="s">
        <v>205</v>
      </c>
      <c r="Q252" t="s">
        <v>152</v>
      </c>
      <c r="R252" s="13" t="s">
        <v>138</v>
      </c>
      <c r="S252" s="13" t="s">
        <v>138</v>
      </c>
    </row>
    <row r="253" spans="2:19" x14ac:dyDescent="0.25">
      <c r="B253">
        <f>Raumbuch!B402</f>
        <v>0</v>
      </c>
      <c r="C253">
        <f>Raumbuch!D402</f>
        <v>0</v>
      </c>
      <c r="D253">
        <f>Raumbuch!F402</f>
        <v>0</v>
      </c>
      <c r="E253">
        <f>Raumbuch!G402</f>
        <v>0</v>
      </c>
      <c r="F253">
        <f>Raumbuch!H402</f>
        <v>0</v>
      </c>
      <c r="G253">
        <f>Raumbuch!I402</f>
        <v>0</v>
      </c>
      <c r="H253">
        <f>Raumbuch!J402</f>
        <v>0</v>
      </c>
      <c r="I253">
        <f>Raumbuch!K402</f>
        <v>0</v>
      </c>
      <c r="J253">
        <f>Raumbuch!N402</f>
        <v>0</v>
      </c>
      <c r="K253">
        <f>Raumbuch!O402</f>
        <v>0</v>
      </c>
      <c r="L253" s="11">
        <v>1</v>
      </c>
      <c r="M253" s="11">
        <f t="shared" si="11"/>
        <v>112.00000000000003</v>
      </c>
      <c r="N253" s="14">
        <f t="shared" si="9"/>
        <v>112</v>
      </c>
      <c r="O253" s="15" t="str">
        <f t="shared" si="10"/>
        <v>RK112</v>
      </c>
      <c r="P253" t="s">
        <v>205</v>
      </c>
      <c r="Q253" t="s">
        <v>156</v>
      </c>
      <c r="R253" s="13" t="s">
        <v>138</v>
      </c>
      <c r="S253" s="13" t="s">
        <v>138</v>
      </c>
    </row>
    <row r="254" spans="2:19" x14ac:dyDescent="0.25">
      <c r="B254">
        <f>Raumbuch!B403</f>
        <v>0</v>
      </c>
      <c r="C254">
        <f>Raumbuch!D403</f>
        <v>0</v>
      </c>
      <c r="D254">
        <f>Raumbuch!F403</f>
        <v>0</v>
      </c>
      <c r="E254">
        <f>Raumbuch!G403</f>
        <v>0</v>
      </c>
      <c r="F254">
        <f>Raumbuch!H403</f>
        <v>0</v>
      </c>
      <c r="G254">
        <f>Raumbuch!I403</f>
        <v>0</v>
      </c>
      <c r="H254">
        <f>Raumbuch!J403</f>
        <v>0</v>
      </c>
      <c r="I254">
        <f>Raumbuch!K403</f>
        <v>0</v>
      </c>
      <c r="J254">
        <f>Raumbuch!N403</f>
        <v>0</v>
      </c>
      <c r="K254">
        <f>Raumbuch!O403</f>
        <v>0</v>
      </c>
      <c r="L254" s="11">
        <v>1</v>
      </c>
      <c r="M254" s="11">
        <f t="shared" si="11"/>
        <v>113.00000000000003</v>
      </c>
      <c r="N254" s="14">
        <f t="shared" si="9"/>
        <v>113</v>
      </c>
      <c r="O254" s="15" t="str">
        <f t="shared" si="10"/>
        <v>RK113</v>
      </c>
      <c r="P254" t="s">
        <v>205</v>
      </c>
      <c r="Q254" t="s">
        <v>168</v>
      </c>
      <c r="R254" s="13" t="s">
        <v>138</v>
      </c>
      <c r="S254" s="13" t="s">
        <v>138</v>
      </c>
    </row>
    <row r="255" spans="2:19" x14ac:dyDescent="0.25">
      <c r="B255" t="str">
        <f>Raumbuch!B266</f>
        <v>Erdgeschoss</v>
      </c>
      <c r="C255" t="str">
        <f>Raumbuch!D266</f>
        <v>E6</v>
      </c>
      <c r="D255" t="str">
        <f>Raumbuch!F266</f>
        <v>Wohnzimmer</v>
      </c>
      <c r="E255" t="str">
        <f>Raumbuch!G266</f>
        <v>1.6</v>
      </c>
      <c r="F255" t="str">
        <f>Raumbuch!H266</f>
        <v>LED Stripe TV Wand</v>
      </c>
      <c r="G255" t="str">
        <f>Raumbuch!I266</f>
        <v>Beleuchtung</v>
      </c>
      <c r="H255" t="str">
        <f>Raumbuch!J266</f>
        <v>dimmbar</v>
      </c>
      <c r="I255" t="str">
        <f>Raumbuch!K266</f>
        <v>DALI</v>
      </c>
      <c r="J255" t="str">
        <f>Raumbuch!N266</f>
        <v>BL3</v>
      </c>
      <c r="K255" t="str">
        <f>Raumbuch!O266</f>
        <v>E6.BL3</v>
      </c>
      <c r="L255" s="11">
        <v>0.5</v>
      </c>
      <c r="M255" s="11">
        <f t="shared" si="11"/>
        <v>113.50000000000003</v>
      </c>
      <c r="N255" s="14">
        <f t="shared" si="9"/>
        <v>114</v>
      </c>
      <c r="O255" s="15" t="str">
        <f t="shared" si="10"/>
        <v>RK114</v>
      </c>
      <c r="P255" t="s">
        <v>145</v>
      </c>
      <c r="Q255" t="s">
        <v>209</v>
      </c>
      <c r="R255" s="13" t="s">
        <v>138</v>
      </c>
      <c r="S255" s="13" t="s">
        <v>138</v>
      </c>
    </row>
    <row r="256" spans="2:19" x14ac:dyDescent="0.25">
      <c r="B256" t="str">
        <f>Raumbuch!B267</f>
        <v>Erdgeschoss</v>
      </c>
      <c r="C256" t="str">
        <f>Raumbuch!D267</f>
        <v>E6</v>
      </c>
      <c r="D256" t="str">
        <f>Raumbuch!F267</f>
        <v>Wohnzimmer</v>
      </c>
      <c r="E256" t="str">
        <f>Raumbuch!G267</f>
        <v>1.6</v>
      </c>
      <c r="F256" t="str">
        <f>Raumbuch!H267</f>
        <v>LED Stripe Sitzfenster</v>
      </c>
      <c r="G256" t="str">
        <f>Raumbuch!I267</f>
        <v>Beleuchtung</v>
      </c>
      <c r="H256" t="str">
        <f>Raumbuch!J267</f>
        <v>dimmbar</v>
      </c>
      <c r="I256" t="str">
        <f>Raumbuch!K267</f>
        <v>DALI</v>
      </c>
      <c r="J256" t="str">
        <f>Raumbuch!N267</f>
        <v>BL4</v>
      </c>
      <c r="K256" t="str">
        <f>Raumbuch!O267</f>
        <v>E6.BL4</v>
      </c>
      <c r="L256" s="11">
        <v>0.5</v>
      </c>
      <c r="M256" s="11">
        <f t="shared" si="11"/>
        <v>114.00000000000003</v>
      </c>
      <c r="N256" s="14">
        <f t="shared" si="9"/>
        <v>114</v>
      </c>
      <c r="O256" s="15" t="str">
        <f t="shared" si="10"/>
        <v>RK114</v>
      </c>
      <c r="P256" t="s">
        <v>145</v>
      </c>
      <c r="Q256" t="s">
        <v>209</v>
      </c>
      <c r="R256" s="13" t="s">
        <v>138</v>
      </c>
      <c r="S256" s="13" t="s">
        <v>138</v>
      </c>
    </row>
    <row r="257" spans="2:19" x14ac:dyDescent="0.25">
      <c r="B257" t="str">
        <f>Raumbuch!B260</f>
        <v>Obergeschoss</v>
      </c>
      <c r="C257" t="str">
        <f>Raumbuch!D260</f>
        <v>O6</v>
      </c>
      <c r="D257" t="str">
        <f>Raumbuch!F260</f>
        <v>Ankleide</v>
      </c>
      <c r="E257" t="str">
        <f>Raumbuch!G260</f>
        <v>2.6</v>
      </c>
      <c r="F257" t="str">
        <f>Raumbuch!H260</f>
        <v>DALI EVG Decken Stripe</v>
      </c>
      <c r="G257" t="str">
        <f>Raumbuch!I260</f>
        <v>Zentral</v>
      </c>
      <c r="H257" t="str">
        <f>Raumbuch!J260</f>
        <v>DALI DT8 EVG</v>
      </c>
      <c r="I257" t="str">
        <f>Raumbuch!K260</f>
        <v>24 V DC</v>
      </c>
      <c r="J257" t="str">
        <f>Raumbuch!N260</f>
        <v>DA1</v>
      </c>
      <c r="K257" t="str">
        <f>Raumbuch!O260</f>
        <v>O6.DA1</v>
      </c>
      <c r="L257" s="11">
        <v>0</v>
      </c>
      <c r="M257" s="11">
        <f t="shared" si="11"/>
        <v>114.00000000000003</v>
      </c>
      <c r="N257" s="14">
        <f t="shared" si="9"/>
        <v>114</v>
      </c>
      <c r="O257" s="15" t="str">
        <f t="shared" si="10"/>
        <v>-</v>
      </c>
      <c r="P257" t="s">
        <v>137</v>
      </c>
      <c r="Q257" s="13" t="s">
        <v>138</v>
      </c>
      <c r="R257" t="s">
        <v>210</v>
      </c>
      <c r="S257" t="s">
        <v>239</v>
      </c>
    </row>
    <row r="258" spans="2:19" x14ac:dyDescent="0.25">
      <c r="B258" t="str">
        <f>Raumbuch!B261</f>
        <v>Obergeschoss</v>
      </c>
      <c r="C258" t="str">
        <f>Raumbuch!D261</f>
        <v>O6</v>
      </c>
      <c r="D258" t="str">
        <f>Raumbuch!F261</f>
        <v>Ankleide</v>
      </c>
      <c r="E258" t="str">
        <f>Raumbuch!G261</f>
        <v>2.6</v>
      </c>
      <c r="F258" t="str">
        <f>Raumbuch!H261</f>
        <v>DALI EVG Schrankbeleuchtung</v>
      </c>
      <c r="G258" t="str">
        <f>Raumbuch!I261</f>
        <v>Zentral</v>
      </c>
      <c r="H258" t="str">
        <f>Raumbuch!J261</f>
        <v>DALI DT6 EVG</v>
      </c>
      <c r="I258" t="str">
        <f>Raumbuch!K261</f>
        <v>24 V DC</v>
      </c>
      <c r="J258" t="str">
        <f>Raumbuch!N261</f>
        <v>DA2</v>
      </c>
      <c r="K258" t="str">
        <f>Raumbuch!O261</f>
        <v>O6.DA2</v>
      </c>
      <c r="L258" s="11">
        <v>0</v>
      </c>
      <c r="M258" s="11">
        <f t="shared" si="11"/>
        <v>114.00000000000003</v>
      </c>
      <c r="N258" s="14">
        <f t="shared" si="9"/>
        <v>114</v>
      </c>
      <c r="O258" s="15" t="str">
        <f t="shared" si="10"/>
        <v>-</v>
      </c>
      <c r="P258" t="s">
        <v>137</v>
      </c>
      <c r="Q258" s="13" t="s">
        <v>138</v>
      </c>
      <c r="R258" t="s">
        <v>210</v>
      </c>
      <c r="S258" t="s">
        <v>239</v>
      </c>
    </row>
    <row r="259" spans="2:19" x14ac:dyDescent="0.25">
      <c r="B259" t="str">
        <f>Raumbuch!B262</f>
        <v>Erdgeschoss</v>
      </c>
      <c r="C259" t="str">
        <f>Raumbuch!D262</f>
        <v>E6</v>
      </c>
      <c r="D259" t="str">
        <f>Raumbuch!F262</f>
        <v>Wohnzimmer</v>
      </c>
      <c r="E259" t="str">
        <f>Raumbuch!G262</f>
        <v>1.6</v>
      </c>
      <c r="F259" t="str">
        <f>Raumbuch!H262</f>
        <v>Deckenlautsprecher 1</v>
      </c>
      <c r="G259" t="str">
        <f>Raumbuch!I262</f>
        <v>Audio</v>
      </c>
      <c r="H259">
        <f>Raumbuch!J262</f>
        <v>0</v>
      </c>
      <c r="I259" t="str">
        <f>Raumbuch!K262</f>
        <v>DIGITAL (potentialfrei)</v>
      </c>
      <c r="J259" t="str">
        <f>Raumbuch!N262</f>
        <v>DL1</v>
      </c>
      <c r="K259" t="str">
        <f>Raumbuch!O262</f>
        <v>E6.DL1</v>
      </c>
      <c r="L259" s="11">
        <v>0</v>
      </c>
      <c r="M259" s="11">
        <f t="shared" si="11"/>
        <v>114.00000000000003</v>
      </c>
      <c r="N259" s="14">
        <f t="shared" si="9"/>
        <v>114</v>
      </c>
      <c r="O259" s="15" t="str">
        <f t="shared" si="10"/>
        <v>-</v>
      </c>
      <c r="P259" t="s">
        <v>137</v>
      </c>
      <c r="Q259" s="13" t="s">
        <v>138</v>
      </c>
      <c r="R259" t="s">
        <v>210</v>
      </c>
      <c r="S259" t="s">
        <v>213</v>
      </c>
    </row>
    <row r="260" spans="2:19" x14ac:dyDescent="0.25">
      <c r="B260" t="str">
        <f>Raumbuch!B263</f>
        <v>Erdgeschoss</v>
      </c>
      <c r="C260" t="str">
        <f>Raumbuch!D263</f>
        <v>E6</v>
      </c>
      <c r="D260" t="str">
        <f>Raumbuch!F263</f>
        <v>Wohnzimmer</v>
      </c>
      <c r="E260" t="str">
        <f>Raumbuch!G263</f>
        <v>1.6</v>
      </c>
      <c r="F260" t="str">
        <f>Raumbuch!H263</f>
        <v>Deckenlautsprecher 2</v>
      </c>
      <c r="G260" t="str">
        <f>Raumbuch!I263</f>
        <v>Audio</v>
      </c>
      <c r="H260">
        <f>Raumbuch!J263</f>
        <v>0</v>
      </c>
      <c r="I260" t="str">
        <f>Raumbuch!K263</f>
        <v>DIGITAL (potentialfrei)</v>
      </c>
      <c r="J260" t="str">
        <f>Raumbuch!N263</f>
        <v>DL2</v>
      </c>
      <c r="K260" t="str">
        <f>Raumbuch!O263</f>
        <v>E6.DL2</v>
      </c>
      <c r="L260" s="11">
        <v>0</v>
      </c>
      <c r="M260" s="11">
        <f t="shared" si="11"/>
        <v>114.00000000000003</v>
      </c>
      <c r="N260" s="14">
        <f t="shared" ref="N260:N269" si="12">ROUNDUP(M260,0)</f>
        <v>114</v>
      </c>
      <c r="O260" s="15" t="str">
        <f t="shared" ref="O260:O269" si="13">IF(L260&gt;0,"RK"&amp;N260,"-")</f>
        <v>-</v>
      </c>
      <c r="P260" t="s">
        <v>154</v>
      </c>
      <c r="Q260" t="s">
        <v>240</v>
      </c>
      <c r="R260" t="s">
        <v>210</v>
      </c>
      <c r="S260" t="s">
        <v>213</v>
      </c>
    </row>
    <row r="261" spans="2:19" x14ac:dyDescent="0.25">
      <c r="B261" t="str">
        <f>Raumbuch!B264</f>
        <v>Erdgeschoss</v>
      </c>
      <c r="C261" t="str">
        <f>Raumbuch!D264</f>
        <v>E6</v>
      </c>
      <c r="D261" t="str">
        <f>Raumbuch!F264</f>
        <v>Wohnzimmer</v>
      </c>
      <c r="E261" t="str">
        <f>Raumbuch!G264</f>
        <v>1.6</v>
      </c>
      <c r="F261" t="str">
        <f>Raumbuch!H264</f>
        <v>Spots n</v>
      </c>
      <c r="G261" t="str">
        <f>Raumbuch!I264</f>
        <v>Beleuchtung</v>
      </c>
      <c r="H261" t="str">
        <f>Raumbuch!J264</f>
        <v>tunable white</v>
      </c>
      <c r="I261" t="str">
        <f>Raumbuch!K264</f>
        <v>DALI</v>
      </c>
      <c r="J261" t="str">
        <f>Raumbuch!N264</f>
        <v>BL1</v>
      </c>
      <c r="K261" t="str">
        <f>Raumbuch!O264</f>
        <v>E6.BL1</v>
      </c>
      <c r="L261" s="11">
        <v>0</v>
      </c>
      <c r="M261" s="11">
        <f t="shared" ref="M261:M269" si="14">M260+L261</f>
        <v>114.00000000000003</v>
      </c>
      <c r="N261" s="14">
        <f t="shared" si="12"/>
        <v>114</v>
      </c>
      <c r="O261" s="15" t="str">
        <f t="shared" si="13"/>
        <v>-</v>
      </c>
      <c r="P261" t="s">
        <v>154</v>
      </c>
      <c r="Q261" t="s">
        <v>241</v>
      </c>
      <c r="R261" t="s">
        <v>210</v>
      </c>
      <c r="S261" t="s">
        <v>216</v>
      </c>
    </row>
    <row r="262" spans="2:19" x14ac:dyDescent="0.25">
      <c r="B262" t="str">
        <f>Raumbuch!B265</f>
        <v>Erdgeschoss</v>
      </c>
      <c r="C262" t="str">
        <f>Raumbuch!D265</f>
        <v>E6</v>
      </c>
      <c r="D262" t="str">
        <f>Raumbuch!F265</f>
        <v>Wohnzimmer</v>
      </c>
      <c r="E262" t="str">
        <f>Raumbuch!G265</f>
        <v>1.6</v>
      </c>
      <c r="F262" t="str">
        <f>Raumbuch!H265</f>
        <v>LED Stripe Ambiente</v>
      </c>
      <c r="G262" t="str">
        <f>Raumbuch!I265</f>
        <v>Beleuchtung</v>
      </c>
      <c r="H262" t="str">
        <f>Raumbuch!J265</f>
        <v>dimmbar</v>
      </c>
      <c r="I262" t="str">
        <f>Raumbuch!K265</f>
        <v>DALI</v>
      </c>
      <c r="J262" t="str">
        <f>Raumbuch!N265</f>
        <v>BL2</v>
      </c>
      <c r="K262" t="str">
        <f>Raumbuch!O265</f>
        <v>E6.BL2</v>
      </c>
      <c r="L262" s="11">
        <v>1</v>
      </c>
      <c r="M262" s="11">
        <f t="shared" si="14"/>
        <v>115.00000000000003</v>
      </c>
      <c r="N262" s="14">
        <f t="shared" si="12"/>
        <v>115</v>
      </c>
      <c r="O262" s="15" t="str">
        <f t="shared" si="13"/>
        <v>RK115</v>
      </c>
      <c r="P262" t="s">
        <v>235</v>
      </c>
      <c r="Q262" t="s">
        <v>178</v>
      </c>
      <c r="R262" s="13" t="s">
        <v>138</v>
      </c>
      <c r="S262" s="13" t="s">
        <v>138</v>
      </c>
    </row>
    <row r="263" spans="2:19" x14ac:dyDescent="0.25">
      <c r="B263" t="str">
        <f>Raumbuch!B268</f>
        <v>Erdgeschoss</v>
      </c>
      <c r="C263" t="str">
        <f>Raumbuch!D268</f>
        <v>E6</v>
      </c>
      <c r="D263" t="str">
        <f>Raumbuch!F268</f>
        <v>Wohnzimmer</v>
      </c>
      <c r="E263" t="str">
        <f>Raumbuch!G268</f>
        <v>1.6</v>
      </c>
      <c r="F263" t="str">
        <f>Raumbuch!H268</f>
        <v>Anschluss Rolladen Ost</v>
      </c>
      <c r="G263" t="str">
        <f>Raumbuch!I268</f>
        <v>Beschattung</v>
      </c>
      <c r="H263" t="str">
        <f>Raumbuch!J268</f>
        <v>Raffstore</v>
      </c>
      <c r="I263" t="str">
        <f>Raumbuch!K268</f>
        <v>230 V AC - Beschattung</v>
      </c>
      <c r="J263" t="str">
        <f>Raumbuch!N268</f>
        <v>RS1</v>
      </c>
      <c r="K263" t="str">
        <f>Raumbuch!O268</f>
        <v>E6.RS1</v>
      </c>
      <c r="L263" s="11">
        <v>0.2</v>
      </c>
      <c r="M263" s="11">
        <f t="shared" si="14"/>
        <v>115.20000000000003</v>
      </c>
      <c r="N263" s="14">
        <f t="shared" si="12"/>
        <v>116</v>
      </c>
      <c r="O263" s="15" t="str">
        <f t="shared" si="13"/>
        <v>RK116</v>
      </c>
      <c r="P263" t="s">
        <v>138</v>
      </c>
      <c r="Q263" s="13" t="s">
        <v>138</v>
      </c>
      <c r="R263" t="s">
        <v>221</v>
      </c>
      <c r="S263" t="s">
        <v>232</v>
      </c>
    </row>
    <row r="264" spans="2:19" x14ac:dyDescent="0.25">
      <c r="B264">
        <f>Raumbuch!B397</f>
        <v>0</v>
      </c>
      <c r="C264">
        <f>Raumbuch!D397</f>
        <v>0</v>
      </c>
      <c r="D264">
        <f>Raumbuch!F397</f>
        <v>0</v>
      </c>
      <c r="E264">
        <f>Raumbuch!G397</f>
        <v>0</v>
      </c>
      <c r="F264">
        <f>Raumbuch!H397</f>
        <v>0</v>
      </c>
      <c r="G264">
        <f>Raumbuch!I397</f>
        <v>0</v>
      </c>
      <c r="H264">
        <f>Raumbuch!J397</f>
        <v>0</v>
      </c>
      <c r="I264">
        <f>Raumbuch!K397</f>
        <v>0</v>
      </c>
      <c r="J264">
        <f>Raumbuch!N397</f>
        <v>0</v>
      </c>
      <c r="K264">
        <f>Raumbuch!O397</f>
        <v>0</v>
      </c>
      <c r="L264" s="11">
        <v>0.2</v>
      </c>
      <c r="M264" s="11">
        <f t="shared" si="14"/>
        <v>115.40000000000003</v>
      </c>
      <c r="N264" s="14">
        <f t="shared" si="12"/>
        <v>116</v>
      </c>
      <c r="O264" s="15" t="str">
        <f t="shared" si="13"/>
        <v>RK116</v>
      </c>
      <c r="P264" t="s">
        <v>138</v>
      </c>
      <c r="Q264" s="13" t="s">
        <v>138</v>
      </c>
      <c r="R264" t="s">
        <v>221</v>
      </c>
      <c r="S264" t="s">
        <v>242</v>
      </c>
    </row>
    <row r="265" spans="2:19" x14ac:dyDescent="0.25">
      <c r="B265">
        <f>Raumbuch!B398</f>
        <v>0</v>
      </c>
      <c r="C265">
        <f>Raumbuch!D398</f>
        <v>0</v>
      </c>
      <c r="D265">
        <f>Raumbuch!F398</f>
        <v>0</v>
      </c>
      <c r="E265">
        <f>Raumbuch!G398</f>
        <v>0</v>
      </c>
      <c r="F265">
        <f>Raumbuch!H398</f>
        <v>0</v>
      </c>
      <c r="G265">
        <f>Raumbuch!I398</f>
        <v>0</v>
      </c>
      <c r="H265">
        <f>Raumbuch!J398</f>
        <v>0</v>
      </c>
      <c r="I265">
        <f>Raumbuch!K398</f>
        <v>0</v>
      </c>
      <c r="J265">
        <f>Raumbuch!N398</f>
        <v>0</v>
      </c>
      <c r="K265">
        <f>Raumbuch!O398</f>
        <v>0</v>
      </c>
      <c r="L265" s="11">
        <v>0.2</v>
      </c>
      <c r="M265" s="11">
        <f t="shared" si="14"/>
        <v>115.60000000000004</v>
      </c>
      <c r="N265" s="14">
        <f t="shared" si="12"/>
        <v>116</v>
      </c>
      <c r="O265" s="15" t="str">
        <f t="shared" si="13"/>
        <v>RK116</v>
      </c>
      <c r="P265" t="s">
        <v>138</v>
      </c>
      <c r="Q265" s="13" t="s">
        <v>138</v>
      </c>
      <c r="R265" t="s">
        <v>221</v>
      </c>
      <c r="S265" t="s">
        <v>233</v>
      </c>
    </row>
    <row r="266" spans="2:19" x14ac:dyDescent="0.25">
      <c r="B266">
        <f>Raumbuch!B399</f>
        <v>0</v>
      </c>
      <c r="C266">
        <f>Raumbuch!D399</f>
        <v>0</v>
      </c>
      <c r="D266">
        <f>Raumbuch!F399</f>
        <v>0</v>
      </c>
      <c r="E266">
        <f>Raumbuch!G399</f>
        <v>0</v>
      </c>
      <c r="F266">
        <f>Raumbuch!H399</f>
        <v>0</v>
      </c>
      <c r="G266">
        <f>Raumbuch!I399</f>
        <v>0</v>
      </c>
      <c r="H266">
        <f>Raumbuch!J399</f>
        <v>0</v>
      </c>
      <c r="I266">
        <f>Raumbuch!K399</f>
        <v>0</v>
      </c>
      <c r="J266">
        <f>Raumbuch!N399</f>
        <v>0</v>
      </c>
      <c r="K266">
        <f>Raumbuch!O399</f>
        <v>0</v>
      </c>
      <c r="L266" s="11">
        <v>0.2</v>
      </c>
      <c r="M266" s="11">
        <f t="shared" si="14"/>
        <v>115.80000000000004</v>
      </c>
      <c r="N266" s="14">
        <f t="shared" si="12"/>
        <v>116</v>
      </c>
      <c r="O266" s="15" t="str">
        <f t="shared" si="13"/>
        <v>RK116</v>
      </c>
      <c r="P266" t="s">
        <v>138</v>
      </c>
      <c r="Q266" s="13" t="s">
        <v>138</v>
      </c>
      <c r="R266" t="s">
        <v>221</v>
      </c>
      <c r="S266" t="s">
        <v>242</v>
      </c>
    </row>
    <row r="267" spans="2:19" x14ac:dyDescent="0.25">
      <c r="B267">
        <f>Raumbuch!B400</f>
        <v>0</v>
      </c>
      <c r="C267">
        <f>Raumbuch!D400</f>
        <v>0</v>
      </c>
      <c r="D267">
        <f>Raumbuch!F400</f>
        <v>0</v>
      </c>
      <c r="E267">
        <f>Raumbuch!G400</f>
        <v>0</v>
      </c>
      <c r="F267">
        <f>Raumbuch!H400</f>
        <v>0</v>
      </c>
      <c r="G267">
        <f>Raumbuch!I400</f>
        <v>0</v>
      </c>
      <c r="H267">
        <f>Raumbuch!J400</f>
        <v>0</v>
      </c>
      <c r="I267">
        <f>Raumbuch!K400</f>
        <v>0</v>
      </c>
      <c r="J267">
        <f>Raumbuch!N400</f>
        <v>0</v>
      </c>
      <c r="K267">
        <f>Raumbuch!O400</f>
        <v>0</v>
      </c>
      <c r="L267" s="11">
        <v>0.2</v>
      </c>
      <c r="M267" s="11">
        <f t="shared" si="14"/>
        <v>116.00000000000004</v>
      </c>
      <c r="N267" s="14">
        <f t="shared" si="12"/>
        <v>116</v>
      </c>
      <c r="O267" s="15" t="str">
        <f t="shared" si="13"/>
        <v>RK116</v>
      </c>
      <c r="P267" t="s">
        <v>138</v>
      </c>
      <c r="Q267" s="13" t="s">
        <v>138</v>
      </c>
      <c r="R267" t="s">
        <v>221</v>
      </c>
      <c r="S267" t="s">
        <v>230</v>
      </c>
    </row>
    <row r="268" spans="2:19" x14ac:dyDescent="0.25">
      <c r="B268">
        <f>Raumbuch!B404</f>
        <v>0</v>
      </c>
      <c r="C268">
        <f>Raumbuch!D404</f>
        <v>0</v>
      </c>
      <c r="D268">
        <f>Raumbuch!F404</f>
        <v>0</v>
      </c>
      <c r="E268">
        <f>Raumbuch!G404</f>
        <v>0</v>
      </c>
      <c r="F268">
        <f>Raumbuch!H404</f>
        <v>0</v>
      </c>
      <c r="G268">
        <f>Raumbuch!I404</f>
        <v>0</v>
      </c>
      <c r="H268">
        <f>Raumbuch!J404</f>
        <v>0</v>
      </c>
      <c r="I268">
        <f>Raumbuch!K404</f>
        <v>0</v>
      </c>
      <c r="J268">
        <f>Raumbuch!N404</f>
        <v>0</v>
      </c>
      <c r="K268">
        <f>Raumbuch!O404</f>
        <v>0</v>
      </c>
      <c r="L268" s="11">
        <v>1</v>
      </c>
      <c r="M268" s="11">
        <f t="shared" si="14"/>
        <v>117.00000000000004</v>
      </c>
      <c r="N268" s="14">
        <f t="shared" si="12"/>
        <v>117</v>
      </c>
      <c r="O268" s="15" t="str">
        <f t="shared" si="13"/>
        <v>RK117</v>
      </c>
      <c r="P268" t="s">
        <v>147</v>
      </c>
      <c r="Q268" t="s">
        <v>187</v>
      </c>
      <c r="R268" s="13" t="s">
        <v>138</v>
      </c>
      <c r="S268" s="13" t="s">
        <v>138</v>
      </c>
    </row>
    <row r="269" spans="2:19" x14ac:dyDescent="0.25">
      <c r="B269">
        <f>Raumbuch!B405</f>
        <v>0</v>
      </c>
      <c r="C269">
        <f>Raumbuch!D405</f>
        <v>0</v>
      </c>
      <c r="D269">
        <f>Raumbuch!F405</f>
        <v>0</v>
      </c>
      <c r="E269">
        <f>Raumbuch!G405</f>
        <v>0</v>
      </c>
      <c r="F269">
        <f>Raumbuch!H405</f>
        <v>0</v>
      </c>
      <c r="G269">
        <f>Raumbuch!I405</f>
        <v>0</v>
      </c>
      <c r="H269">
        <f>Raumbuch!J405</f>
        <v>0</v>
      </c>
      <c r="I269">
        <f>Raumbuch!K405</f>
        <v>0</v>
      </c>
      <c r="J269">
        <f>Raumbuch!N405</f>
        <v>0</v>
      </c>
      <c r="K269">
        <f>Raumbuch!O405</f>
        <v>0</v>
      </c>
      <c r="L269" s="11">
        <v>1</v>
      </c>
      <c r="M269" s="11">
        <f t="shared" si="14"/>
        <v>118.00000000000004</v>
      </c>
      <c r="N269" s="14">
        <f t="shared" si="12"/>
        <v>118</v>
      </c>
      <c r="O269" s="15" t="str">
        <f t="shared" si="13"/>
        <v>RK118</v>
      </c>
      <c r="P269" t="s">
        <v>147</v>
      </c>
      <c r="Q269" t="s">
        <v>191</v>
      </c>
      <c r="R269" s="13" t="s">
        <v>138</v>
      </c>
      <c r="S269" s="13" t="s">
        <v>138</v>
      </c>
    </row>
    <row r="270" spans="2:19" x14ac:dyDescent="0.25">
      <c r="L270" s="11">
        <f>SUBTOTAL(109,Tabelle6[Anzahl Reihenklemme])</f>
        <v>118.00000000000004</v>
      </c>
      <c r="O270" s="15"/>
    </row>
    <row r="272" spans="2:19" x14ac:dyDescent="0.25">
      <c r="K272" t="s">
        <v>205</v>
      </c>
      <c r="L272" s="11">
        <v>14</v>
      </c>
    </row>
    <row r="273" spans="11:12" x14ac:dyDescent="0.25">
      <c r="K273" t="s">
        <v>145</v>
      </c>
      <c r="L273" s="11">
        <v>19</v>
      </c>
    </row>
  </sheetData>
  <mergeCells count="3">
    <mergeCell ref="F2:K2"/>
    <mergeCell ref="B2:E2"/>
    <mergeCell ref="L2:S2"/>
  </mergeCells>
  <phoneticPr fontId="3" type="noConversion"/>
  <pageMargins left="0.7" right="0.7" top="0.78740157499999996" bottom="0.78740157499999996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Verteilerschrankplan!$C$19:$C$37</xm:f>
          </x14:formula1>
          <xm:sqref>P4:P269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1:T29"/>
  <sheetViews>
    <sheetView zoomScale="85" zoomScaleNormal="85" workbookViewId="0">
      <selection activeCell="E9" sqref="E9"/>
    </sheetView>
  </sheetViews>
  <sheetFormatPr baseColWidth="10" defaultColWidth="11" defaultRowHeight="15.75" x14ac:dyDescent="0.25"/>
  <cols>
    <col min="2" max="2" width="9.375" bestFit="1" customWidth="1"/>
    <col min="3" max="3" width="19.375" bestFit="1" customWidth="1"/>
    <col min="4" max="4" width="15.875" bestFit="1" customWidth="1"/>
    <col min="5" max="5" width="19.75" bestFit="1" customWidth="1"/>
    <col min="6" max="7" width="19.75" customWidth="1"/>
    <col min="8" max="8" width="14.875" bestFit="1" customWidth="1"/>
    <col min="9" max="9" width="20.125" bestFit="1" customWidth="1"/>
    <col min="11" max="11" width="25.25" bestFit="1" customWidth="1"/>
    <col min="12" max="12" width="22.375" bestFit="1" customWidth="1"/>
    <col min="13" max="13" width="13.875" bestFit="1" customWidth="1"/>
    <col min="14" max="14" width="18.125" bestFit="1" customWidth="1"/>
    <col min="15" max="15" width="21.125" customWidth="1"/>
    <col min="16" max="16" width="25.25" bestFit="1" customWidth="1"/>
    <col min="17" max="17" width="14.5" bestFit="1" customWidth="1"/>
    <col min="18" max="18" width="17.375" bestFit="1" customWidth="1"/>
    <col min="19" max="19" width="17.375" customWidth="1"/>
    <col min="20" max="20" width="19" customWidth="1"/>
  </cols>
  <sheetData>
    <row r="1" spans="2:20" ht="16.5" thickBot="1" x14ac:dyDescent="0.3"/>
    <row r="2" spans="2:20" ht="16.5" thickBot="1" x14ac:dyDescent="0.3">
      <c r="B2" s="3" t="s">
        <v>1537</v>
      </c>
      <c r="C2" s="3" t="s">
        <v>64</v>
      </c>
      <c r="D2" s="4" t="s">
        <v>1592</v>
      </c>
      <c r="E2" s="4" t="s">
        <v>3</v>
      </c>
      <c r="F2" s="4" t="s">
        <v>1622</v>
      </c>
      <c r="G2" s="4" t="s">
        <v>1628</v>
      </c>
      <c r="H2" s="4" t="s">
        <v>75</v>
      </c>
      <c r="I2" s="4" t="s">
        <v>1593</v>
      </c>
      <c r="K2" s="104" t="s">
        <v>64</v>
      </c>
      <c r="L2" s="104"/>
      <c r="M2" s="104"/>
      <c r="N2" s="104"/>
      <c r="O2" s="104"/>
      <c r="P2" s="104"/>
      <c r="Q2" s="104"/>
      <c r="R2" s="104"/>
      <c r="S2" s="104"/>
      <c r="T2" s="104"/>
    </row>
    <row r="3" spans="2:20" ht="16.5" thickBot="1" x14ac:dyDescent="0.3">
      <c r="B3">
        <v>0</v>
      </c>
      <c r="C3" s="6" t="s">
        <v>255</v>
      </c>
      <c r="D3" s="7" t="s">
        <v>1594</v>
      </c>
      <c r="E3" t="s">
        <v>13</v>
      </c>
      <c r="F3" t="s">
        <v>10</v>
      </c>
      <c r="G3" t="s">
        <v>1629</v>
      </c>
      <c r="H3" t="s">
        <v>76</v>
      </c>
      <c r="I3" s="13" t="s">
        <v>138</v>
      </c>
      <c r="K3" s="53" t="s">
        <v>255</v>
      </c>
      <c r="L3" s="53" t="s">
        <v>46</v>
      </c>
      <c r="M3" s="53" t="s">
        <v>21</v>
      </c>
      <c r="N3" s="53" t="s">
        <v>17</v>
      </c>
      <c r="O3" s="53" t="s">
        <v>51</v>
      </c>
      <c r="P3" s="53" t="s">
        <v>29</v>
      </c>
      <c r="Q3" s="53" t="s">
        <v>25</v>
      </c>
      <c r="R3" s="53" t="s">
        <v>50</v>
      </c>
      <c r="S3" s="53" t="s">
        <v>1676</v>
      </c>
      <c r="T3" s="53" t="s">
        <v>1443</v>
      </c>
    </row>
    <row r="4" spans="2:20" x14ac:dyDescent="0.25">
      <c r="B4">
        <v>1</v>
      </c>
      <c r="C4" s="7" t="s">
        <v>46</v>
      </c>
      <c r="D4" s="7" t="s">
        <v>1595</v>
      </c>
      <c r="E4" t="s">
        <v>1596</v>
      </c>
      <c r="F4" t="s">
        <v>1623</v>
      </c>
      <c r="G4" t="s">
        <v>1630</v>
      </c>
      <c r="H4" t="s">
        <v>77</v>
      </c>
      <c r="I4" t="s">
        <v>28</v>
      </c>
      <c r="K4" t="s">
        <v>1656</v>
      </c>
      <c r="L4" t="s">
        <v>47</v>
      </c>
      <c r="M4" t="s">
        <v>1616</v>
      </c>
      <c r="N4" t="s">
        <v>18</v>
      </c>
      <c r="O4" t="s">
        <v>52</v>
      </c>
      <c r="P4" t="s">
        <v>33</v>
      </c>
      <c r="Q4" t="s">
        <v>27</v>
      </c>
      <c r="R4" t="s">
        <v>1597</v>
      </c>
      <c r="S4" t="s">
        <v>1677</v>
      </c>
    </row>
    <row r="5" spans="2:20" x14ac:dyDescent="0.25">
      <c r="B5">
        <v>2</v>
      </c>
      <c r="C5" s="7" t="s">
        <v>21</v>
      </c>
      <c r="D5" s="7" t="s">
        <v>1598</v>
      </c>
      <c r="E5" t="s">
        <v>6</v>
      </c>
      <c r="F5" t="s">
        <v>1625</v>
      </c>
      <c r="G5" t="s">
        <v>1631</v>
      </c>
      <c r="H5" t="s">
        <v>79</v>
      </c>
      <c r="I5" t="s">
        <v>1599</v>
      </c>
      <c r="K5" t="s">
        <v>1657</v>
      </c>
      <c r="L5" t="s">
        <v>48</v>
      </c>
      <c r="M5" t="s">
        <v>87</v>
      </c>
      <c r="N5" t="s">
        <v>19</v>
      </c>
      <c r="P5" t="s">
        <v>39</v>
      </c>
      <c r="R5" t="s">
        <v>1600</v>
      </c>
    </row>
    <row r="6" spans="2:20" x14ac:dyDescent="0.25">
      <c r="B6">
        <v>3</v>
      </c>
      <c r="C6" s="7" t="s">
        <v>17</v>
      </c>
      <c r="D6" s="7" t="s">
        <v>1601</v>
      </c>
      <c r="E6" t="s">
        <v>7</v>
      </c>
      <c r="F6" t="s">
        <v>1641</v>
      </c>
      <c r="G6" t="s">
        <v>1555</v>
      </c>
      <c r="H6" t="s">
        <v>83</v>
      </c>
      <c r="I6" t="s">
        <v>1602</v>
      </c>
      <c r="K6" t="s">
        <v>1695</v>
      </c>
      <c r="L6" t="s">
        <v>49</v>
      </c>
      <c r="M6" t="s">
        <v>24</v>
      </c>
      <c r="N6" t="s">
        <v>1603</v>
      </c>
      <c r="P6" t="s">
        <v>45</v>
      </c>
      <c r="R6" t="s">
        <v>1604</v>
      </c>
    </row>
    <row r="7" spans="2:20" x14ac:dyDescent="0.25">
      <c r="B7">
        <v>4</v>
      </c>
      <c r="C7" s="5" t="s">
        <v>51</v>
      </c>
      <c r="D7" s="5" t="s">
        <v>1605</v>
      </c>
      <c r="E7" t="s">
        <v>8</v>
      </c>
      <c r="F7" t="s">
        <v>1624</v>
      </c>
      <c r="G7" t="s">
        <v>1632</v>
      </c>
      <c r="H7" t="s">
        <v>93</v>
      </c>
      <c r="I7" t="s">
        <v>115</v>
      </c>
      <c r="L7" t="s">
        <v>1679</v>
      </c>
      <c r="N7" t="s">
        <v>1614</v>
      </c>
      <c r="P7" t="s">
        <v>1617</v>
      </c>
      <c r="R7" t="s">
        <v>1691</v>
      </c>
    </row>
    <row r="8" spans="2:20" x14ac:dyDescent="0.25">
      <c r="B8">
        <v>5</v>
      </c>
      <c r="C8" s="7" t="s">
        <v>29</v>
      </c>
      <c r="D8" s="7" t="s">
        <v>1606</v>
      </c>
      <c r="E8" t="s">
        <v>1956</v>
      </c>
      <c r="F8" t="s">
        <v>1640</v>
      </c>
      <c r="G8" t="s">
        <v>1633</v>
      </c>
      <c r="H8" t="s">
        <v>81</v>
      </c>
      <c r="I8" t="s">
        <v>30</v>
      </c>
      <c r="L8" t="s">
        <v>1607</v>
      </c>
      <c r="P8" t="s">
        <v>42</v>
      </c>
    </row>
    <row r="9" spans="2:20" x14ac:dyDescent="0.25">
      <c r="B9">
        <v>6</v>
      </c>
      <c r="C9" s="5" t="s">
        <v>25</v>
      </c>
      <c r="D9" s="5" t="s">
        <v>1608</v>
      </c>
      <c r="E9" t="s">
        <v>10</v>
      </c>
      <c r="F9" t="s">
        <v>1626</v>
      </c>
      <c r="G9" t="s">
        <v>1634</v>
      </c>
      <c r="I9" t="s">
        <v>20</v>
      </c>
      <c r="L9" t="s">
        <v>1680</v>
      </c>
      <c r="P9" t="s">
        <v>38</v>
      </c>
    </row>
    <row r="10" spans="2:20" x14ac:dyDescent="0.25">
      <c r="B10">
        <v>7</v>
      </c>
      <c r="C10" s="7" t="s">
        <v>50</v>
      </c>
      <c r="D10" s="7" t="s">
        <v>1609</v>
      </c>
      <c r="E10" t="s">
        <v>9</v>
      </c>
      <c r="F10" t="s">
        <v>1639</v>
      </c>
      <c r="G10" t="s">
        <v>1635</v>
      </c>
      <c r="I10" t="s">
        <v>26</v>
      </c>
      <c r="L10" t="s">
        <v>1615</v>
      </c>
      <c r="P10" t="s">
        <v>35</v>
      </c>
    </row>
    <row r="11" spans="2:20" x14ac:dyDescent="0.25">
      <c r="B11">
        <v>8</v>
      </c>
      <c r="C11" s="5" t="s">
        <v>1443</v>
      </c>
      <c r="D11" s="5" t="s">
        <v>148</v>
      </c>
      <c r="E11" t="s">
        <v>14</v>
      </c>
      <c r="F11" t="s">
        <v>1642</v>
      </c>
      <c r="G11" t="s">
        <v>1636</v>
      </c>
      <c r="I11" t="s">
        <v>127</v>
      </c>
      <c r="P11" t="s">
        <v>37</v>
      </c>
    </row>
    <row r="12" spans="2:20" x14ac:dyDescent="0.25">
      <c r="B12">
        <v>9</v>
      </c>
      <c r="C12" s="7" t="s">
        <v>1676</v>
      </c>
      <c r="D12" s="7" t="s">
        <v>162</v>
      </c>
      <c r="E12" t="s">
        <v>104</v>
      </c>
      <c r="F12" t="s">
        <v>1615</v>
      </c>
      <c r="G12" t="s">
        <v>1637</v>
      </c>
      <c r="P12" t="s">
        <v>34</v>
      </c>
    </row>
    <row r="13" spans="2:20" x14ac:dyDescent="0.25">
      <c r="E13" t="s">
        <v>1610</v>
      </c>
      <c r="G13" t="s">
        <v>1638</v>
      </c>
      <c r="P13" t="s">
        <v>1618</v>
      </c>
    </row>
    <row r="14" spans="2:20" x14ac:dyDescent="0.25">
      <c r="E14" t="s">
        <v>12</v>
      </c>
      <c r="G14" t="s">
        <v>1649</v>
      </c>
      <c r="P14" t="s">
        <v>44</v>
      </c>
    </row>
    <row r="15" spans="2:20" x14ac:dyDescent="0.25">
      <c r="E15" t="s">
        <v>11</v>
      </c>
      <c r="G15" t="s">
        <v>1692</v>
      </c>
      <c r="P15" t="s">
        <v>43</v>
      </c>
    </row>
    <row r="16" spans="2:20" x14ac:dyDescent="0.25">
      <c r="E16" t="s">
        <v>1615</v>
      </c>
      <c r="G16" t="s">
        <v>1695</v>
      </c>
      <c r="P16" t="s">
        <v>41</v>
      </c>
    </row>
    <row r="17" spans="7:16" x14ac:dyDescent="0.25">
      <c r="G17" t="s">
        <v>1830</v>
      </c>
      <c r="P17" t="s">
        <v>1593</v>
      </c>
    </row>
    <row r="18" spans="7:16" x14ac:dyDescent="0.25">
      <c r="P18" t="s">
        <v>1611</v>
      </c>
    </row>
    <row r="19" spans="7:16" x14ac:dyDescent="0.25">
      <c r="L19" s="7"/>
      <c r="P19" t="s">
        <v>31</v>
      </c>
    </row>
    <row r="20" spans="7:16" x14ac:dyDescent="0.25">
      <c r="L20" s="7"/>
    </row>
    <row r="21" spans="7:16" x14ac:dyDescent="0.25">
      <c r="L21" s="7"/>
    </row>
    <row r="22" spans="7:16" x14ac:dyDescent="0.25">
      <c r="L22" s="7"/>
    </row>
    <row r="23" spans="7:16" x14ac:dyDescent="0.25">
      <c r="L23" s="7"/>
    </row>
    <row r="24" spans="7:16" x14ac:dyDescent="0.25">
      <c r="L24" s="7"/>
    </row>
    <row r="25" spans="7:16" x14ac:dyDescent="0.25">
      <c r="L25" s="7"/>
    </row>
    <row r="26" spans="7:16" x14ac:dyDescent="0.25">
      <c r="L26" s="5"/>
    </row>
    <row r="27" spans="7:16" x14ac:dyDescent="0.25">
      <c r="L27" s="7"/>
    </row>
    <row r="28" spans="7:16" x14ac:dyDescent="0.25">
      <c r="L28" s="5"/>
    </row>
    <row r="29" spans="7:16" x14ac:dyDescent="0.25">
      <c r="L29" s="5"/>
    </row>
  </sheetData>
  <mergeCells count="1">
    <mergeCell ref="K2:T2"/>
  </mergeCell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3FBDA-F443-4B3D-8DFB-2BACAADD4D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20</vt:i4>
      </vt:variant>
    </vt:vector>
  </HeadingPairs>
  <TitlesOfParts>
    <vt:vector size="29" baseType="lpstr">
      <vt:lpstr>Raumbuch_Zusammenfassung</vt:lpstr>
      <vt:lpstr>Raumbuch</vt:lpstr>
      <vt:lpstr>Gruppenadressen</vt:lpstr>
      <vt:lpstr>GA_HG_MG</vt:lpstr>
      <vt:lpstr>GA_ETS_Import</vt:lpstr>
      <vt:lpstr>Item_Liste</vt:lpstr>
      <vt:lpstr>Verteilerschrankplan</vt:lpstr>
      <vt:lpstr>Verteilerschrank</vt:lpstr>
      <vt:lpstr>Metadaten</vt:lpstr>
      <vt:lpstr>_Beleuchtung</vt:lpstr>
      <vt:lpstr>_Beschattung</vt:lpstr>
      <vt:lpstr>_Bewässerung</vt:lpstr>
      <vt:lpstr>_HeizungKlimaLüftung</vt:lpstr>
      <vt:lpstr>_MeldungenAlarm</vt:lpstr>
      <vt:lpstr>_Sensoren</vt:lpstr>
      <vt:lpstr>_Steckdosen</vt:lpstr>
      <vt:lpstr>_Zentral</vt:lpstr>
      <vt:lpstr>_Zugriffskontrolle</vt:lpstr>
      <vt:lpstr>Beleuchtung</vt:lpstr>
      <vt:lpstr>Beschattung</vt:lpstr>
      <vt:lpstr>Bewässerung</vt:lpstr>
      <vt:lpstr>Geräte</vt:lpstr>
      <vt:lpstr>Hauptgruppe</vt:lpstr>
      <vt:lpstr>HeizungKlimaLüftung</vt:lpstr>
      <vt:lpstr>MeldungenAlarm</vt:lpstr>
      <vt:lpstr>Sensoren</vt:lpstr>
      <vt:lpstr>Steckdosen</vt:lpstr>
      <vt:lpstr>Zentral</vt:lpstr>
      <vt:lpstr>Zugriffskontrolle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office365</dc:creator>
  <cp:keywords/>
  <dc:description/>
  <cp:lastModifiedBy>Anton Singer</cp:lastModifiedBy>
  <cp:revision/>
  <cp:lastPrinted>2026-01-18T09:55:08Z</cp:lastPrinted>
  <dcterms:created xsi:type="dcterms:W3CDTF">2019-11-02T18:45:27Z</dcterms:created>
  <dcterms:modified xsi:type="dcterms:W3CDTF">2026-01-31T16:51:27Z</dcterms:modified>
  <cp:category/>
  <cp:contentStatus/>
</cp:coreProperties>
</file>